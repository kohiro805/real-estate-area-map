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400" yWindow="600" windowWidth="38400" windowHeight="21000" tabRatio="600" firstSheet="0" activeTab="0" autoFilterDateGrouping="1"/>
  </bookViews>
  <sheets>
    <sheet xmlns:r="http://schemas.openxmlformats.org/officeDocument/2006/relationships" name="エリア特性" sheetId="1" state="visible" r:id="rId1"/>
    <sheet xmlns:r="http://schemas.openxmlformats.org/officeDocument/2006/relationships" name="計算ロジック説明" sheetId="2" state="visible" r:id="rId2"/>
  </sheets>
  <definedNames>
    <definedName name="_xlnm._FilterDatabase" localSheetId="0" hidden="1">'エリア特性'!$A$1:$V$1742</definedName>
  </definedNames>
  <calcPr calcId="191029" fullCalcOnLoad="1"/>
</workbook>
</file>

<file path=xl/styles.xml><?xml version="1.0" encoding="utf-8"?>
<styleSheet xmlns="http://schemas.openxmlformats.org/spreadsheetml/2006/main">
  <numFmts count="2">
    <numFmt numFmtId="164" formatCode="0.0%"/>
    <numFmt numFmtId="165" formatCode="0.0"/>
  </numFmts>
  <fonts count="9">
    <font>
      <name val="ＭＳ Ｐゴシック"/>
      <family val="2"/>
      <color theme="1"/>
      <sz val="11"/>
      <scheme val="minor"/>
    </font>
    <font>
      <name val="ＭＳ Ｐゴシック"/>
      <charset val="128"/>
      <family val="3"/>
      <sz val="6"/>
      <scheme val="minor"/>
    </font>
    <font>
      <name val="ＭＳ Ｐゴシック"/>
      <family val="2"/>
      <color theme="1"/>
      <sz val="11"/>
      <scheme val="minor"/>
    </font>
    <font>
      <name val="Meiryo"/>
      <charset val="128"/>
      <family val="2"/>
      <b val="1"/>
      <color rgb="FFFFFFFF"/>
      <sz val="14"/>
    </font>
    <font>
      <name val="Meiryo"/>
      <charset val="128"/>
      <family val="2"/>
      <b val="1"/>
      <color rgb="FF1F3864"/>
      <sz val="11"/>
    </font>
    <font>
      <name val="Meiryo"/>
      <charset val="128"/>
      <family val="2"/>
      <b val="1"/>
      <color rgb="FF000000"/>
      <sz val="10"/>
    </font>
    <font>
      <name val="Meiryo"/>
      <charset val="128"/>
      <family val="2"/>
      <color rgb="FF000000"/>
      <sz val="10"/>
    </font>
    <font>
      <name val="Meiryo"/>
      <charset val="128"/>
      <family val="2"/>
      <b val="1"/>
      <sz val="10"/>
    </font>
    <font>
      <name val="Meiryo"/>
      <charset val="128"/>
      <family val="2"/>
      <b val="1"/>
      <color rgb="FFC00000"/>
      <sz val="10"/>
    </font>
  </fonts>
  <fills count="11">
    <fill>
      <patternFill/>
    </fill>
    <fill>
      <patternFill patternType="gray125"/>
    </fill>
    <fill>
      <patternFill patternType="solid">
        <fgColor theme="4" tint="0.5999938962981048"/>
        <bgColor indexed="64"/>
      </patternFill>
    </fill>
    <fill>
      <patternFill patternType="solid">
        <fgColor theme="6" tint="0.5999938962981048"/>
        <bgColor indexed="64"/>
      </patternFill>
    </fill>
    <fill>
      <patternFill patternType="solid">
        <fgColor theme="7" tint="0.5999938962981048"/>
        <bgColor indexed="64"/>
      </patternFill>
    </fill>
    <fill>
      <patternFill patternType="solid">
        <fgColor theme="5" tint="0.5999938962981048"/>
        <bgColor indexed="64"/>
      </patternFill>
    </fill>
    <fill>
      <patternFill patternType="solid">
        <fgColor theme="9" tint="0.5999938962981048"/>
        <bgColor indexed="64"/>
      </patternFill>
    </fill>
    <fill>
      <patternFill patternType="solid">
        <fgColor rgb="FF1F3864"/>
      </patternFill>
    </fill>
    <fill>
      <patternFill patternType="solid">
        <fgColor rgb="FFD9E1F2"/>
      </patternFill>
    </fill>
    <fill>
      <patternFill patternType="solid">
        <fgColor rgb="FFD9D9D9"/>
      </patternFill>
    </fill>
    <fill>
      <patternFill patternType="solid">
        <fgColor rgb="FFFFF2CC"/>
      </patternFill>
    </fill>
  </fills>
  <borders count="6">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AAAAAA"/>
      </top>
      <bottom/>
      <diagonal/>
    </border>
    <border>
      <left/>
      <right style="thin">
        <color rgb="FFAAAAAA"/>
      </right>
      <top style="thin">
        <color rgb="FFAAAAAA"/>
      </top>
      <bottom/>
      <diagonal/>
    </border>
  </borders>
  <cellStyleXfs count="2">
    <xf numFmtId="0" fontId="2" fillId="0" borderId="0"/>
    <xf numFmtId="9" fontId="2" fillId="0" borderId="0" applyAlignment="1">
      <alignment vertical="center"/>
    </xf>
  </cellStyleXfs>
  <cellXfs count="29">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164" fontId="0" fillId="0" borderId="0" pivotButton="0" quotePrefix="0" xfId="1"/>
    <xf numFmtId="0" fontId="0" fillId="0" borderId="0" pivotButton="0" quotePrefix="0" xfId="1"/>
    <xf numFmtId="0" fontId="2" fillId="0" borderId="0" pivotButton="0" quotePrefix="0" xfId="0"/>
    <xf numFmtId="165" fontId="0" fillId="0" borderId="0" pivotButton="0" quotePrefix="0" xfId="0"/>
    <xf numFmtId="0" fontId="0" fillId="6" borderId="0" pivotButton="0" quotePrefix="0" xfId="0"/>
    <xf numFmtId="0" fontId="5" fillId="0" borderId="1" applyAlignment="1" pivotButton="0" quotePrefix="0" xfId="0">
      <alignment horizontal="left" vertical="top"/>
    </xf>
    <xf numFmtId="0" fontId="5" fillId="9" borderId="1" applyAlignment="1" pivotButton="0" quotePrefix="0" xfId="0">
      <alignment horizontal="center" vertical="top"/>
    </xf>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5" fillId="9" borderId="1" applyAlignment="1" pivotButton="0" quotePrefix="0" xfId="0">
      <alignment horizontal="left" vertical="top"/>
    </xf>
    <xf numFmtId="0" fontId="6" fillId="0" borderId="1" applyAlignment="1" pivotButton="0" quotePrefix="0" xfId="0">
      <alignment horizontal="left" vertical="top"/>
    </xf>
    <xf numFmtId="0" fontId="0" fillId="0" borderId="3" pivotButton="0" quotePrefix="0" xfId="0"/>
    <xf numFmtId="0" fontId="4" fillId="0" borderId="1" pivotButton="0" quotePrefix="0" xfId="0"/>
    <xf numFmtId="0" fontId="0" fillId="0" borderId="2" pivotButton="0" quotePrefix="0" xfId="0"/>
    <xf numFmtId="0" fontId="6" fillId="0" borderId="1" applyAlignment="1" pivotButton="0" quotePrefix="0" xfId="0">
      <alignment vertical="top" wrapText="1"/>
    </xf>
    <xf numFmtId="0" fontId="6" fillId="0" borderId="1" applyAlignment="1" pivotButton="0" quotePrefix="0" xfId="0">
      <alignment horizontal="left" vertical="top" wrapText="1"/>
    </xf>
    <xf numFmtId="0" fontId="6" fillId="0" borderId="1" pivotButton="0" quotePrefix="0" xfId="0"/>
    <xf numFmtId="0" fontId="4" fillId="8" borderId="1" applyAlignment="1" pivotButton="0" quotePrefix="0" xfId="0">
      <alignment horizontal="left" vertical="center"/>
    </xf>
    <xf numFmtId="0" fontId="3" fillId="7" borderId="1" applyAlignment="1" pivotButton="0" quotePrefix="0" xfId="0">
      <alignment horizontal="left" vertical="center"/>
    </xf>
    <xf numFmtId="0" fontId="8" fillId="10" borderId="1" applyAlignment="1" pivotButton="0" quotePrefix="0" xfId="0">
      <alignment horizontal="left" vertical="top"/>
    </xf>
    <xf numFmtId="0" fontId="7" fillId="0" borderId="1" pivotButton="0" quotePrefix="0" xfId="0"/>
    <xf numFmtId="164" fontId="0" fillId="0" borderId="0" pivotButton="0" quotePrefix="0" xfId="1"/>
    <xf numFmtId="165" fontId="0" fillId="0" borderId="0" pivotButton="0" quotePrefix="0" xfId="0"/>
  </cellXfs>
  <cellStyles count="2">
    <cellStyle name="標準" xfId="0" builtinId="0"/>
    <cellStyle name="パーセント" xfId="1" builtinId="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42"/>
  <sheetViews>
    <sheetView tabSelected="1" workbookViewId="0">
      <selection activeCell="B407" sqref="B352:B407"/>
    </sheetView>
  </sheetViews>
  <sheetFormatPr baseColWidth="10" defaultColWidth="8.83203125" defaultRowHeight="14"/>
  <cols>
    <col width="9.1640625" customWidth="1" min="5" max="5"/>
    <col width="9.1640625" customWidth="1" min="11" max="13"/>
    <col width="10" customWidth="1" min="16" max="16"/>
    <col width="49" customWidth="1" min="20" max="22"/>
  </cols>
  <sheetData>
    <row r="1">
      <c r="A1" s="1" t="inlineStr">
        <is>
          <t>都道府県</t>
        </is>
      </c>
      <c r="B1" s="1" t="inlineStr">
        <is>
          <t>市区町村</t>
        </is>
      </c>
      <c r="C1" s="2" t="inlineStr">
        <is>
          <t>2025年世帯数</t>
        </is>
      </c>
      <c r="D1" s="2" t="inlineStr">
        <is>
          <t>2025年人口</t>
        </is>
      </c>
      <c r="E1" s="2" t="inlineStr">
        <is>
          <t>2025年人口密度</t>
        </is>
      </c>
      <c r="F1" s="2" t="inlineStr">
        <is>
          <t>人口スコア</t>
        </is>
      </c>
      <c r="G1" s="3" t="inlineStr">
        <is>
          <t>2020年人口</t>
        </is>
      </c>
      <c r="H1" s="3" t="inlineStr">
        <is>
          <t>2025年人口</t>
        </is>
      </c>
      <c r="I1" s="3" t="inlineStr">
        <is>
          <t>2030年人口</t>
        </is>
      </c>
      <c r="J1" s="3" t="inlineStr">
        <is>
          <t>2045年人口</t>
        </is>
      </c>
      <c r="K1" s="3" t="inlineStr">
        <is>
          <t>5年後人口増減率(%)</t>
        </is>
      </c>
      <c r="L1" s="3" t="inlineStr">
        <is>
          <t>10年後人口増減率(%)</t>
        </is>
      </c>
      <c r="M1" s="3" t="inlineStr">
        <is>
          <t>25年後人口増減率(%)</t>
        </is>
      </c>
      <c r="N1" s="3" t="inlineStr">
        <is>
          <t>将来人口スコア</t>
        </is>
      </c>
      <c r="O1" s="1" t="inlineStr">
        <is>
          <t>総合スコア</t>
        </is>
      </c>
      <c r="P1" s="1" t="inlineStr">
        <is>
          <t>評価</t>
        </is>
      </c>
      <c r="Q1" s="4" t="inlineStr">
        <is>
          <t>借家数（令和5年）</t>
        </is>
      </c>
      <c r="R1" s="4" t="inlineStr">
        <is>
          <t>借家における空き家数（令和5年）</t>
        </is>
      </c>
      <c r="S1" s="4" t="inlineStr">
        <is>
          <t>空き家割合</t>
        </is>
      </c>
      <c r="T1" s="9" t="inlineStr">
        <is>
          <t>人口動態</t>
        </is>
      </c>
      <c r="U1" s="9" t="inlineStr">
        <is>
          <t>賃貸需要</t>
        </is>
      </c>
      <c r="V1" s="9" t="inlineStr">
        <is>
          <t>地理リスク</t>
        </is>
      </c>
    </row>
    <row r="2">
      <c r="A2" t="inlineStr">
        <is>
          <t>北海道</t>
        </is>
      </c>
      <c r="B2" t="inlineStr">
        <is>
          <t>札幌市</t>
        </is>
      </c>
      <c r="C2" t="n">
        <v>975200</v>
      </c>
      <c r="D2" t="n">
        <v>1970144</v>
      </c>
      <c r="E2" s="6" t="n">
        <v>1751.6</v>
      </c>
      <c r="F2" s="7" t="n">
        <v>67.5</v>
      </c>
      <c r="G2" t="n">
        <v>1973395</v>
      </c>
      <c r="H2" t="n">
        <v>1970144</v>
      </c>
      <c r="I2" t="n">
        <v>1949619</v>
      </c>
      <c r="J2" t="n">
        <v>1809025</v>
      </c>
      <c r="K2" s="27">
        <f>(H2/D2-1)</f>
        <v/>
      </c>
      <c r="L2" s="27">
        <f>(I2/D2-1)</f>
        <v/>
      </c>
      <c r="M2" s="27">
        <f>(J2/D2-1)</f>
        <v/>
      </c>
      <c r="N2" t="n">
        <v>69.90000000000001</v>
      </c>
      <c r="O2" s="28">
        <f>(N2+F2)/2</f>
        <v/>
      </c>
      <c r="P2">
        <f>IF(O2="計算不能","計算不能",IF(O2&gt;=80,5,IF(O2&gt;=60,4,IF(O2&gt;=40,3,IF(O2&gt;=28,2,1)))))</f>
        <v/>
      </c>
      <c r="Q2" t="n">
        <v>456500</v>
      </c>
      <c r="R2" t="n">
        <v>111600</v>
      </c>
      <c r="S2" s="27">
        <f>R2/Q2</f>
        <v/>
      </c>
      <c r="T2" t="inlineStr">
        <is>
          <t>札幌市は2045年までに人口が約8.2%減と緩やかな減少局面。若年層の都市部流出と高齢化が進むが、当面の賃貸稼働は一定程度維持される見通し。【最新動向】札幌駅交流拠点「北5西1・西2地区」（地上43階・約245m）や大通「SAPPORO ONE」など大型再開発が2030年代に向け進行し、北海道新幹線の札幌延伸も都心機能を底上げ。道内一極集中で当面の賃貸母数は厚い。</t>
        </is>
      </c>
      <c r="U2" t="inlineStr">
        <is>
          <t>札幌市は人口密度1,752人/km²の都市部で、駅周辺や生活利便施設沿いに安定した賃貸需要がある。適切な家賃設定で高稼働を期待できる。 借家の空室率は約24%とやや高めで、競合との差別化が必要。【最新動向】都心回帰と再開発による職住近接需要で、駅近ワンルーム〜ファミリー向けの賃貸実需は道内随一。一方で郊外・築古は空室が長期化しやすく、立地と築年での二極化が鮮明。</t>
        </is>
      </c>
      <c r="V2" t="inlineStr">
        <is>
          <t>札幌市（北海道）：冬期の豪雪・着雪荷重と路面凍結が最大の運営リスク。石狩・十勝・天塩川水系の河川氾濫、太平洋沿岸の津波・千島海溝地震、火山周辺の降灰に留意。</t>
        </is>
      </c>
    </row>
    <row r="3">
      <c r="A3" t="inlineStr">
        <is>
          <t>北海道</t>
        </is>
      </c>
      <c r="B3" t="inlineStr">
        <is>
          <t>函館市</t>
        </is>
      </c>
      <c r="C3" t="n">
        <v>118990</v>
      </c>
      <c r="D3" t="n">
        <v>232771</v>
      </c>
      <c r="E3" s="6" t="n">
        <v>340</v>
      </c>
      <c r="F3" s="7" t="n">
        <v>37</v>
      </c>
      <c r="G3" t="n">
        <v>251084</v>
      </c>
      <c r="H3" t="n">
        <v>232771</v>
      </c>
      <c r="I3" t="n">
        <v>216113</v>
      </c>
      <c r="J3" t="n">
        <v>166626</v>
      </c>
      <c r="K3" s="27">
        <f>(H3/D3-1)</f>
        <v/>
      </c>
      <c r="L3" s="27">
        <f>(I3/D3-1)</f>
        <v/>
      </c>
      <c r="M3" s="27">
        <f>(J3/D3-1)</f>
        <v/>
      </c>
      <c r="N3" t="n">
        <v>43.8</v>
      </c>
      <c r="O3" s="28">
        <f>(N3+F3)/2</f>
        <v/>
      </c>
      <c r="P3">
        <f>IF(O3="計算不能","計算不能",IF(O3&gt;=80,5,IF(O3&gt;=60,4,IF(O3&gt;=40,3,IF(O3&gt;=28,2,1)))))</f>
        <v/>
      </c>
      <c r="Q3" t="n">
        <v>45535</v>
      </c>
      <c r="R3" t="n">
        <v>16700</v>
      </c>
      <c r="S3" s="27">
        <f>R3/Q3</f>
        <v/>
      </c>
      <c r="T3" t="inlineStr">
        <is>
          <t>函館市は2045年までに人口が約28.4%減と明確な減少トレンド。高齢化の進行と世帯数の縮小により、中長期では賃貸需要の構造的縮小に警戒が必要。</t>
        </is>
      </c>
      <c r="U3" t="inlineStr">
        <is>
          <t>函館市は人口密度340人/km²と低密度で、賃貸需要は限定的。持ち家比率が高く、駐車場完備の戸建て賃貸が有利。 借家の空室率は約37%と供給過多気味で、空室長期化リスクに要警戒。</t>
        </is>
      </c>
      <c r="V3" t="inlineStr">
        <is>
          <t>函館市（北海道）：冬期の豪雪・着雪荷重と路面凍結が最大の運営リスク。石狩・十勝・天塩川水系の河川氾濫、太平洋沿岸の津波・千島海溝地震、火山周辺の降灰に留意。</t>
        </is>
      </c>
    </row>
    <row r="4">
      <c r="A4" t="inlineStr">
        <is>
          <t>北海道</t>
        </is>
      </c>
      <c r="B4" t="inlineStr">
        <is>
          <t>小樽市</t>
        </is>
      </c>
      <c r="C4" t="n">
        <v>53160</v>
      </c>
      <c r="D4" t="n">
        <v>101222</v>
      </c>
      <c r="E4" s="6" t="n">
        <v>411.7</v>
      </c>
      <c r="F4" s="7" t="n">
        <v>40.6</v>
      </c>
      <c r="G4" t="n">
        <v>111299</v>
      </c>
      <c r="H4" t="n">
        <v>101222</v>
      </c>
      <c r="I4" t="n">
        <v>91079</v>
      </c>
      <c r="J4" t="n">
        <v>63298</v>
      </c>
      <c r="K4" s="27">
        <f>(H4/D4-1)</f>
        <v/>
      </c>
      <c r="L4" s="27">
        <f>(I4/D4-1)</f>
        <v/>
      </c>
      <c r="M4" s="27">
        <f>(J4/D4-1)</f>
        <v/>
      </c>
      <c r="N4" t="n">
        <v>39.2</v>
      </c>
      <c r="O4" s="28">
        <f>(N4+F4)/2</f>
        <v/>
      </c>
      <c r="P4">
        <f>IF(O4="計算不能","計算不能",IF(O4&gt;=80,5,IF(O4&gt;=60,4,IF(O4&gt;=40,3,IF(O4&gt;=28,2,1)))))</f>
        <v/>
      </c>
      <c r="Q4" t="n">
        <v>20343</v>
      </c>
      <c r="R4" t="n">
        <v>5360</v>
      </c>
      <c r="S4" s="27">
        <f>R4/Q4</f>
        <v/>
      </c>
      <c r="T4" t="inlineStr">
        <is>
          <t>小樽市は2045年までに人口が約37.5%減と急激な過疎・超高齢化が進行。若年労働世代の流出と自然減が重なり、賃貸事業としての持続性は極めて限定的。</t>
        </is>
      </c>
      <c r="U4" t="inlineStr">
        <is>
          <t>小樽市は人口密度412人/km²と低密度で、賃貸需要は限定的。持ち家比率が高く、駐車場完備の戸建て賃貸が有利。 借家の空室率は約26%と供給過多気味で、空室長期化リスクに要警戒。</t>
        </is>
      </c>
      <c r="V4" t="inlineStr">
        <is>
          <t>小樽市（北海道）：冬期の豪雪・着雪荷重と路面凍結が最大の運営リスク。石狩・十勝・天塩川水系の河川氾濫、太平洋沿岸の津波・千島海溝地震、火山周辺の降灰に留意。</t>
        </is>
      </c>
    </row>
    <row r="5">
      <c r="A5" t="inlineStr">
        <is>
          <t>北海道</t>
        </is>
      </c>
      <c r="B5" t="inlineStr">
        <is>
          <t>旭川市</t>
        </is>
      </c>
      <c r="C5" t="n">
        <v>156050</v>
      </c>
      <c r="D5" t="n">
        <v>313406</v>
      </c>
      <c r="E5" s="6" t="n">
        <v>408.9</v>
      </c>
      <c r="F5" s="7" t="n">
        <v>40.4</v>
      </c>
      <c r="G5" t="n">
        <v>329306</v>
      </c>
      <c r="H5" t="n">
        <v>313406</v>
      </c>
      <c r="I5" t="n">
        <v>298861</v>
      </c>
      <c r="J5" t="n">
        <v>251942</v>
      </c>
      <c r="K5" s="27">
        <f>(H5/D5-1)</f>
        <v/>
      </c>
      <c r="L5" s="27">
        <f>(I5/D5-1)</f>
        <v/>
      </c>
      <c r="M5" s="27">
        <f>(J5/D5-1)</f>
        <v/>
      </c>
      <c r="N5" t="n">
        <v>52.9</v>
      </c>
      <c r="O5" s="28">
        <f>(N5+F5)/2</f>
        <v/>
      </c>
      <c r="P5">
        <f>IF(O5="計算不能","計算不能",IF(O5&gt;=80,5,IF(O5&gt;=60,4,IF(O5&gt;=40,3,IF(O5&gt;=28,2,1)))))</f>
        <v/>
      </c>
      <c r="Q5" t="n">
        <v>59717</v>
      </c>
      <c r="R5" t="n">
        <v>17130</v>
      </c>
      <c r="S5" s="27">
        <f>R5/Q5</f>
        <v/>
      </c>
      <c r="T5" t="inlineStr">
        <is>
          <t>旭川市は2045年までに人口が約19.6%減と明確な減少トレンド。高齢化の進行と世帯数の縮小により、中長期では賃貸需要の構造的縮小に警戒が必要。</t>
        </is>
      </c>
      <c r="U5" t="inlineStr">
        <is>
          <t>旭川市は人口密度409人/km²と低密度で、賃貸需要は限定的。持ち家比率が高く、駐車場完備の戸建て賃貸が有利。 借家の空室率は約29%と供給過多気味で、空室長期化リスクに要警戒。</t>
        </is>
      </c>
      <c r="V5" t="inlineStr">
        <is>
          <t>旭川市（北海道）：冬期の豪雪・着雪荷重と路面凍結が最大の運営リスク。石狩・十勝・天塩川水系の河川氾濫、太平洋沿岸の津波・千島海溝地震、火山周辺の降灰に留意。</t>
        </is>
      </c>
    </row>
    <row r="6">
      <c r="A6" t="inlineStr">
        <is>
          <t>北海道</t>
        </is>
      </c>
      <c r="B6" t="inlineStr">
        <is>
          <t>室蘭市</t>
        </is>
      </c>
      <c r="C6" t="n">
        <v>39010</v>
      </c>
      <c r="D6" t="n">
        <v>74850</v>
      </c>
      <c r="E6" s="6" t="n">
        <v>913.7</v>
      </c>
      <c r="F6" s="7" t="n">
        <v>53.3</v>
      </c>
      <c r="G6" t="n">
        <v>82383</v>
      </c>
      <c r="H6" t="n">
        <v>74850</v>
      </c>
      <c r="I6" t="n">
        <v>68701</v>
      </c>
      <c r="J6" t="n">
        <v>51339</v>
      </c>
      <c r="K6" s="27">
        <f>(H6/D6-1)</f>
        <v/>
      </c>
      <c r="L6" s="27">
        <f>(I6/D6-1)</f>
        <v/>
      </c>
      <c r="M6" s="27">
        <f>(J6/D6-1)</f>
        <v/>
      </c>
      <c r="N6" t="n">
        <v>41.1</v>
      </c>
      <c r="O6" s="28">
        <f>(N6+F6)/2</f>
        <v/>
      </c>
      <c r="P6">
        <f>IF(O6="計算不能","計算不能",IF(O6&gt;=80,5,IF(O6&gt;=60,4,IF(O6&gt;=40,3,IF(O6&gt;=28,2,1)))))</f>
        <v/>
      </c>
      <c r="Q6" t="n">
        <v>14928</v>
      </c>
      <c r="R6" t="n">
        <v>5200</v>
      </c>
      <c r="S6" s="27">
        <f>R6/Q6</f>
        <v/>
      </c>
      <c r="T6" t="inlineStr">
        <is>
          <t>室蘭市は2045年までに人口が約31.4%減と急激な過疎・超高齢化が進行。若年労働世代の流出と自然減が重なり、賃貸事業としての持続性は極めて限定的。</t>
        </is>
      </c>
      <c r="U6" t="inlineStr">
        <is>
          <t>室蘭市は人口密度914人/km²で、主要道路沿いや中心市街地に一定の賃貸需要が局在。立地選別が稼働を左右する。 借家の空室率は約35%と供給過多気味で、空室長期化リスクに要警戒。</t>
        </is>
      </c>
      <c r="V6" t="inlineStr">
        <is>
          <t>室蘭市（北海道）：冬期の豪雪・着雪荷重と路面凍結が最大の運営リスク。石狩・十勝・天塩川水系の河川氾濫、太平洋沿岸の津波・千島海溝地震、火山周辺の降灰に留意。</t>
        </is>
      </c>
    </row>
    <row r="7">
      <c r="A7" t="inlineStr">
        <is>
          <t>北海道</t>
        </is>
      </c>
      <c r="B7" t="inlineStr">
        <is>
          <t>釧路市</t>
        </is>
      </c>
      <c r="C7" t="n">
        <v>77270</v>
      </c>
      <c r="D7" t="n">
        <v>152475</v>
      </c>
      <c r="E7" s="6" t="n">
        <v>111</v>
      </c>
      <c r="F7" s="7" t="n">
        <v>21.1</v>
      </c>
      <c r="G7" t="n">
        <v>165077</v>
      </c>
      <c r="H7" t="n">
        <v>152475</v>
      </c>
      <c r="I7" t="n">
        <v>141611</v>
      </c>
      <c r="J7" t="n">
        <v>108859</v>
      </c>
      <c r="K7" s="27">
        <f>(H7/D7-1)</f>
        <v/>
      </c>
      <c r="L7" s="27">
        <f>(I7/D7-1)</f>
        <v/>
      </c>
      <c r="M7" s="27">
        <f>(J7/D7-1)</f>
        <v/>
      </c>
      <c r="N7" t="n">
        <v>43.5</v>
      </c>
      <c r="O7" s="28">
        <f>(N7+F7)/2</f>
        <v/>
      </c>
      <c r="P7">
        <f>IF(O7="計算不能","計算不能",IF(O7&gt;=80,5,IF(O7&gt;=60,4,IF(O7&gt;=40,3,IF(O7&gt;=28,2,1)))))</f>
        <v/>
      </c>
      <c r="Q7" t="n">
        <v>29569</v>
      </c>
      <c r="R7" t="n">
        <v>11160</v>
      </c>
      <c r="S7" s="27">
        <f>R7/Q7</f>
        <v/>
      </c>
      <c r="T7" t="inlineStr">
        <is>
          <t>釧路市は2045年までに人口が約28.6%減と明確な減少トレンド。高齢化の進行と世帯数の縮小により、中長期では賃貸需要の構造的縮小に警戒が必要。</t>
        </is>
      </c>
      <c r="U7" t="inlineStr">
        <is>
          <t>釧路市は人口密度111人/km²と過疎的水準で、民間賃貸の新規需要は薄い。実需に裏付けられた格安戸建ての指値取得のみが現実的。 借家の空室率は約38%と供給過多気味で、空室長期化リスクに要警戒。</t>
        </is>
      </c>
      <c r="V7" t="inlineStr">
        <is>
          <t>釧路市（北海道）：冬期の豪雪・着雪荷重と路面凍結が最大の運営リスク。石狩・十勝・天塩川水系の河川氾濫、太平洋沿岸の津波・千島海溝地震、火山周辺の降灰に留意。</t>
        </is>
      </c>
    </row>
    <row r="8">
      <c r="A8" t="inlineStr">
        <is>
          <t>北海道</t>
        </is>
      </c>
      <c r="B8" t="inlineStr">
        <is>
          <t>帯広市</t>
        </is>
      </c>
      <c r="C8" t="n">
        <v>81650</v>
      </c>
      <c r="D8" t="n">
        <v>161312</v>
      </c>
      <c r="E8" s="6" t="n">
        <v>259.6</v>
      </c>
      <c r="F8" s="7" t="n">
        <v>33</v>
      </c>
      <c r="G8" t="n">
        <v>166536</v>
      </c>
      <c r="H8" t="n">
        <v>161312</v>
      </c>
      <c r="I8" t="n">
        <v>156316</v>
      </c>
      <c r="J8" t="n">
        <v>137486</v>
      </c>
      <c r="K8" s="27">
        <f>(H8/D8-1)</f>
        <v/>
      </c>
      <c r="L8" s="27">
        <f>(I8/D8-1)</f>
        <v/>
      </c>
      <c r="M8" s="27">
        <f>(J8/D8-1)</f>
        <v/>
      </c>
      <c r="N8" t="n">
        <v>59.5</v>
      </c>
      <c r="O8" s="28">
        <f>(N8+F8)/2</f>
        <v/>
      </c>
      <c r="P8">
        <f>IF(O8="計算不能","計算不能",IF(O8&gt;=80,5,IF(O8&gt;=60,4,IF(O8&gt;=40,3,IF(O8&gt;=28,2,1)))))</f>
        <v/>
      </c>
      <c r="Q8" t="n">
        <v>31245</v>
      </c>
      <c r="R8" t="n">
        <v>7170</v>
      </c>
      <c r="S8" s="27">
        <f>R8/Q8</f>
        <v/>
      </c>
      <c r="T8" t="inlineStr">
        <is>
          <t>帯広市は2045年までに人口が約14.8%減と緩やかな減少局面。若年層の都市部流出と高齢化が進むが、当面の賃貸稼働は一定程度維持される見通し。</t>
        </is>
      </c>
      <c r="U8" t="inlineStr">
        <is>
          <t>帯広市は人口密度260人/km²と低密度で、賃貸需要は限定的。持ち家比率が高く、駐車場完備の戸建て賃貸が有利。 借家の空室率は約23%とやや高めで、競合との差別化が必要。</t>
        </is>
      </c>
      <c r="V8" t="inlineStr">
        <is>
          <t>帯広市（北海道）：冬期の豪雪・着雪荷重と路面凍結が最大の運営リスク。石狩・十勝・天塩川水系の河川氾濫、太平洋沿岸の津波・千島海溝地震、火山周辺の降灰に留意。</t>
        </is>
      </c>
    </row>
    <row r="9">
      <c r="A9" t="inlineStr">
        <is>
          <t>北海道</t>
        </is>
      </c>
      <c r="B9" t="inlineStr">
        <is>
          <t>北見市</t>
        </is>
      </c>
      <c r="C9" t="n">
        <v>54240</v>
      </c>
      <c r="D9" t="n">
        <v>109738</v>
      </c>
      <c r="E9" s="6" t="n">
        <v>75.90000000000001</v>
      </c>
      <c r="F9" s="7" t="n">
        <v>17.6</v>
      </c>
      <c r="G9" t="n">
        <v>115480</v>
      </c>
      <c r="H9" t="n">
        <v>109738</v>
      </c>
      <c r="I9" t="n">
        <v>103474</v>
      </c>
      <c r="J9" t="n">
        <v>82983</v>
      </c>
      <c r="K9" s="27">
        <f>(H9/D9-1)</f>
        <v/>
      </c>
      <c r="L9" s="27">
        <f>(I9/D9-1)</f>
        <v/>
      </c>
      <c r="M9" s="27">
        <f>(J9/D9-1)</f>
        <v/>
      </c>
      <c r="N9" t="n">
        <v>49.7</v>
      </c>
      <c r="O9" s="28">
        <f>(N9+F9)/2</f>
        <v/>
      </c>
      <c r="P9">
        <f>IF(O9="計算不能","計算不能",IF(O9&gt;=80,5,IF(O9&gt;=60,4,IF(O9&gt;=40,3,IF(O9&gt;=28,2,1)))))</f>
        <v/>
      </c>
      <c r="Q9" t="n">
        <v>20756</v>
      </c>
      <c r="R9" t="n">
        <v>5700</v>
      </c>
      <c r="S9" s="27">
        <f>R9/Q9</f>
        <v/>
      </c>
      <c r="T9" t="inlineStr">
        <is>
          <t>北見市は2045年までに人口が約24.4%減と明確な減少トレンド。高齢化の進行と世帯数の縮小により、中長期では賃貸需要の構造的縮小に警戒が必要。</t>
        </is>
      </c>
      <c r="U9" t="inlineStr">
        <is>
          <t>北見市は人口密度76人/km²と過疎的水準で、民間賃貸の新規需要は薄い。実需に裏付けられた格安戸建ての指値取得のみが現実的。 借家の空室率は約27%と供給過多気味で、空室長期化リスクに要警戒。</t>
        </is>
      </c>
      <c r="V9" t="inlineStr">
        <is>
          <t>北見市（北海道）：冬期の豪雪・着雪荷重と路面凍結が最大の運営リスク。石狩・十勝・天塩川水系の河川氾濫、太平洋沿岸の津波・千島海溝地震、火山周辺の降灰に留意。</t>
        </is>
      </c>
    </row>
    <row r="10">
      <c r="A10" t="inlineStr">
        <is>
          <t>北海道</t>
        </is>
      </c>
      <c r="B10" t="inlineStr">
        <is>
          <t>夕張市</t>
        </is>
      </c>
      <c r="C10" t="n">
        <v>3300</v>
      </c>
      <c r="D10" t="n">
        <v>6065</v>
      </c>
      <c r="E10" s="6" t="n">
        <v>7.4</v>
      </c>
      <c r="F10" s="7" t="n">
        <v>10.7</v>
      </c>
      <c r="G10" t="n">
        <v>7334</v>
      </c>
      <c r="H10" t="n">
        <v>6065</v>
      </c>
      <c r="I10" t="n">
        <v>4978</v>
      </c>
      <c r="J10" t="n">
        <v>2669</v>
      </c>
      <c r="K10" s="27">
        <f>(H10/D10-1)</f>
        <v/>
      </c>
      <c r="L10" s="27">
        <f>(I10/D10-1)</f>
        <v/>
      </c>
      <c r="M10" s="27">
        <f>(J10/D10-1)</f>
        <v/>
      </c>
      <c r="N10" t="n">
        <v>28</v>
      </c>
      <c r="O10" s="28">
        <f>(N10+F10)/2</f>
        <v/>
      </c>
      <c r="P10">
        <f>IF(O10="計算不能","計算不能",IF(O10&gt;=80,5,IF(O10&gt;=60,4,IF(O10&gt;=40,3,IF(O10&gt;=28,2,1)))))</f>
        <v/>
      </c>
      <c r="Q10" t="n">
        <v>1262</v>
      </c>
      <c r="R10" t="n">
        <v>1220</v>
      </c>
      <c r="S10" s="27">
        <f>R10/Q10</f>
        <v/>
      </c>
      <c r="T10" t="inlineStr">
        <is>
          <t>夕張市は2045年までに人口が約56.0%減と急激な過疎・超高齢化が進行。若年労働世代の流出と自然減が重なり、賃貸事業としての持続性は極めて限定的。</t>
        </is>
      </c>
      <c r="U10" t="inlineStr">
        <is>
          <t>夕張市は人口密度7人/km²と過疎的水準で、民間賃貸の新規需要は薄い。実需に裏付けられた格安戸建ての指値取得のみが現実的。 借家の空室率は約97%と供給過多気味で、空室長期化リスクに要警戒。</t>
        </is>
      </c>
      <c r="V10" t="inlineStr">
        <is>
          <t>夕張市（北海道）：冬期の豪雪・着雪荷重と路面凍結が最大の運営リスク。石狩・十勝・天塩川水系の河川氾濫、太平洋沿岸の津波・千島海溝地震、火山周辺の降灰に留意。</t>
        </is>
      </c>
    </row>
    <row r="11">
      <c r="A11" t="inlineStr">
        <is>
          <t>北海道</t>
        </is>
      </c>
      <c r="B11" t="inlineStr">
        <is>
          <t>岩見沢市</t>
        </is>
      </c>
      <c r="C11" t="n">
        <v>34000</v>
      </c>
      <c r="D11" t="n">
        <v>73202</v>
      </c>
      <c r="E11" s="6" t="n">
        <v>151.8</v>
      </c>
      <c r="F11" s="7" t="n">
        <v>25.2</v>
      </c>
      <c r="G11" t="n">
        <v>79306</v>
      </c>
      <c r="H11" t="n">
        <v>73202</v>
      </c>
      <c r="I11" t="n">
        <v>67602</v>
      </c>
      <c r="J11" t="n">
        <v>50879</v>
      </c>
      <c r="K11" s="27">
        <f>(H11/D11-1)</f>
        <v/>
      </c>
      <c r="L11" s="27">
        <f>(I11/D11-1)</f>
        <v/>
      </c>
      <c r="M11" s="27">
        <f>(J11/D11-1)</f>
        <v/>
      </c>
      <c r="N11" t="n">
        <v>42.8</v>
      </c>
      <c r="O11" s="28">
        <f>(N11+F11)/2</f>
        <v/>
      </c>
      <c r="P11">
        <f>IF(O11="計算不能","計算不能",IF(O11&gt;=80,5,IF(O11&gt;=60,4,IF(O11&gt;=40,3,IF(O11&gt;=28,2,1)))))</f>
        <v/>
      </c>
      <c r="Q11" t="n">
        <v>13011</v>
      </c>
      <c r="R11" t="n">
        <v>3630</v>
      </c>
      <c r="S11" s="27">
        <f>R11/Q11</f>
        <v/>
      </c>
      <c r="T11" t="inlineStr">
        <is>
          <t>岩見沢市は2045年までに人口が約30.5%減と急激な過疎・超高齢化が進行。若年労働世代の流出と自然減が重なり、賃貸事業としての持続性は極めて限定的。</t>
        </is>
      </c>
      <c r="U11" t="inlineStr">
        <is>
          <t>岩見沢市は人口密度152人/km²と過疎的水準で、民間賃貸の新規需要は薄い。実需に裏付けられた格安戸建ての指値取得のみが現実的。 借家の空室率は約28%と供給過多気味で、空室長期化リスクに要警戒。</t>
        </is>
      </c>
      <c r="V11" t="inlineStr">
        <is>
          <t>岩見沢市（北海道）：冬期の豪雪・着雪荷重と路面凍結が最大の運営リスク。石狩・十勝・天塩川水系の河川氾濫、太平洋沿岸の津波・千島海溝地震、火山周辺の降灰に留意。</t>
        </is>
      </c>
    </row>
    <row r="12">
      <c r="A12" t="inlineStr">
        <is>
          <t>北海道</t>
        </is>
      </c>
      <c r="B12" t="inlineStr">
        <is>
          <t>網走市</t>
        </is>
      </c>
      <c r="C12" t="n">
        <v>15880</v>
      </c>
      <c r="D12" t="n">
        <v>32092</v>
      </c>
      <c r="E12" s="6" t="n">
        <v>69.59999999999999</v>
      </c>
      <c r="F12" s="7" t="n">
        <v>17</v>
      </c>
      <c r="G12" t="n">
        <v>35759</v>
      </c>
      <c r="H12" t="n">
        <v>32092</v>
      </c>
      <c r="I12" t="n">
        <v>29893</v>
      </c>
      <c r="J12" t="n">
        <v>23209</v>
      </c>
      <c r="K12" s="27">
        <f>(H12/D12-1)</f>
        <v/>
      </c>
      <c r="L12" s="27">
        <f>(I12/D12-1)</f>
        <v/>
      </c>
      <c r="M12" s="27">
        <f>(J12/D12-1)</f>
        <v/>
      </c>
      <c r="N12" t="n">
        <v>41.4</v>
      </c>
      <c r="O12" s="28">
        <f>(N12+F12)/2</f>
        <v/>
      </c>
      <c r="P12">
        <f>IF(O12="計算不能","計算不能",IF(O12&gt;=80,5,IF(O12&gt;=60,4,IF(O12&gt;=40,3,IF(O12&gt;=28,2,1)))))</f>
        <v/>
      </c>
      <c r="Q12" t="n">
        <v>6076</v>
      </c>
      <c r="R12" t="n">
        <v>1920</v>
      </c>
      <c r="S12" s="27">
        <f>R12/Q12</f>
        <v/>
      </c>
      <c r="T12" t="inlineStr">
        <is>
          <t>網走市は2045年までに人口が約27.7%減と明確な減少トレンド。高齢化の進行と世帯数の縮小により、中長期では賃貸需要の構造的縮小に警戒が必要。</t>
        </is>
      </c>
      <c r="U12" t="inlineStr">
        <is>
          <t>網走市は人口密度70人/km²と過疎的水準で、民間賃貸の新規需要は薄い。実需に裏付けられた格安戸建ての指値取得のみが現実的。 借家の空室率は約32%と供給過多気味で、空室長期化リスクに要警戒。</t>
        </is>
      </c>
      <c r="V12" t="inlineStr">
        <is>
          <t>網走市（北海道）：冬期の豪雪・着雪荷重と路面凍結が最大の運営リスク。石狩・十勝・天塩川水系の河川氾濫、太平洋沿岸の津波・千島海溝地震、火山周辺の降灰に留意。</t>
        </is>
      </c>
    </row>
    <row r="13">
      <c r="A13" t="inlineStr">
        <is>
          <t>北海道</t>
        </is>
      </c>
      <c r="B13" t="inlineStr">
        <is>
          <t>留萌市</t>
        </is>
      </c>
      <c r="C13" t="n">
        <v>9470</v>
      </c>
      <c r="D13" t="n">
        <v>17642</v>
      </c>
      <c r="E13" s="6" t="n">
        <v>58.3</v>
      </c>
      <c r="F13" s="7" t="n">
        <v>15.8</v>
      </c>
      <c r="G13" t="n">
        <v>20114</v>
      </c>
      <c r="H13" t="n">
        <v>17642</v>
      </c>
      <c r="I13" t="n">
        <v>15735</v>
      </c>
      <c r="J13" t="n">
        <v>10449</v>
      </c>
      <c r="K13" s="27">
        <f>(H13/D13-1)</f>
        <v/>
      </c>
      <c r="L13" s="27">
        <f>(I13/D13-1)</f>
        <v/>
      </c>
      <c r="M13" s="27">
        <f>(J13/D13-1)</f>
        <v/>
      </c>
      <c r="N13" t="n">
        <v>35.5</v>
      </c>
      <c r="O13" s="28">
        <f>(N13+F13)/2</f>
        <v/>
      </c>
      <c r="P13">
        <f>IF(O13="計算不能","計算不能",IF(O13&gt;=80,5,IF(O13&gt;=60,4,IF(O13&gt;=40,3,IF(O13&gt;=28,2,1)))))</f>
        <v/>
      </c>
      <c r="Q13" t="n">
        <v>3623</v>
      </c>
      <c r="R13" t="n">
        <v>1490</v>
      </c>
      <c r="S13" s="27">
        <f>R13/Q13</f>
        <v/>
      </c>
      <c r="T13" t="inlineStr">
        <is>
          <t>留萌市は2045年までに人口が約40.8%減と急激な過疎・超高齢化が進行。若年労働世代の流出と自然減が重なり、賃貸事業としての持続性は極めて限定的。</t>
        </is>
      </c>
      <c r="U13" t="inlineStr">
        <is>
          <t>留萌市は人口密度58人/km²と過疎的水準で、民間賃貸の新規需要は薄い。実需に裏付けられた格安戸建ての指値取得のみが現実的。 借家の空室率は約41%と供給過多気味で、空室長期化リスクに要警戒。</t>
        </is>
      </c>
      <c r="V13" t="inlineStr">
        <is>
          <t>留萌市（北海道）：冬期の豪雪・着雪荷重と路面凍結が最大の運営リスク。石狩・十勝・天塩川水系の河川氾濫、太平洋沿岸の津波・千島海溝地震、火山周辺の降灰に留意。</t>
        </is>
      </c>
    </row>
    <row r="14">
      <c r="A14" t="inlineStr">
        <is>
          <t>北海道</t>
        </is>
      </c>
      <c r="B14" t="inlineStr">
        <is>
          <t>苫小牧市</t>
        </is>
      </c>
      <c r="C14" t="n">
        <v>77150</v>
      </c>
      <c r="D14" t="n">
        <v>164613</v>
      </c>
      <c r="E14" s="6" t="n">
        <v>292.7</v>
      </c>
      <c r="F14" s="7" t="n">
        <v>34.6</v>
      </c>
      <c r="G14" t="n">
        <v>170113</v>
      </c>
      <c r="H14" t="n">
        <v>164613</v>
      </c>
      <c r="I14" t="n">
        <v>159207</v>
      </c>
      <c r="J14" t="n">
        <v>138751</v>
      </c>
      <c r="K14" s="27">
        <f>(H14/D14-1)</f>
        <v/>
      </c>
      <c r="L14" s="27">
        <f>(I14/D14-1)</f>
        <v/>
      </c>
      <c r="M14" s="27">
        <f>(J14/D14-1)</f>
        <v/>
      </c>
      <c r="N14" t="n">
        <v>58.7</v>
      </c>
      <c r="O14" s="28">
        <f>(N14+F14)/2</f>
        <v/>
      </c>
      <c r="P14">
        <f>IF(O14="計算不能","計算不能",IF(O14&gt;=80,5,IF(O14&gt;=60,4,IF(O14&gt;=40,3,IF(O14&gt;=28,2,1)))))</f>
        <v/>
      </c>
      <c r="Q14" t="n">
        <v>29523</v>
      </c>
      <c r="R14" t="n">
        <v>8390</v>
      </c>
      <c r="S14" s="27">
        <f>R14/Q14</f>
        <v/>
      </c>
      <c r="T14" t="inlineStr">
        <is>
          <t>苫小牧市は2045年までに人口が約15.7%減と明確な減少トレンド。高齢化の進行と世帯数の縮小により、中長期では賃貸需要の構造的縮小に警戒が必要。</t>
        </is>
      </c>
      <c r="U14" t="inlineStr">
        <is>
          <t>苫小牧市は人口密度293人/km²と低密度で、賃貸需要は限定的。持ち家比率が高く、駐車場完備の戸建て賃貸が有利。 借家の空室率は約28%と供給過多気味で、空室長期化リスクに要警戒。</t>
        </is>
      </c>
      <c r="V14" t="inlineStr">
        <is>
          <t>苫小牧市（北海道）：冬期の豪雪・着雪荷重と路面凍結が最大の運営リスク。石狩・十勝・天塩川水系の河川氾濫、太平洋沿岸の津波・千島海溝地震、火山周辺の降灰に留意。</t>
        </is>
      </c>
    </row>
    <row r="15">
      <c r="A15" t="inlineStr">
        <is>
          <t>北海道</t>
        </is>
      </c>
      <c r="B15" t="inlineStr">
        <is>
          <t>稚内市</t>
        </is>
      </c>
      <c r="C15" t="n">
        <v>15230</v>
      </c>
      <c r="D15" t="n">
        <v>30288</v>
      </c>
      <c r="E15" s="6" t="n">
        <v>39.5</v>
      </c>
      <c r="F15" s="7" t="n">
        <v>13.9</v>
      </c>
      <c r="G15" t="n">
        <v>33563</v>
      </c>
      <c r="H15" t="n">
        <v>30288</v>
      </c>
      <c r="I15" t="n">
        <v>27636</v>
      </c>
      <c r="J15" t="n">
        <v>19997</v>
      </c>
      <c r="K15" s="27">
        <f>(H15/D15-1)</f>
        <v/>
      </c>
      <c r="L15" s="27">
        <f>(I15/D15-1)</f>
        <v/>
      </c>
      <c r="M15" s="27">
        <f>(J15/D15-1)</f>
        <v/>
      </c>
      <c r="N15" t="n">
        <v>39.8</v>
      </c>
      <c r="O15" s="28">
        <f>(N15+F15)/2</f>
        <v/>
      </c>
      <c r="P15">
        <f>IF(O15="計算不能","計算不能",IF(O15&gt;=80,5,IF(O15&gt;=60,4,IF(O15&gt;=40,3,IF(O15&gt;=28,2,1)))))</f>
        <v/>
      </c>
      <c r="Q15" t="n">
        <v>5828</v>
      </c>
      <c r="R15" t="n">
        <v>1370</v>
      </c>
      <c r="S15" s="27">
        <f>R15/Q15</f>
        <v/>
      </c>
      <c r="T15" t="inlineStr">
        <is>
          <t>稚内市は2045年までに人口が約34.0%減と急激な過疎・超高齢化が進行。若年労働世代の流出と自然減が重なり、賃貸事業としての持続性は極めて限定的。</t>
        </is>
      </c>
      <c r="U15" t="inlineStr">
        <is>
          <t>稚内市は人口密度40人/km²と過疎的水準で、民間賃貸の新規需要は薄い。実需に裏付けられた格安戸建ての指値取得のみが現実的。 借家の空室率は約24%とやや高めで、競合との差別化が必要。</t>
        </is>
      </c>
      <c r="V15" t="inlineStr">
        <is>
          <t>稚内市（北海道）：冬期の豪雪・着雪荷重と路面凍結が最大の運営リスク。石狩・十勝・天塩川水系の河川氾濫、太平洋沿岸の津波・千島海溝地震、火山周辺の降灰に留意。</t>
        </is>
      </c>
    </row>
    <row r="16">
      <c r="A16" t="inlineStr">
        <is>
          <t>北海道</t>
        </is>
      </c>
      <c r="B16" t="inlineStr">
        <is>
          <t>美唄市</t>
        </is>
      </c>
      <c r="C16" t="n">
        <v>8720</v>
      </c>
      <c r="D16" t="n">
        <v>18068</v>
      </c>
      <c r="E16" s="6" t="n">
        <v>63.6</v>
      </c>
      <c r="F16" s="7" t="n">
        <v>16.4</v>
      </c>
      <c r="G16" t="n">
        <v>20413</v>
      </c>
      <c r="H16" t="n">
        <v>18068</v>
      </c>
      <c r="I16" t="n">
        <v>15858</v>
      </c>
      <c r="J16" t="n">
        <v>10166</v>
      </c>
      <c r="K16" s="27">
        <f>(H16/D16-1)</f>
        <v/>
      </c>
      <c r="L16" s="27">
        <f>(I16/D16-1)</f>
        <v/>
      </c>
      <c r="M16" s="27">
        <f>(J16/D16-1)</f>
        <v/>
      </c>
      <c r="N16" t="n">
        <v>35</v>
      </c>
      <c r="O16" s="28">
        <f>(N16+F16)/2</f>
        <v/>
      </c>
      <c r="P16">
        <f>IF(O16="計算不能","計算不能",IF(O16&gt;=80,5,IF(O16&gt;=60,4,IF(O16&gt;=40,3,IF(O16&gt;=28,2,1)))))</f>
        <v/>
      </c>
      <c r="Q16" t="n">
        <v>3336</v>
      </c>
      <c r="R16" t="n">
        <v>880</v>
      </c>
      <c r="S16" s="27">
        <f>R16/Q16</f>
        <v/>
      </c>
      <c r="T16" t="inlineStr">
        <is>
          <t>美唄市は2045年までに人口が約43.7%減と急激な過疎・超高齢化が進行。若年労働世代の流出と自然減が重なり、賃貸事業としての持続性は極めて限定的。</t>
        </is>
      </c>
      <c r="U16" t="inlineStr">
        <is>
          <t>美唄市は人口密度64人/km²と過疎的水準で、民間賃貸の新規需要は薄い。実需に裏付けられた格安戸建ての指値取得のみが現実的。 借家の空室率は約26%と供給過多気味で、空室長期化リスクに要警戒。</t>
        </is>
      </c>
      <c r="V16" t="inlineStr">
        <is>
          <t>美唄市（北海道）：冬期の豪雪・着雪荷重と路面凍結が最大の運営リスク。石狩・十勝・天塩川水系の河川氾濫、太平洋沿岸の津波・千島海溝地震、火山周辺の降灰に留意。</t>
        </is>
      </c>
    </row>
    <row r="17">
      <c r="A17" t="inlineStr">
        <is>
          <t>北海道</t>
        </is>
      </c>
      <c r="B17" t="inlineStr">
        <is>
          <t>芦別市</t>
        </is>
      </c>
      <c r="C17" t="n">
        <v>5750</v>
      </c>
      <c r="D17" t="n">
        <v>10671</v>
      </c>
      <c r="E17" s="6" t="n">
        <v>12.3</v>
      </c>
      <c r="F17" s="7" t="n">
        <v>11.2</v>
      </c>
      <c r="G17" t="n">
        <v>12555</v>
      </c>
      <c r="H17" t="n">
        <v>10671</v>
      </c>
      <c r="I17" t="n">
        <v>9137</v>
      </c>
      <c r="J17" t="n">
        <v>5414</v>
      </c>
      <c r="K17" s="27">
        <f>(H17/D17-1)</f>
        <v/>
      </c>
      <c r="L17" s="27">
        <f>(I17/D17-1)</f>
        <v/>
      </c>
      <c r="M17" s="27">
        <f>(J17/D17-1)</f>
        <v/>
      </c>
      <c r="N17" t="n">
        <v>30.2</v>
      </c>
      <c r="O17" s="28">
        <f>(N17+F17)/2</f>
        <v/>
      </c>
      <c r="P17">
        <f>IF(O17="計算不能","計算不能",IF(O17&gt;=80,5,IF(O17&gt;=60,4,IF(O17&gt;=40,3,IF(O17&gt;=28,2,1)))))</f>
        <v/>
      </c>
      <c r="Q17" t="n">
        <v>2200</v>
      </c>
      <c r="R17" t="n">
        <v>1250</v>
      </c>
      <c r="S17" s="27">
        <f>R17/Q17</f>
        <v/>
      </c>
      <c r="T17" t="inlineStr">
        <is>
          <t>芦別市は2045年までに人口が約49.3%減と急激な過疎・超高齢化が進行。若年労働世代の流出と自然減が重なり、賃貸事業としての持続性は極めて限定的。</t>
        </is>
      </c>
      <c r="U17" t="inlineStr">
        <is>
          <t>芦別市は人口密度12人/km²と過疎的水準で、民間賃貸の新規需要は薄い。実需に裏付けられた格安戸建ての指値取得のみが現実的。 借家の空室率は約57%と供給過多気味で、空室長期化リスクに要警戒。</t>
        </is>
      </c>
      <c r="V17" t="inlineStr">
        <is>
          <t>芦別市（北海道）：冬期の豪雪・着雪荷重と路面凍結が最大の運営リスク。石狩・十勝・天塩川水系の河川氾濫、太平洋沿岸の津波・千島海溝地震、火山周辺の降灰に留意。</t>
        </is>
      </c>
    </row>
    <row r="18">
      <c r="A18" t="inlineStr">
        <is>
          <t>北海道</t>
        </is>
      </c>
      <c r="B18" t="inlineStr">
        <is>
          <t>江別市</t>
        </is>
      </c>
      <c r="C18" t="n">
        <v>51880</v>
      </c>
      <c r="D18" t="n">
        <v>118449</v>
      </c>
      <c r="E18" s="6" t="n">
        <v>638.1</v>
      </c>
      <c r="F18" s="7" t="n">
        <v>47.8</v>
      </c>
      <c r="G18" t="n">
        <v>121056</v>
      </c>
      <c r="H18" t="n">
        <v>118449</v>
      </c>
      <c r="I18" t="n">
        <v>114812</v>
      </c>
      <c r="J18" t="n">
        <v>99897</v>
      </c>
      <c r="K18" s="27">
        <f>(H18/D18-1)</f>
        <v/>
      </c>
      <c r="L18" s="27">
        <f>(I18/D18-1)</f>
        <v/>
      </c>
      <c r="M18" s="27">
        <f>(J18/D18-1)</f>
        <v/>
      </c>
      <c r="N18" t="n">
        <v>60.9</v>
      </c>
      <c r="O18" s="28">
        <f>(N18+F18)/2</f>
        <v/>
      </c>
      <c r="P18">
        <f>IF(O18="計算不能","計算不能",IF(O18&gt;=80,5,IF(O18&gt;=60,4,IF(O18&gt;=40,3,IF(O18&gt;=28,2,1)))))</f>
        <v/>
      </c>
      <c r="Q18" t="n">
        <v>19853</v>
      </c>
      <c r="R18" t="n">
        <v>4370</v>
      </c>
      <c r="S18" s="27">
        <f>R18/Q18</f>
        <v/>
      </c>
      <c r="T18" t="inlineStr">
        <is>
          <t>江別市は2045年までに人口が約15.7%減と明確な減少トレンド。高齢化の進行と世帯数の縮小により、中長期では賃貸需要の構造的縮小に警戒が必要。</t>
        </is>
      </c>
      <c r="U18" t="inlineStr">
        <is>
          <t>江別市は人口密度638人/km²で、主要道路沿いや中心市街地に一定の賃貸需要が局在。立地選別が稼働を左右する。 借家の空室率は約22%とやや高めで、競合との差別化が必要。</t>
        </is>
      </c>
      <c r="V18" t="inlineStr">
        <is>
          <t>江別市（北海道）：冬期の豪雪・着雪荷重と路面凍結が最大の運営リスク。石狩・十勝・天塩川水系の河川氾濫、太平洋沿岸の津波・千島海溝地震、火山周辺の降灰に留意。</t>
        </is>
      </c>
    </row>
    <row r="19">
      <c r="A19" t="inlineStr">
        <is>
          <t>北海道</t>
        </is>
      </c>
      <c r="B19" t="inlineStr">
        <is>
          <t>赤平市</t>
        </is>
      </c>
      <c r="C19" t="n">
        <v>4350</v>
      </c>
      <c r="D19" t="n">
        <v>8332</v>
      </c>
      <c r="E19" s="6" t="n">
        <v>63.7</v>
      </c>
      <c r="F19" s="7" t="n">
        <v>16.4</v>
      </c>
      <c r="G19" t="n">
        <v>9698</v>
      </c>
      <c r="H19" t="n">
        <v>8332</v>
      </c>
      <c r="I19" t="n">
        <v>7186</v>
      </c>
      <c r="J19" t="n">
        <v>4365</v>
      </c>
      <c r="K19" s="27">
        <f>(H19/D19-1)</f>
        <v/>
      </c>
      <c r="L19" s="27">
        <f>(I19/D19-1)</f>
        <v/>
      </c>
      <c r="M19" s="27">
        <f>(J19/D19-1)</f>
        <v/>
      </c>
      <c r="N19" t="n">
        <v>31.6</v>
      </c>
      <c r="O19" s="28">
        <f>(N19+F19)/2</f>
        <v/>
      </c>
      <c r="P19">
        <f>IF(O19="計算不能","計算不能",IF(O19&gt;=80,5,IF(O19&gt;=60,4,IF(O19&gt;=40,3,IF(O19&gt;=28,2,1)))))</f>
        <v/>
      </c>
      <c r="Q19" t="n">
        <v>1664</v>
      </c>
      <c r="R19" t="n">
        <v>1160</v>
      </c>
      <c r="S19" s="27">
        <f>R19/Q19</f>
        <v/>
      </c>
      <c r="T19" t="inlineStr">
        <is>
          <t>赤平市は2045年までに人口が約47.6%減と急激な過疎・超高齢化が進行。若年労働世代の流出と自然減が重なり、賃貸事業としての持続性は極めて限定的。</t>
        </is>
      </c>
      <c r="U19" t="inlineStr">
        <is>
          <t>赤平市は人口密度64人/km²と過疎的水準で、民間賃貸の新規需要は薄い。実需に裏付けられた格安戸建ての指値取得のみが現実的。 借家の空室率は約70%と供給過多気味で、空室長期化リスクに要警戒。</t>
        </is>
      </c>
      <c r="V19" t="inlineStr">
        <is>
          <t>赤平市（北海道）：冬期の豪雪・着雪荷重と路面凍結が最大の運営リスク。石狩・十勝・天塩川水系の河川氾濫、太平洋沿岸の津波・千島海溝地震、火山周辺の降灰に留意。</t>
        </is>
      </c>
    </row>
    <row r="20">
      <c r="A20" t="inlineStr">
        <is>
          <t>北海道</t>
        </is>
      </c>
      <c r="B20" t="inlineStr">
        <is>
          <t>紋別市</t>
        </is>
      </c>
      <c r="C20" t="n">
        <v>10930</v>
      </c>
      <c r="D20" t="n">
        <v>19510</v>
      </c>
      <c r="E20" s="6" t="n">
        <v>23.4</v>
      </c>
      <c r="F20" s="7" t="n">
        <v>12.3</v>
      </c>
      <c r="G20" t="n">
        <v>21215</v>
      </c>
      <c r="H20" t="n">
        <v>19510</v>
      </c>
      <c r="I20" t="n">
        <v>17782</v>
      </c>
      <c r="J20" t="n">
        <v>12867</v>
      </c>
      <c r="K20" s="27">
        <f>(H20/D20-1)</f>
        <v/>
      </c>
      <c r="L20" s="27">
        <f>(I20/D20-1)</f>
        <v/>
      </c>
      <c r="M20" s="27">
        <f>(J20/D20-1)</f>
        <v/>
      </c>
      <c r="N20" t="n">
        <v>41.3</v>
      </c>
      <c r="O20" s="28">
        <f>(N20+F20)/2</f>
        <v/>
      </c>
      <c r="P20">
        <f>IF(O20="計算不能","計算不能",IF(O20&gt;=80,5,IF(O20&gt;=60,4,IF(O20&gt;=40,3,IF(O20&gt;=28,2,1)))))</f>
        <v/>
      </c>
      <c r="Q20" t="n">
        <v>4182</v>
      </c>
      <c r="R20" t="n">
        <v>550</v>
      </c>
      <c r="S20" s="27">
        <f>R20/Q20</f>
        <v/>
      </c>
      <c r="T20" t="inlineStr">
        <is>
          <t>紋別市は2045年までに人口が約34.0%減と急激な過疎・超高齢化が進行。若年労働世代の流出と自然減が重なり、賃貸事業としての持続性は極めて限定的。</t>
        </is>
      </c>
      <c r="U20" t="inlineStr">
        <is>
          <t>紋別市は人口密度23人/km²と過疎的水準で、民間賃貸の新規需要は薄い。実需に裏付けられた格安戸建ての指値取得のみが現実的。 借家の空室率は約13%と需給は比較的引き締まっている。</t>
        </is>
      </c>
      <c r="V20" t="inlineStr">
        <is>
          <t>紋別市（北海道）：冬期の豪雪・着雪荷重と路面凍結が最大の運営リスク。石狩・十勝・天塩川水系の河川氾濫、太平洋沿岸の津波・千島海溝地震、火山周辺の降灰に留意。</t>
        </is>
      </c>
    </row>
    <row r="21">
      <c r="A21" t="inlineStr">
        <is>
          <t>北海道</t>
        </is>
      </c>
      <c r="B21" t="inlineStr">
        <is>
          <t>士別市</t>
        </is>
      </c>
      <c r="C21" t="n">
        <v>7900</v>
      </c>
      <c r="D21" t="n">
        <v>15695</v>
      </c>
      <c r="E21" s="6" t="n">
        <v>14.1</v>
      </c>
      <c r="F21" s="7" t="n">
        <v>11.4</v>
      </c>
      <c r="G21" t="n">
        <v>17858</v>
      </c>
      <c r="H21" t="n">
        <v>15695</v>
      </c>
      <c r="I21" t="n">
        <v>13929</v>
      </c>
      <c r="J21" t="n">
        <v>9293</v>
      </c>
      <c r="K21" s="27">
        <f>(H21/D21-1)</f>
        <v/>
      </c>
      <c r="L21" s="27">
        <f>(I21/D21-1)</f>
        <v/>
      </c>
      <c r="M21" s="27">
        <f>(J21/D21-1)</f>
        <v/>
      </c>
      <c r="N21" t="n">
        <v>35.5</v>
      </c>
      <c r="O21" s="28">
        <f>(N21+F21)/2</f>
        <v/>
      </c>
      <c r="P21">
        <f>IF(O21="計算不能","計算不能",IF(O21&gt;=80,5,IF(O21&gt;=60,4,IF(O21&gt;=40,3,IF(O21&gt;=28,2,1)))))</f>
        <v/>
      </c>
      <c r="Q21" t="n">
        <v>3023</v>
      </c>
      <c r="R21" t="n">
        <v>650</v>
      </c>
      <c r="S21" s="27">
        <f>R21/Q21</f>
        <v/>
      </c>
      <c r="T21" t="inlineStr">
        <is>
          <t>士別市は2045年までに人口が約40.8%減と急激な過疎・超高齢化が進行。若年労働世代の流出と自然減が重なり、賃貸事業としての持続性は極めて限定的。</t>
        </is>
      </c>
      <c r="U21" t="inlineStr">
        <is>
          <t>士別市は人口密度14人/km²と過疎的水準で、民間賃貸の新規需要は薄い。実需に裏付けられた格安戸建ての指値取得のみが現実的。 借家の空室率は約22%とやや高めで、競合との差別化が必要。</t>
        </is>
      </c>
      <c r="V21" t="inlineStr">
        <is>
          <t>士別市（北海道）：冬期の豪雪・着雪荷重と路面凍結が最大の運営リスク。石狩・十勝・天塩川水系の河川氾濫、太平洋沿岸の津波・千島海溝地震、火山周辺の降灰に留意。</t>
        </is>
      </c>
    </row>
    <row r="22">
      <c r="A22" t="inlineStr">
        <is>
          <t>北海道</t>
        </is>
      </c>
      <c r="B22" t="inlineStr">
        <is>
          <t>名寄市</t>
        </is>
      </c>
      <c r="C22" t="n">
        <v>11980</v>
      </c>
      <c r="D22" t="n">
        <v>25202</v>
      </c>
      <c r="E22" s="6" t="n">
        <v>45.6</v>
      </c>
      <c r="F22" s="7" t="n">
        <v>14.6</v>
      </c>
      <c r="G22" t="n">
        <v>27282</v>
      </c>
      <c r="H22" t="n">
        <v>25202</v>
      </c>
      <c r="I22" t="n">
        <v>23576</v>
      </c>
      <c r="J22" t="n">
        <v>18785</v>
      </c>
      <c r="K22" s="27">
        <f>(H22/D22-1)</f>
        <v/>
      </c>
      <c r="L22" s="27">
        <f>(I22/D22-1)</f>
        <v/>
      </c>
      <c r="M22" s="27">
        <f>(J22/D22-1)</f>
        <v/>
      </c>
      <c r="N22" t="n">
        <v>44.4</v>
      </c>
      <c r="O22" s="28">
        <f>(N22+F22)/2</f>
        <v/>
      </c>
      <c r="P22">
        <f>IF(O22="計算不能","計算不能",IF(O22&gt;=80,5,IF(O22&gt;=60,4,IF(O22&gt;=40,3,IF(O22&gt;=28,2,1)))))</f>
        <v/>
      </c>
      <c r="Q22" t="n">
        <v>4584</v>
      </c>
      <c r="R22" t="n">
        <v>1180</v>
      </c>
      <c r="S22" s="27">
        <f>R22/Q22</f>
        <v/>
      </c>
      <c r="T22" t="inlineStr">
        <is>
          <t>名寄市は2045年までに人口が約25.5%減と明確な減少トレンド。高齢化の進行と世帯数の縮小により、中長期では賃貸需要の構造的縮小に警戒が必要。</t>
        </is>
      </c>
      <c r="U22" t="inlineStr">
        <is>
          <t>名寄市は人口密度46人/km²と過疎的水準で、民間賃貸の新規需要は薄い。実需に裏付けられた格安戸建ての指値取得のみが現実的。 借家の空室率は約26%と供給過多気味で、空室長期化リスクに要警戒。</t>
        </is>
      </c>
      <c r="V22" t="inlineStr">
        <is>
          <t>名寄市（北海道）：冬期の豪雪・着雪荷重と路面凍結が最大の運営リスク。石狩・十勝・天塩川水系の河川氾濫、太平洋沿岸の津波・千島海溝地震、火山周辺の降灰に留意。</t>
        </is>
      </c>
    </row>
    <row r="23">
      <c r="A23" t="inlineStr">
        <is>
          <t>北海道</t>
        </is>
      </c>
      <c r="B23" t="inlineStr">
        <is>
          <t>三笠市</t>
        </is>
      </c>
      <c r="C23" t="n">
        <v>3630</v>
      </c>
      <c r="D23" t="n">
        <v>7012</v>
      </c>
      <c r="E23" s="6" t="n">
        <v>22.8</v>
      </c>
      <c r="F23" s="7" t="n">
        <v>12.3</v>
      </c>
      <c r="G23" t="n">
        <v>8040</v>
      </c>
      <c r="H23" t="n">
        <v>7012</v>
      </c>
      <c r="I23" t="n">
        <v>6141</v>
      </c>
      <c r="J23" t="n">
        <v>4122</v>
      </c>
      <c r="K23" s="27">
        <f>(H23/D23-1)</f>
        <v/>
      </c>
      <c r="L23" s="27">
        <f>(I23/D23-1)</f>
        <v/>
      </c>
      <c r="M23" s="27">
        <f>(J23/D23-1)</f>
        <v/>
      </c>
      <c r="N23" t="n">
        <v>34.4</v>
      </c>
      <c r="O23" s="28">
        <f>(N23+F23)/2</f>
        <v/>
      </c>
      <c r="P23">
        <f>IF(O23="計算不能","計算不能",IF(O23&gt;=80,5,IF(O23&gt;=60,4,IF(O23&gt;=40,3,IF(O23&gt;=28,2,1)))))</f>
        <v/>
      </c>
      <c r="Q23" t="n">
        <v>1389</v>
      </c>
      <c r="R23" t="n">
        <v>1210</v>
      </c>
      <c r="S23" s="27">
        <f>R23/Q23</f>
        <v/>
      </c>
      <c r="T23" t="inlineStr">
        <is>
          <t>三笠市は2045年までに人口が約41.2%減と急激な過疎・超高齢化が進行。若年労働世代の流出と自然減が重なり、賃貸事業としての持続性は極めて限定的。</t>
        </is>
      </c>
      <c r="U23" t="inlineStr">
        <is>
          <t>三笠市は人口密度23人/km²と過疎的水準で、民間賃貸の新規需要は薄い。実需に裏付けられた格安戸建ての指値取得のみが現実的。 借家の空室率は約87%と供給過多気味で、空室長期化リスクに要警戒。</t>
        </is>
      </c>
      <c r="V23" t="inlineStr">
        <is>
          <t>三笠市（北海道）：冬期の豪雪・着雪荷重と路面凍結が最大の運営リスク。石狩・十勝・天塩川水系の河川氾濫、太平洋沿岸の津波・千島海溝地震、火山周辺の降灰に留意。</t>
        </is>
      </c>
    </row>
    <row r="24">
      <c r="A24" t="inlineStr">
        <is>
          <t>北海道</t>
        </is>
      </c>
      <c r="B24" t="inlineStr">
        <is>
          <t>根室市</t>
        </is>
      </c>
      <c r="C24" t="n">
        <v>10250</v>
      </c>
      <c r="D24" t="n">
        <v>22317</v>
      </c>
      <c r="E24" s="6" t="n">
        <v>52</v>
      </c>
      <c r="F24" s="7" t="n">
        <v>15.2</v>
      </c>
      <c r="G24" t="n">
        <v>24636</v>
      </c>
      <c r="H24" t="n">
        <v>22317</v>
      </c>
      <c r="I24" t="n">
        <v>20149</v>
      </c>
      <c r="J24" t="n">
        <v>14117</v>
      </c>
      <c r="K24" s="27">
        <f>(H24/D24-1)</f>
        <v/>
      </c>
      <c r="L24" s="27">
        <f>(I24/D24-1)</f>
        <v/>
      </c>
      <c r="M24" s="27">
        <f>(J24/D24-1)</f>
        <v/>
      </c>
      <c r="N24" t="n">
        <v>39.2</v>
      </c>
      <c r="O24" s="28">
        <f>(N24+F24)/2</f>
        <v/>
      </c>
      <c r="P24">
        <f>IF(O24="計算不能","計算不能",IF(O24&gt;=80,5,IF(O24&gt;=60,4,IF(O24&gt;=40,3,IF(O24&gt;=28,2,1)))))</f>
        <v/>
      </c>
      <c r="Q24" t="n">
        <v>3922</v>
      </c>
      <c r="R24" t="n">
        <v>860</v>
      </c>
      <c r="S24" s="27">
        <f>R24/Q24</f>
        <v/>
      </c>
      <c r="T24" t="inlineStr">
        <is>
          <t>根室市は2045年までに人口が約36.7%減と急激な過疎・超高齢化が進行。若年労働世代の流出と自然減が重なり、賃貸事業としての持続性は極めて限定的。</t>
        </is>
      </c>
      <c r="U24" t="inlineStr">
        <is>
          <t>根室市は人口密度52人/km²と過疎的水準で、民間賃貸の新規需要は薄い。実需に裏付けられた格安戸建ての指値取得のみが現実的。 借家の空室率は約22%とやや高めで、競合との差別化が必要。</t>
        </is>
      </c>
      <c r="V24" t="inlineStr">
        <is>
          <t>根室市（北海道）：冬期の豪雪・着雪荷重と路面凍結が最大の運営リスク。石狩・十勝・天塩川水系の河川氾濫、太平洋沿岸の津波・千島海溝地震、火山周辺の降灰に留意。</t>
        </is>
      </c>
    </row>
    <row r="25">
      <c r="A25" t="inlineStr">
        <is>
          <t>北海道</t>
        </is>
      </c>
      <c r="B25" t="inlineStr">
        <is>
          <t>千歳市</t>
        </is>
      </c>
      <c r="C25" t="n">
        <v>44240</v>
      </c>
      <c r="D25" t="n">
        <v>97797</v>
      </c>
      <c r="E25" s="6" t="n">
        <v>165.1</v>
      </c>
      <c r="F25" s="7" t="n">
        <v>26.5</v>
      </c>
      <c r="G25" t="n">
        <v>97950</v>
      </c>
      <c r="H25" t="n">
        <v>97797</v>
      </c>
      <c r="I25" t="n">
        <v>96607</v>
      </c>
      <c r="J25" t="n">
        <v>90231</v>
      </c>
      <c r="K25" s="27">
        <f>(H25/D25-1)</f>
        <v/>
      </c>
      <c r="L25" s="27">
        <f>(I25/D25-1)</f>
        <v/>
      </c>
      <c r="M25" s="27">
        <f>(J25/D25-1)</f>
        <v/>
      </c>
      <c r="N25" t="n">
        <v>70</v>
      </c>
      <c r="O25" s="28">
        <f>(N25+F25)/2</f>
        <v/>
      </c>
      <c r="P25">
        <f>IF(O25="計算不能","計算不能",IF(O25&gt;=80,5,IF(O25&gt;=60,4,IF(O25&gt;=40,3,IF(O25&gt;=28,2,1)))))</f>
        <v/>
      </c>
      <c r="Q25" t="n">
        <v>16929</v>
      </c>
      <c r="R25" t="n">
        <v>5040</v>
      </c>
      <c r="S25" s="27">
        <f>R25/Q25</f>
        <v/>
      </c>
      <c r="T25" t="inlineStr">
        <is>
          <t>千歳市は2045年までに人口が約7.7%減と緩やかな減少局面。若年層の都市部流出と高齢化が進むが、当面の賃貸稼働は一定程度維持される見通し。</t>
        </is>
      </c>
      <c r="U25" t="inlineStr">
        <is>
          <t>千歳市は人口密度165人/km²と過疎的水準で、民間賃貸の新規需要は薄い。実需に裏付けられた格安戸建ての指値取得のみが現実的。 借家の空室率は約30%と供給過多気味で、空室長期化リスクに要警戒。</t>
        </is>
      </c>
      <c r="V25" t="inlineStr">
        <is>
          <t>千歳市（北海道）：冬期の豪雪・着雪荷重と路面凍結が最大の運営リスク。石狩・十勝・天塩川水系の河川氾濫、太平洋沿岸の津波・千島海溝地震、火山周辺の降灰に留意。</t>
        </is>
      </c>
    </row>
    <row r="26">
      <c r="A26" t="inlineStr">
        <is>
          <t>北海道</t>
        </is>
      </c>
      <c r="B26" t="inlineStr">
        <is>
          <t>滝川市</t>
        </is>
      </c>
      <c r="C26" t="n">
        <v>18370</v>
      </c>
      <c r="D26" t="n">
        <v>36802</v>
      </c>
      <c r="E26" s="6" t="n">
        <v>309.3</v>
      </c>
      <c r="F26" s="7" t="n">
        <v>35.5</v>
      </c>
      <c r="G26" t="n">
        <v>39490</v>
      </c>
      <c r="H26" t="n">
        <v>36802</v>
      </c>
      <c r="I26" t="n">
        <v>34527</v>
      </c>
      <c r="J26" t="n">
        <v>27586</v>
      </c>
      <c r="K26" s="27">
        <f>(H26/D26-1)</f>
        <v/>
      </c>
      <c r="L26" s="27">
        <f>(I26/D26-1)</f>
        <v/>
      </c>
      <c r="M26" s="27">
        <f>(J26/D26-1)</f>
        <v/>
      </c>
      <c r="N26" t="n">
        <v>45.7</v>
      </c>
      <c r="O26" s="28">
        <f>(N26+F26)/2</f>
        <v/>
      </c>
      <c r="P26">
        <f>IF(O26="計算不能","計算不能",IF(O26&gt;=80,5,IF(O26&gt;=60,4,IF(O26&gt;=40,3,IF(O26&gt;=28,2,1)))))</f>
        <v/>
      </c>
      <c r="Q26" t="n">
        <v>7029</v>
      </c>
      <c r="R26" t="n">
        <v>1950</v>
      </c>
      <c r="S26" s="27">
        <f>R26/Q26</f>
        <v/>
      </c>
      <c r="T26" t="inlineStr">
        <is>
          <t>滝川市は2045年までに人口が約25.0%減と明確な減少トレンド。高齢化の進行と世帯数の縮小により、中長期では賃貸需要の構造的縮小に警戒が必要。</t>
        </is>
      </c>
      <c r="U26" t="inlineStr">
        <is>
          <t>滝川市は人口密度309人/km²と低密度で、賃貸需要は限定的。持ち家比率が高く、駐車場完備の戸建て賃貸が有利。 借家の空室率は約28%と供給過多気味で、空室長期化リスクに要警戒。</t>
        </is>
      </c>
      <c r="V26" t="inlineStr">
        <is>
          <t>滝川市（北海道）：冬期の豪雪・着雪荷重と路面凍結が最大の運営リスク。石狩・十勝・天塩川水系の河川氾濫、太平洋沿岸の津波・千島海溝地震、火山周辺の降灰に留意。</t>
        </is>
      </c>
    </row>
    <row r="27">
      <c r="A27" t="inlineStr">
        <is>
          <t>北海道</t>
        </is>
      </c>
      <c r="B27" t="inlineStr">
        <is>
          <t>砂川市</t>
        </is>
      </c>
      <c r="C27" t="n">
        <v>7620</v>
      </c>
      <c r="D27" t="n">
        <v>14916</v>
      </c>
      <c r="E27" s="6" t="n">
        <v>190.6</v>
      </c>
      <c r="F27" s="7" t="n">
        <v>29.1</v>
      </c>
      <c r="G27" t="n">
        <v>16486</v>
      </c>
      <c r="H27" t="n">
        <v>14916</v>
      </c>
      <c r="I27" t="n">
        <v>13634</v>
      </c>
      <c r="J27" t="n">
        <v>10080</v>
      </c>
      <c r="K27" s="27">
        <f>(H27/D27-1)</f>
        <v/>
      </c>
      <c r="L27" s="27">
        <f>(I27/D27-1)</f>
        <v/>
      </c>
      <c r="M27" s="27">
        <f>(J27/D27-1)</f>
        <v/>
      </c>
      <c r="N27" t="n">
        <v>40.4</v>
      </c>
      <c r="O27" s="28">
        <f>(N27+F27)/2</f>
        <v/>
      </c>
      <c r="P27">
        <f>IF(O27="計算不能","計算不能",IF(O27&gt;=80,5,IF(O27&gt;=60,4,IF(O27&gt;=40,3,IF(O27&gt;=28,2,1)))))</f>
        <v/>
      </c>
      <c r="Q27" t="n">
        <v>2916</v>
      </c>
      <c r="R27" t="n">
        <v>840</v>
      </c>
      <c r="S27" s="27">
        <f>R27/Q27</f>
        <v/>
      </c>
      <c r="T27" t="inlineStr">
        <is>
          <t>砂川市は2045年までに人口が約32.4%減と急激な過疎・超高齢化が進行。若年労働世代の流出と自然減が重なり、賃貸事業としての持続性は極めて限定的。</t>
        </is>
      </c>
      <c r="U27" t="inlineStr">
        <is>
          <t>砂川市は人口密度191人/km²と過疎的水準で、民間賃貸の新規需要は薄い。実需に裏付けられた格安戸建ての指値取得のみが現実的。 借家の空室率は約29%と供給過多気味で、空室長期化リスクに要警戒。</t>
        </is>
      </c>
      <c r="V27" t="inlineStr">
        <is>
          <t>砂川市（北海道）：冬期の豪雪・着雪荷重と路面凍結が最大の運営リスク。石狩・十勝・天塩川水系の河川氾濫、太平洋沿岸の津波・千島海溝地震、火山周辺の降灰に留意。</t>
        </is>
      </c>
    </row>
    <row r="28">
      <c r="A28" t="inlineStr">
        <is>
          <t>北海道</t>
        </is>
      </c>
      <c r="B28" t="inlineStr">
        <is>
          <t>歌志内市</t>
        </is>
      </c>
      <c r="C28" t="n">
        <v>1280</v>
      </c>
      <c r="D28" t="n">
        <v>2443</v>
      </c>
      <c r="E28" s="6" t="n">
        <v>43.8</v>
      </c>
      <c r="F28" s="7" t="n">
        <v>14.4</v>
      </c>
      <c r="G28" t="n">
        <v>2989</v>
      </c>
      <c r="H28" t="n">
        <v>2443</v>
      </c>
      <c r="I28" t="n">
        <v>2021</v>
      </c>
      <c r="J28" t="n">
        <v>1072</v>
      </c>
      <c r="K28" s="27">
        <f>(H28/D28-1)</f>
        <v/>
      </c>
      <c r="L28" s="27">
        <f>(I28/D28-1)</f>
        <v/>
      </c>
      <c r="M28" s="27">
        <f>(J28/D28-1)</f>
        <v/>
      </c>
      <c r="N28" t="n">
        <v>27.7</v>
      </c>
      <c r="O28" s="28">
        <f>(N28+F28)/2</f>
        <v/>
      </c>
      <c r="P28">
        <f>IF(O28="計算不能","計算不能",IF(O28&gt;=80,5,IF(O28&gt;=60,4,IF(O28&gt;=40,3,IF(O28&gt;=28,2,1)))))</f>
        <v/>
      </c>
      <c r="Q28" t="n">
        <v>489</v>
      </c>
      <c r="R28" t="n">
        <v>190</v>
      </c>
      <c r="S28" s="27">
        <f>R28/Q28</f>
        <v/>
      </c>
      <c r="T28" t="inlineStr">
        <is>
          <t>歌志内市は2045年までに人口が約56.1%減と急激な過疎・超高齢化が進行。若年労働世代の流出と自然減が重なり、賃貸事業としての持続性は極めて限定的。</t>
        </is>
      </c>
      <c r="U28" t="inlineStr">
        <is>
          <t>歌志内市は人口密度44人/km²と過疎的水準で、民間賃貸の新規需要は薄い。実需に裏付けられた格安戸建ての指値取得のみが現実的。 借家の空室率は約39%と供給過多気味で、空室長期化リスクに要警戒。</t>
        </is>
      </c>
      <c r="V28" t="inlineStr">
        <is>
          <t>歌志内市（北海道）：冬期の豪雪・着雪荷重と路面凍結が最大の運営リスク。石狩・十勝・天塩川水系の河川氾濫、太平洋沿岸の津波・千島海溝地震、火山周辺の降灰に留意。</t>
        </is>
      </c>
    </row>
    <row r="29">
      <c r="A29" t="inlineStr">
        <is>
          <t>北海道</t>
        </is>
      </c>
      <c r="B29" t="inlineStr">
        <is>
          <t>深川市</t>
        </is>
      </c>
      <c r="C29" t="n">
        <v>8850</v>
      </c>
      <c r="D29" t="n">
        <v>17824</v>
      </c>
      <c r="E29" s="6" t="n">
        <v>33.5</v>
      </c>
      <c r="F29" s="7" t="n">
        <v>13.3</v>
      </c>
      <c r="G29" t="n">
        <v>20039</v>
      </c>
      <c r="H29" t="n">
        <v>17824</v>
      </c>
      <c r="I29" t="n">
        <v>16006</v>
      </c>
      <c r="J29" t="n">
        <v>11209</v>
      </c>
      <c r="K29" s="27">
        <f>(H29/D29-1)</f>
        <v/>
      </c>
      <c r="L29" s="27">
        <f>(I29/D29-1)</f>
        <v/>
      </c>
      <c r="M29" s="27">
        <f>(J29/D29-1)</f>
        <v/>
      </c>
      <c r="N29" t="n">
        <v>37.5</v>
      </c>
      <c r="O29" s="28">
        <f>(N29+F29)/2</f>
        <v/>
      </c>
      <c r="P29">
        <f>IF(O29="計算不能","計算不能",IF(O29&gt;=80,5,IF(O29&gt;=60,4,IF(O29&gt;=40,3,IF(O29&gt;=28,2,1)))))</f>
        <v/>
      </c>
      <c r="Q29" t="n">
        <v>3386</v>
      </c>
      <c r="R29" t="n">
        <v>1230</v>
      </c>
      <c r="S29" s="27">
        <f>R29/Q29</f>
        <v/>
      </c>
      <c r="T29" t="inlineStr">
        <is>
          <t>深川市は2045年までに人口が約37.1%減と急激な過疎・超高齢化が進行。若年労働世代の流出と自然減が重なり、賃貸事業としての持続性は極めて限定的。</t>
        </is>
      </c>
      <c r="U29" t="inlineStr">
        <is>
          <t>深川市は人口密度34人/km²と過疎的水準で、民間賃貸の新規需要は薄い。実需に裏付けられた格安戸建ての指値取得のみが現実的。 借家の空室率は約36%と供給過多気味で、空室長期化リスクに要警戒。</t>
        </is>
      </c>
      <c r="V29" t="inlineStr">
        <is>
          <t>深川市（北海道）：冬期の豪雪・着雪荷重と路面凍結が最大の運営リスク。石狩・十勝・天塩川水系の河川氾濫、太平洋沿岸の津波・千島海溝地震、火山周辺の降灰に留意。</t>
        </is>
      </c>
    </row>
    <row r="30">
      <c r="A30" t="inlineStr">
        <is>
          <t>北海道</t>
        </is>
      </c>
      <c r="B30" t="inlineStr">
        <is>
          <t>富良野市</t>
        </is>
      </c>
      <c r="C30" t="n">
        <v>9280</v>
      </c>
      <c r="D30" t="n">
        <v>18707</v>
      </c>
      <c r="E30" s="6" t="n">
        <v>32.2</v>
      </c>
      <c r="F30" s="7" t="n">
        <v>13.2</v>
      </c>
      <c r="G30" t="n">
        <v>21131</v>
      </c>
      <c r="H30" t="n">
        <v>18707</v>
      </c>
      <c r="I30" t="n">
        <v>17214</v>
      </c>
      <c r="J30" t="n">
        <v>12901</v>
      </c>
      <c r="K30" s="27">
        <f>(H30/D30-1)</f>
        <v/>
      </c>
      <c r="L30" s="27">
        <f>(I30/D30-1)</f>
        <v/>
      </c>
      <c r="M30" s="27">
        <f>(J30/D30-1)</f>
        <v/>
      </c>
      <c r="N30" t="n">
        <v>39.2</v>
      </c>
      <c r="O30" s="28">
        <f>(N30+F30)/2</f>
        <v/>
      </c>
      <c r="P30">
        <f>IF(O30="計算不能","計算不能",IF(O30&gt;=80,5,IF(O30&gt;=60,4,IF(O30&gt;=40,3,IF(O30&gt;=28,2,1)))))</f>
        <v/>
      </c>
      <c r="Q30" t="n">
        <v>3551</v>
      </c>
      <c r="R30" t="n">
        <v>990</v>
      </c>
      <c r="S30" s="27">
        <f>R30/Q30</f>
        <v/>
      </c>
      <c r="T30" t="inlineStr">
        <is>
          <t>富良野市は2045年までに人口が約31.0%減と急激な過疎・超高齢化が進行。若年労働世代の流出と自然減が重なり、賃貸事業としての持続性は極めて限定的。</t>
        </is>
      </c>
      <c r="U30" t="inlineStr">
        <is>
          <t>富良野市は人口密度32人/km²と過疎的水準で、民間賃貸の新規需要は薄い。実需に裏付けられた格安戸建ての指値取得のみが現実的。 借家の空室率は約28%と供給過多気味で、空室長期化リスクに要警戒。</t>
        </is>
      </c>
      <c r="V30" t="inlineStr">
        <is>
          <t>富良野市（北海道）：冬期の豪雪・着雪荷重と路面凍結が最大の運営リスク。石狩・十勝・天塩川水系の河川氾濫、太平洋沿岸の津波・千島海溝地震、火山周辺の降灰に留意。</t>
        </is>
      </c>
    </row>
    <row r="31">
      <c r="A31" t="inlineStr">
        <is>
          <t>北海道</t>
        </is>
      </c>
      <c r="B31" t="inlineStr">
        <is>
          <t>登別市</t>
        </is>
      </c>
      <c r="C31" t="n">
        <v>20150</v>
      </c>
      <c r="D31" t="n">
        <v>42195</v>
      </c>
      <c r="E31" s="6" t="n">
        <v>197.9</v>
      </c>
      <c r="F31" s="7" t="n">
        <v>29.8</v>
      </c>
      <c r="G31" t="n">
        <v>46391</v>
      </c>
      <c r="H31" t="n">
        <v>42195</v>
      </c>
      <c r="I31" t="n">
        <v>39150</v>
      </c>
      <c r="J31" t="n">
        <v>29748</v>
      </c>
      <c r="K31" s="27">
        <f>(H31/D31-1)</f>
        <v/>
      </c>
      <c r="L31" s="27">
        <f>(I31/D31-1)</f>
        <v/>
      </c>
      <c r="M31" s="27">
        <f>(J31/D31-1)</f>
        <v/>
      </c>
      <c r="N31" t="n">
        <v>42</v>
      </c>
      <c r="O31" s="28">
        <f>(N31+F31)/2</f>
        <v/>
      </c>
      <c r="P31">
        <f>IF(O31="計算不能","計算不能",IF(O31&gt;=80,5,IF(O31&gt;=60,4,IF(O31&gt;=40,3,IF(O31&gt;=28,2,1)))))</f>
        <v/>
      </c>
      <c r="Q31" t="n">
        <v>7711</v>
      </c>
      <c r="R31" t="n">
        <v>2090</v>
      </c>
      <c r="S31" s="27">
        <f>R31/Q31</f>
        <v/>
      </c>
      <c r="T31" t="inlineStr">
        <is>
          <t>登別市は2045年までに人口が約29.5%減と明確な減少トレンド。高齢化の進行と世帯数の縮小により、中長期では賃貸需要の構造的縮小に警戒が必要。</t>
        </is>
      </c>
      <c r="U31" t="inlineStr">
        <is>
          <t>登別市は人口密度198人/km²と過疎的水準で、民間賃貸の新規需要は薄い。実需に裏付けられた格安戸建ての指値取得のみが現実的。 借家の空室率は約27%と供給過多気味で、空室長期化リスクに要警戒。</t>
        </is>
      </c>
      <c r="V31" t="inlineStr">
        <is>
          <t>登別市（北海道）：冬期の豪雪・着雪荷重と路面凍結が最大の運営リスク。石狩・十勝・天塩川水系の河川氾濫、太平洋沿岸の津波・千島海溝地震、火山周辺の降灰に留意。</t>
        </is>
      </c>
    </row>
    <row r="32">
      <c r="A32" t="inlineStr">
        <is>
          <t>北海道</t>
        </is>
      </c>
      <c r="B32" t="inlineStr">
        <is>
          <t>恵庭市</t>
        </is>
      </c>
      <c r="C32" t="n">
        <v>30680</v>
      </c>
      <c r="D32" t="n">
        <v>69367</v>
      </c>
      <c r="E32" s="6" t="n">
        <v>240.7</v>
      </c>
      <c r="F32" s="7" t="n">
        <v>32</v>
      </c>
      <c r="G32" t="n">
        <v>70331</v>
      </c>
      <c r="H32" t="n">
        <v>69367</v>
      </c>
      <c r="I32" t="n">
        <v>68056</v>
      </c>
      <c r="J32" t="n">
        <v>61906</v>
      </c>
      <c r="K32" s="27">
        <f>(H32/D32-1)</f>
        <v/>
      </c>
      <c r="L32" s="27">
        <f>(I32/D32-1)</f>
        <v/>
      </c>
      <c r="M32" s="27">
        <f>(J32/D32-1)</f>
        <v/>
      </c>
      <c r="N32" t="n">
        <v>65.59999999999999</v>
      </c>
      <c r="O32" s="28">
        <f>(N32+F32)/2</f>
        <v/>
      </c>
      <c r="P32">
        <f>IF(O32="計算不能","計算不能",IF(O32&gt;=80,5,IF(O32&gt;=60,4,IF(O32&gt;=40,3,IF(O32&gt;=28,2,1)))))</f>
        <v/>
      </c>
      <c r="Q32" t="n">
        <v>11740</v>
      </c>
      <c r="R32" t="n">
        <v>2880</v>
      </c>
      <c r="S32" s="27">
        <f>R32/Q32</f>
        <v/>
      </c>
      <c r="T32" t="inlineStr">
        <is>
          <t>恵庭市は2045年までに人口が約10.8%減と緩やかな減少局面。若年層の都市部流出と高齢化が進むが、当面の賃貸稼働は一定程度維持される見通し。</t>
        </is>
      </c>
      <c r="U32" t="inlineStr">
        <is>
          <t>恵庭市は人口密度241人/km²と低密度で、賃貸需要は限定的。持ち家比率が高く、駐車場完備の戸建て賃貸が有利。 借家の空室率は約25%とやや高めで、競合との差別化が必要。</t>
        </is>
      </c>
      <c r="V32" t="inlineStr">
        <is>
          <t>恵庭市（北海道）：冬期の豪雪・着雪荷重と路面凍結が最大の運営リスク。石狩・十勝・天塩川水系の河川氾濫、太平洋沿岸の津波・千島海溝地震、火山周辺の降灰に留意。</t>
        </is>
      </c>
    </row>
    <row r="33">
      <c r="A33" t="inlineStr">
        <is>
          <t>北海道</t>
        </is>
      </c>
      <c r="B33" t="inlineStr">
        <is>
          <t>伊達市</t>
        </is>
      </c>
      <c r="C33" t="n">
        <v>14440</v>
      </c>
      <c r="D33" t="n">
        <v>29843</v>
      </c>
      <c r="E33" s="6" t="n">
        <v>204.2</v>
      </c>
      <c r="F33" s="7" t="n">
        <v>30.2</v>
      </c>
      <c r="G33" t="n">
        <v>32826</v>
      </c>
      <c r="H33" t="n">
        <v>29843</v>
      </c>
      <c r="I33" t="n">
        <v>27813</v>
      </c>
      <c r="J33" t="n">
        <v>21709</v>
      </c>
      <c r="K33" s="27">
        <f>(H33/D33-1)</f>
        <v/>
      </c>
      <c r="L33" s="27">
        <f>(I33/D33-1)</f>
        <v/>
      </c>
      <c r="M33" s="27">
        <f>(J33/D33-1)</f>
        <v/>
      </c>
      <c r="N33" t="n">
        <v>42.6</v>
      </c>
      <c r="O33" s="28">
        <f>(N33+F33)/2</f>
        <v/>
      </c>
      <c r="P33">
        <f>IF(O33="計算不能","計算不能",IF(O33&gt;=80,5,IF(O33&gt;=60,4,IF(O33&gt;=40,3,IF(O33&gt;=28,2,1)))))</f>
        <v/>
      </c>
      <c r="Q33" t="n">
        <v>5525</v>
      </c>
      <c r="R33" t="n">
        <v>1090</v>
      </c>
      <c r="S33" s="27">
        <f>R33/Q33</f>
        <v/>
      </c>
      <c r="T33" t="inlineStr">
        <is>
          <t>伊達市は2045年までに人口が約27.3%減と明確な減少トレンド。高齢化の進行と世帯数の縮小により、中長期では賃貸需要の構造的縮小に警戒が必要。</t>
        </is>
      </c>
      <c r="U33" t="inlineStr">
        <is>
          <t>伊達市は人口密度204人/km²と低密度で、賃貸需要は限定的。持ち家比率が高く、駐車場完備の戸建て賃貸が有利。 借家の空室率は約20%とやや高めで、競合との差別化が必要。</t>
        </is>
      </c>
      <c r="V33" t="inlineStr">
        <is>
          <t>伊達市（北海道）：冬期の豪雪・着雪荷重と路面凍結が最大の運営リスク。石狩・十勝・天塩川水系の河川氾濫、太平洋沿岸の津波・千島海溝地震、火山周辺の降灰に留意。</t>
        </is>
      </c>
    </row>
    <row r="34">
      <c r="A34" t="inlineStr">
        <is>
          <t>北海道</t>
        </is>
      </c>
      <c r="B34" t="inlineStr">
        <is>
          <t>北広島市</t>
        </is>
      </c>
      <c r="C34" t="n">
        <v>24600</v>
      </c>
      <c r="D34" t="n">
        <v>56153</v>
      </c>
      <c r="E34" s="6" t="n">
        <v>469</v>
      </c>
      <c r="F34" s="7" t="n">
        <v>43.5</v>
      </c>
      <c r="G34" t="n">
        <v>58171</v>
      </c>
      <c r="H34" t="n">
        <v>56153</v>
      </c>
      <c r="I34" t="n">
        <v>53951</v>
      </c>
      <c r="J34" t="n">
        <v>46334</v>
      </c>
      <c r="K34" s="27">
        <f>(H34/D34-1)</f>
        <v/>
      </c>
      <c r="L34" s="27">
        <f>(I34/D34-1)</f>
        <v/>
      </c>
      <c r="M34" s="27">
        <f>(J34/D34-1)</f>
        <v/>
      </c>
      <c r="N34" t="n">
        <v>57</v>
      </c>
      <c r="O34" s="28">
        <f>(N34+F34)/2</f>
        <v/>
      </c>
      <c r="P34">
        <f>IF(O34="計算不能","計算不能",IF(O34&gt;=80,5,IF(O34&gt;=60,4,IF(O34&gt;=40,3,IF(O34&gt;=28,2,1)))))</f>
        <v/>
      </c>
      <c r="Q34" t="n">
        <v>9413</v>
      </c>
      <c r="R34" t="n">
        <v>930</v>
      </c>
      <c r="S34" s="27">
        <f>R34/Q34</f>
        <v/>
      </c>
      <c r="T34" t="inlineStr">
        <is>
          <t>北広島市は2045年までに人口が約17.5%減と明確な減少トレンド。高齢化の進行と世帯数の縮小により、中長期では賃貸需要の構造的縮小に警戒が必要。</t>
        </is>
      </c>
      <c r="U34" t="inlineStr">
        <is>
          <t>北広島市は人口密度469人/km²と低密度で、賃貸需要は限定的。持ち家比率が高く、駐車場完備の戸建て賃貸が有利。 借家の空室率は約10%と需給は比較的引き締まっている。</t>
        </is>
      </c>
      <c r="V34" t="inlineStr">
        <is>
          <t>北広島市（北海道）：冬期の豪雪・着雪荷重と路面凍結が最大の運営リスク。石狩・十勝・天塩川水系の河川氾濫、太平洋沿岸の津波・千島海溝地震、火山周辺の降灰に留意。</t>
        </is>
      </c>
    </row>
    <row r="35">
      <c r="A35" t="inlineStr">
        <is>
          <t>北海道</t>
        </is>
      </c>
      <c r="B35" t="inlineStr">
        <is>
          <t>石狩市</t>
        </is>
      </c>
      <c r="C35" t="n">
        <v>24140</v>
      </c>
      <c r="D35" t="n">
        <v>55417</v>
      </c>
      <c r="E35" s="6" t="n">
        <v>77.2</v>
      </c>
      <c r="F35" s="7" t="n">
        <v>17.7</v>
      </c>
      <c r="G35" t="n">
        <v>56869</v>
      </c>
      <c r="H35" t="n">
        <v>55417</v>
      </c>
      <c r="I35" t="n">
        <v>52994</v>
      </c>
      <c r="J35" t="n">
        <v>44865</v>
      </c>
      <c r="K35" s="27">
        <f>(H35/D35-1)</f>
        <v/>
      </c>
      <c r="L35" s="27">
        <f>(I35/D35-1)</f>
        <v/>
      </c>
      <c r="M35" s="27">
        <f>(J35/D35-1)</f>
        <v/>
      </c>
      <c r="N35" t="n">
        <v>57.6</v>
      </c>
      <c r="O35" s="28">
        <f>(N35+F35)/2</f>
        <v/>
      </c>
      <c r="P35">
        <f>IF(O35="計算不能","計算不能",IF(O35&gt;=80,5,IF(O35&gt;=60,4,IF(O35&gt;=40,3,IF(O35&gt;=28,2,1)))))</f>
        <v/>
      </c>
      <c r="Q35" t="n">
        <v>9237</v>
      </c>
      <c r="R35" t="n">
        <v>930</v>
      </c>
      <c r="S35" s="27">
        <f>R35/Q35</f>
        <v/>
      </c>
      <c r="T35" t="inlineStr">
        <is>
          <t>石狩市は2045年までに人口が約19.0%減と明確な減少トレンド。高齢化の進行と世帯数の縮小により、中長期では賃貸需要の構造的縮小に警戒が必要。</t>
        </is>
      </c>
      <c r="U35" t="inlineStr">
        <is>
          <t>石狩市は人口密度77人/km²と過疎的水準で、民間賃貸の新規需要は薄い。実需に裏付けられた格安戸建ての指値取得のみが現実的。 借家の空室率は約10%と需給は比較的引き締まっている。</t>
        </is>
      </c>
      <c r="V35" t="inlineStr">
        <is>
          <t>石狩市（北海道）：冬期の豪雪・着雪荷重と路面凍結が最大の運営リスク。石狩・十勝・天塩川水系の河川氾濫、太平洋沿岸の津波・千島海溝地震、火山周辺の降灰に留意。</t>
        </is>
      </c>
    </row>
    <row r="36">
      <c r="A36" t="inlineStr">
        <is>
          <t>北海道</t>
        </is>
      </c>
      <c r="B36" t="inlineStr">
        <is>
          <t>北斗市</t>
        </is>
      </c>
      <c r="C36" t="n">
        <v>18500</v>
      </c>
      <c r="D36" t="n">
        <v>41022</v>
      </c>
      <c r="E36" s="6" t="n">
        <v>102.2</v>
      </c>
      <c r="F36" s="7" t="n">
        <v>20.2</v>
      </c>
      <c r="G36" t="n">
        <v>44302</v>
      </c>
      <c r="H36" t="n">
        <v>41022</v>
      </c>
      <c r="I36" t="n">
        <v>38479</v>
      </c>
      <c r="J36" t="n">
        <v>30263</v>
      </c>
      <c r="K36" s="27">
        <f>(H36/D36-1)</f>
        <v/>
      </c>
      <c r="L36" s="27">
        <f>(I36/D36-1)</f>
        <v/>
      </c>
      <c r="M36" s="27">
        <f>(J36/D36-1)</f>
        <v/>
      </c>
      <c r="N36" t="n">
        <v>44.5</v>
      </c>
      <c r="O36" s="28">
        <f>(N36+F36)/2</f>
        <v/>
      </c>
      <c r="P36">
        <f>IF(O36="計算不能","計算不能",IF(O36&gt;=80,5,IF(O36&gt;=60,4,IF(O36&gt;=40,3,IF(O36&gt;=28,2,1)))))</f>
        <v/>
      </c>
      <c r="Q36" t="n">
        <v>7079</v>
      </c>
      <c r="R36" t="n">
        <v>1450</v>
      </c>
      <c r="S36" s="27">
        <f>R36/Q36</f>
        <v/>
      </c>
      <c r="T36" t="inlineStr">
        <is>
          <t>北斗市は2045年までに人口が約26.2%減と明確な減少トレンド。高齢化の進行と世帯数の縮小により、中長期では賃貸需要の構造的縮小に警戒が必要。</t>
        </is>
      </c>
      <c r="U36" t="inlineStr">
        <is>
          <t>北斗市は人口密度102人/km²と過疎的水準で、民間賃貸の新規需要は薄い。実需に裏付けられた格安戸建ての指値取得のみが現実的。 借家の空室率は約20%とやや高めで、競合との差別化が必要。</t>
        </is>
      </c>
      <c r="V36" t="inlineStr">
        <is>
          <t>北斗市（北海道）：冬期の豪雪・着雪荷重と路面凍結が最大の運営リスク。石狩・十勝・天塩川水系の河川氾濫、太平洋沿岸の津波・千島海溝地震、火山周辺の降灰に留意。</t>
        </is>
      </c>
    </row>
    <row r="37">
      <c r="A37" t="inlineStr">
        <is>
          <t>北海道</t>
        </is>
      </c>
      <c r="B37" t="inlineStr">
        <is>
          <t>当別町</t>
        </is>
      </c>
      <c r="C37" t="n">
        <v>7320</v>
      </c>
      <c r="D37" t="n">
        <v>14480</v>
      </c>
      <c r="E37" s="6" t="n">
        <v>35.4</v>
      </c>
      <c r="F37" s="7" t="n">
        <v>13.5</v>
      </c>
      <c r="G37" t="n">
        <v>15916</v>
      </c>
      <c r="H37" t="n">
        <v>14480</v>
      </c>
      <c r="I37" t="n">
        <v>13457</v>
      </c>
      <c r="J37" t="n">
        <v>10231</v>
      </c>
      <c r="K37" s="27">
        <f>(H37/D37-1)</f>
        <v/>
      </c>
      <c r="L37" s="27">
        <f>(I37/D37-1)</f>
        <v/>
      </c>
      <c r="M37" s="27">
        <f>(J37/D37-1)</f>
        <v/>
      </c>
      <c r="N37" t="n">
        <v>42.1</v>
      </c>
      <c r="O37" s="28">
        <f>(N37+F37)/2</f>
        <v/>
      </c>
      <c r="P37">
        <f>IF(O37="計算不能","計算不能",IF(O37&gt;=80,5,IF(O37&gt;=60,4,IF(O37&gt;=40,3,IF(O37&gt;=28,2,1)))))</f>
        <v/>
      </c>
      <c r="Q37" t="n">
        <v>2801</v>
      </c>
      <c r="R37" t="n">
        <v>510</v>
      </c>
      <c r="S37" s="27">
        <f>R37/Q37</f>
        <v/>
      </c>
      <c r="T37" t="inlineStr">
        <is>
          <t>当別町は2045年までに人口が約29.3%減と明確な減少トレンド。高齢化の進行と世帯数の縮小により、中長期では賃貸需要の構造的縮小に警戒が必要。</t>
        </is>
      </c>
      <c r="U37" t="inlineStr">
        <is>
          <t>当別町は人口密度35人/km²と過疎的水準で、民間賃貸の新規需要は薄い。実需に裏付けられた格安戸建ての指値取得のみが現実的。 借家の空室率は約18%とやや高めで、競合との差別化が必要。</t>
        </is>
      </c>
      <c r="V37" t="inlineStr">
        <is>
          <t>当別町（北海道）：冬期の豪雪・着雪荷重と路面凍結が最大の運営リスク。石狩・十勝・天塩川水系の河川氾濫、太平洋沿岸の津波・千島海溝地震、火山周辺の降灰に留意。</t>
        </is>
      </c>
    </row>
    <row r="38">
      <c r="A38" t="inlineStr">
        <is>
          <t>北海道</t>
        </is>
      </c>
      <c r="B38" t="inlineStr">
        <is>
          <t>新篠津村</t>
        </is>
      </c>
      <c r="C38" t="n">
        <v>1341</v>
      </c>
      <c r="D38" t="n">
        <v>2790</v>
      </c>
      <c r="E38" s="6" t="n">
        <v>35</v>
      </c>
      <c r="F38" s="7" t="n">
        <v>13.5</v>
      </c>
      <c r="G38" t="n">
        <v>3044</v>
      </c>
      <c r="H38" t="n">
        <v>2790</v>
      </c>
      <c r="I38" t="n">
        <v>2580</v>
      </c>
      <c r="J38" t="n">
        <v>1931</v>
      </c>
      <c r="K38" s="27">
        <f>(H38/D38-1)</f>
        <v/>
      </c>
      <c r="L38" s="27">
        <f>(I38/D38-1)</f>
        <v/>
      </c>
      <c r="M38" s="27">
        <f>(J38/D38-1)</f>
        <v/>
      </c>
      <c r="N38" t="n">
        <v>42.2</v>
      </c>
      <c r="O38" s="28">
        <f>(N38+F38)/2</f>
        <v/>
      </c>
      <c r="P38">
        <f>IF(O38="計算不能","計算不能",IF(O38&gt;=80,5,IF(O38&gt;=60,4,IF(O38&gt;=40,3,IF(O38&gt;=28,2,1)))))</f>
        <v/>
      </c>
      <c r="Q38" t="n">
        <v>513</v>
      </c>
      <c r="R38" t="n">
        <v>0</v>
      </c>
      <c r="S38" s="27">
        <f>R38/Q38</f>
        <v/>
      </c>
      <c r="T38" t="inlineStr">
        <is>
          <t>新篠津村は2045年までに人口が約30.8%減と急激な過疎・超高齢化が進行。若年労働世代の流出と自然減が重なり、賃貸事業としての持続性は極めて限定的。</t>
        </is>
      </c>
      <c r="U38" t="inlineStr">
        <is>
          <t>新篠津村は人口密度35人/km²と過疎的水準で、民間賃貸の新規需要は薄い。実需に裏付けられた格安戸建ての指値取得のみが現実的。 借家の空室率は約0%と需給は比較的引き締まっている。</t>
        </is>
      </c>
      <c r="V38" t="inlineStr">
        <is>
          <t>新篠津村（北海道）：冬期の豪雪・着雪荷重と路面凍結が最大の運営リスク。石狩・十勝・天塩川水系の河川氾濫、太平洋沿岸の津波・千島海溝地震、火山周辺の降灰に留意。</t>
        </is>
      </c>
    </row>
    <row r="39">
      <c r="A39" t="inlineStr">
        <is>
          <t>北海道</t>
        </is>
      </c>
      <c r="B39" t="inlineStr">
        <is>
          <t>松前町</t>
        </is>
      </c>
      <c r="C39" t="n">
        <v>13985</v>
      </c>
      <c r="D39" t="n">
        <v>5309</v>
      </c>
      <c r="E39" s="6" t="n">
        <v>1423.2</v>
      </c>
      <c r="F39" s="7" t="n">
        <v>63.5</v>
      </c>
      <c r="G39" t="n">
        <v>6260</v>
      </c>
      <c r="H39" t="n">
        <v>5309</v>
      </c>
      <c r="I39" t="n">
        <v>4476</v>
      </c>
      <c r="J39" t="n">
        <v>2427</v>
      </c>
      <c r="K39" s="27">
        <f>(H39/D39-1)</f>
        <v/>
      </c>
      <c r="L39" s="27">
        <f>(I39/D39-1)</f>
        <v/>
      </c>
      <c r="M39" s="27">
        <f>(J39/D39-1)</f>
        <v/>
      </c>
      <c r="N39" t="n">
        <v>29.3</v>
      </c>
      <c r="O39" s="28">
        <f>(N39+F39)/2</f>
        <v/>
      </c>
      <c r="P39">
        <f>IF(O39="計算不能","計算不能",IF(O39&gt;=80,5,IF(O39&gt;=60,4,IF(O39&gt;=40,3,IF(O39&gt;=28,2,1)))))</f>
        <v/>
      </c>
      <c r="Q39" t="n">
        <v>5351</v>
      </c>
      <c r="R39" t="n">
        <v>0</v>
      </c>
      <c r="S39" s="27">
        <f>R39/Q39</f>
        <v/>
      </c>
      <c r="T39" t="inlineStr">
        <is>
          <t>松前町は2045年までに人口が約54.3%減と急激な過疎・超高齢化が進行。若年労働世代の流出と自然減が重なり、賃貸事業としての持続性は極めて限定的。</t>
        </is>
      </c>
      <c r="U39" t="inlineStr">
        <is>
          <t>松前町は人口密度1,423人/km²で、主要道路沿いや中心市街地に一定の賃貸需要が局在。立地選別が稼働を左右する。 借家の空室率は約0%と需給は比較的引き締まっている。</t>
        </is>
      </c>
      <c r="V39" t="inlineStr">
        <is>
          <t>松前町（北海道）：冬期の豪雪・着雪荷重と路面凍結が最大の運営リスク。石狩・十勝・天塩川水系の河川氾濫、太平洋沿岸の津波・千島海溝地震、火山周辺の降灰に留意。</t>
        </is>
      </c>
    </row>
    <row r="40">
      <c r="A40" t="inlineStr">
        <is>
          <t>北海道</t>
        </is>
      </c>
      <c r="B40" t="inlineStr">
        <is>
          <t>福島町</t>
        </is>
      </c>
      <c r="C40" t="n">
        <v>1900</v>
      </c>
      <c r="D40" t="n">
        <v>3246</v>
      </c>
      <c r="E40" s="6" t="n">
        <v>17</v>
      </c>
      <c r="F40" s="7" t="n">
        <v>11.7</v>
      </c>
      <c r="G40" t="n">
        <v>3794</v>
      </c>
      <c r="H40" t="n">
        <v>3246</v>
      </c>
      <c r="I40" t="n">
        <v>2795</v>
      </c>
      <c r="J40" t="n">
        <v>1603</v>
      </c>
      <c r="K40" s="27">
        <f>(H40/D40-1)</f>
        <v/>
      </c>
      <c r="L40" s="27">
        <f>(I40/D40-1)</f>
        <v/>
      </c>
      <c r="M40" s="27">
        <f>(J40/D40-1)</f>
        <v/>
      </c>
      <c r="N40" t="n">
        <v>30.6</v>
      </c>
      <c r="O40" s="28">
        <f>(N40+F40)/2</f>
        <v/>
      </c>
      <c r="P40">
        <f>IF(O40="計算不能","計算不能",IF(O40&gt;=80,5,IF(O40&gt;=60,4,IF(O40&gt;=40,3,IF(O40&gt;=28,2,1)))))</f>
        <v/>
      </c>
      <c r="Q40" t="n">
        <v>727</v>
      </c>
      <c r="R40" t="n">
        <v>0</v>
      </c>
      <c r="S40" s="27">
        <f>R40/Q40</f>
        <v/>
      </c>
      <c r="T40" t="inlineStr">
        <is>
          <t>福島町は2045年までに人口が約50.6%減と急激な過疎・超高齢化が進行。若年労働世代の流出と自然減が重なり、賃貸事業としての持続性は極めて限定的。</t>
        </is>
      </c>
      <c r="U40" t="inlineStr">
        <is>
          <t>福島町は人口密度17人/km²と過疎的水準で、民間賃貸の新規需要は薄い。実需に裏付けられた格安戸建ての指値取得のみが現実的。 借家の空室率は約0%と需給は比較的引き締まっている。</t>
        </is>
      </c>
      <c r="V40" t="inlineStr">
        <is>
          <t>福島町（北海道）：冬期の豪雪・着雪荷重と路面凍結が最大の運営リスク。石狩・十勝・天塩川水系の河川氾濫、太平洋沿岸の津波・千島海溝地震、火山周辺の降灰に留意。</t>
        </is>
      </c>
    </row>
    <row r="41">
      <c r="A41" t="inlineStr">
        <is>
          <t>北海道</t>
        </is>
      </c>
      <c r="B41" t="inlineStr">
        <is>
          <t>知内町</t>
        </is>
      </c>
      <c r="C41" t="n">
        <v>1962</v>
      </c>
      <c r="D41" t="n">
        <v>3711</v>
      </c>
      <c r="E41" s="6" t="n">
        <v>18.6</v>
      </c>
      <c r="F41" s="7" t="n">
        <v>11.9</v>
      </c>
      <c r="G41" t="n">
        <v>4167</v>
      </c>
      <c r="H41" t="n">
        <v>3711</v>
      </c>
      <c r="I41" t="n">
        <v>3336</v>
      </c>
      <c r="J41" t="n">
        <v>2264</v>
      </c>
      <c r="K41" s="27">
        <f>(H41/D41-1)</f>
        <v/>
      </c>
      <c r="L41" s="27">
        <f>(I41/D41-1)</f>
        <v/>
      </c>
      <c r="M41" s="27">
        <f>(J41/D41-1)</f>
        <v/>
      </c>
      <c r="N41" t="n">
        <v>37.2</v>
      </c>
      <c r="O41" s="28">
        <f>(N41+F41)/2</f>
        <v/>
      </c>
      <c r="P41">
        <f>IF(O41="計算不能","計算不能",IF(O41&gt;=80,5,IF(O41&gt;=60,4,IF(O41&gt;=40,3,IF(O41&gt;=28,2,1)))))</f>
        <v/>
      </c>
      <c r="Q41" t="n">
        <v>750</v>
      </c>
      <c r="R41" t="n">
        <v>0</v>
      </c>
      <c r="S41" s="27">
        <f>R41/Q41</f>
        <v/>
      </c>
      <c r="T41" t="inlineStr">
        <is>
          <t>知内町は2045年までに人口が約39.0%減と急激な過疎・超高齢化が進行。若年労働世代の流出と自然減が重なり、賃貸事業としての持続性は極めて限定的。</t>
        </is>
      </c>
      <c r="U41" t="inlineStr">
        <is>
          <t>知内町は人口密度19人/km²と過疎的水準で、民間賃貸の新規需要は薄い。実需に裏付けられた格安戸建ての指値取得のみが現実的。 借家の空室率は約0%と需給は比較的引き締まっている。</t>
        </is>
      </c>
      <c r="V41" t="inlineStr">
        <is>
          <t>知内町（北海道）：冬期の豪雪・着雪荷重と路面凍結が最大の運営リスク。石狩・十勝・天塩川水系の河川氾濫、太平洋沿岸の津波・千島海溝地震、火山周辺の降灰に留意。</t>
        </is>
      </c>
    </row>
    <row r="42">
      <c r="A42" t="inlineStr">
        <is>
          <t>北海道</t>
        </is>
      </c>
      <c r="B42" t="inlineStr">
        <is>
          <t>木古内町</t>
        </is>
      </c>
      <c r="C42" t="n">
        <v>1982</v>
      </c>
      <c r="D42" t="n">
        <v>3312</v>
      </c>
      <c r="E42" s="6" t="n">
        <v>14.7</v>
      </c>
      <c r="F42" s="7" t="n">
        <v>11.5</v>
      </c>
      <c r="G42" t="n">
        <v>3832</v>
      </c>
      <c r="H42" t="n">
        <v>3312</v>
      </c>
      <c r="I42" t="n">
        <v>2822</v>
      </c>
      <c r="J42" t="n">
        <v>1603</v>
      </c>
      <c r="K42" s="27">
        <f>(H42/D42-1)</f>
        <v/>
      </c>
      <c r="L42" s="27">
        <f>(I42/D42-1)</f>
        <v/>
      </c>
      <c r="M42" s="27">
        <f>(J42/D42-1)</f>
        <v/>
      </c>
      <c r="N42" t="n">
        <v>30.8</v>
      </c>
      <c r="O42" s="28">
        <f>(N42+F42)/2</f>
        <v/>
      </c>
      <c r="P42">
        <f>IF(O42="計算不能","計算不能",IF(O42&gt;=80,5,IF(O42&gt;=60,4,IF(O42&gt;=40,3,IF(O42&gt;=28,2,1)))))</f>
        <v/>
      </c>
      <c r="Q42" t="n">
        <v>758</v>
      </c>
      <c r="R42" t="n">
        <v>0</v>
      </c>
      <c r="S42" s="27">
        <f>R42/Q42</f>
        <v/>
      </c>
      <c r="T42" t="inlineStr">
        <is>
          <t>木古内町は2045年までに人口が約51.6%減と急激な過疎・超高齢化が進行。若年労働世代の流出と自然減が重なり、賃貸事業としての持続性は極めて限定的。</t>
        </is>
      </c>
      <c r="U42" t="inlineStr">
        <is>
          <t>木古内町は人口密度15人/km²と過疎的水準で、民間賃貸の新規需要は薄い。実需に裏付けられた格安戸建ての指値取得のみが現実的。 借家の空室率は約0%と需給は比較的引き締まっている。</t>
        </is>
      </c>
      <c r="V42" t="inlineStr">
        <is>
          <t>木古内町（北海道）：冬期の豪雪・着雪荷重と路面凍結が最大の運営リスク。石狩・十勝・天塩川水系の河川氾濫、太平洋沿岸の津波・千島海溝地震、火山周辺の降灰に留意。</t>
        </is>
      </c>
    </row>
    <row r="43">
      <c r="A43" t="inlineStr">
        <is>
          <t>北海道</t>
        </is>
      </c>
      <c r="B43" t="inlineStr">
        <is>
          <t>七飯町</t>
        </is>
      </c>
      <c r="C43" t="n">
        <v>12450</v>
      </c>
      <c r="D43" t="n">
        <v>26754</v>
      </c>
      <c r="E43" s="6" t="n">
        <v>124.4</v>
      </c>
      <c r="F43" s="7" t="n">
        <v>22.4</v>
      </c>
      <c r="G43" t="n">
        <v>27686</v>
      </c>
      <c r="H43" t="n">
        <v>26754</v>
      </c>
      <c r="I43" t="n">
        <v>25669</v>
      </c>
      <c r="J43" t="n">
        <v>21339</v>
      </c>
      <c r="K43" s="27">
        <f>(H43/D43-1)</f>
        <v/>
      </c>
      <c r="L43" s="27">
        <f>(I43/D43-1)</f>
        <v/>
      </c>
      <c r="M43" s="27">
        <f>(J43/D43-1)</f>
        <v/>
      </c>
      <c r="N43" t="n">
        <v>55.7</v>
      </c>
      <c r="O43" s="28">
        <f>(N43+F43)/2</f>
        <v/>
      </c>
      <c r="P43">
        <f>IF(O43="計算不能","計算不能",IF(O43&gt;=80,5,IF(O43&gt;=60,4,IF(O43&gt;=40,3,IF(O43&gt;=28,2,1)))))</f>
        <v/>
      </c>
      <c r="Q43" t="n">
        <v>4764</v>
      </c>
      <c r="R43" t="n">
        <v>700</v>
      </c>
      <c r="S43" s="27">
        <f>R43/Q43</f>
        <v/>
      </c>
      <c r="T43" t="inlineStr">
        <is>
          <t>七飯町は2045年までに人口が約20.2%減と明確な減少トレンド。高齢化の進行と世帯数の縮小により、中長期では賃貸需要の構造的縮小に警戒が必要。</t>
        </is>
      </c>
      <c r="U43" t="inlineStr">
        <is>
          <t>七飯町は人口密度124人/km²と過疎的水準で、民間賃貸の新規需要は薄い。実需に裏付けられた格安戸建ての指値取得のみが現実的。 借家の空室率は約15%と需給は比較的引き締まっている。</t>
        </is>
      </c>
      <c r="V43" t="inlineStr">
        <is>
          <t>七飯町（北海道）：冬期の豪雪・着雪荷重と路面凍結が最大の運営リスク。石狩・十勝・天塩川水系の河川氾濫、太平洋沿岸の津波・千島海溝地震、火山周辺の降灰に留意。</t>
        </is>
      </c>
    </row>
    <row r="44">
      <c r="A44" t="inlineStr">
        <is>
          <t>北海道</t>
        </is>
      </c>
      <c r="B44" t="inlineStr">
        <is>
          <t>鹿部町</t>
        </is>
      </c>
      <c r="C44" t="n">
        <v>1857</v>
      </c>
      <c r="D44" t="n">
        <v>3380</v>
      </c>
      <c r="E44" s="6" t="n">
        <v>30.3</v>
      </c>
      <c r="F44" s="7" t="n">
        <v>13</v>
      </c>
      <c r="G44" t="n">
        <v>3760</v>
      </c>
      <c r="H44" t="n">
        <v>3380</v>
      </c>
      <c r="I44" t="n">
        <v>3039</v>
      </c>
      <c r="J44" t="n">
        <v>2057</v>
      </c>
      <c r="K44" s="27">
        <f>(H44/D44-1)</f>
        <v/>
      </c>
      <c r="L44" s="27">
        <f>(I44/D44-1)</f>
        <v/>
      </c>
      <c r="M44" s="27">
        <f>(J44/D44-1)</f>
        <v/>
      </c>
      <c r="N44" t="n">
        <v>37.9</v>
      </c>
      <c r="O44" s="28">
        <f>(N44+F44)/2</f>
        <v/>
      </c>
      <c r="P44">
        <f>IF(O44="計算不能","計算不能",IF(O44&gt;=80,5,IF(O44&gt;=60,4,IF(O44&gt;=40,3,IF(O44&gt;=28,2,1)))))</f>
        <v/>
      </c>
      <c r="Q44" t="n">
        <v>710</v>
      </c>
      <c r="R44" t="n">
        <v>0</v>
      </c>
      <c r="S44" s="27">
        <f>R44/Q44</f>
        <v/>
      </c>
      <c r="T44" t="inlineStr">
        <is>
          <t>鹿部町は2045年までに人口が約39.1%減と急激な過疎・超高齢化が進行。若年労働世代の流出と自然減が重なり、賃貸事業としての持続性は極めて限定的。</t>
        </is>
      </c>
      <c r="U44" t="inlineStr">
        <is>
          <t>鹿部町は人口密度30人/km²と過疎的水準で、民間賃貸の新規需要は薄い。実需に裏付けられた格安戸建ての指値取得のみが現実的。 借家の空室率は約0%と需給は比較的引き締まっている。</t>
        </is>
      </c>
      <c r="V44" t="inlineStr">
        <is>
          <t>鹿部町（北海道）：冬期の豪雪・着雪荷重と路面凍結が最大の運営リスク。石狩・十勝・天塩川水系の河川氾濫、太平洋沿岸の津波・千島海溝地震、火山周辺の降灰に留意。</t>
        </is>
      </c>
    </row>
    <row r="45">
      <c r="A45" t="inlineStr">
        <is>
          <t>北海道</t>
        </is>
      </c>
      <c r="B45" t="inlineStr">
        <is>
          <t>森町</t>
        </is>
      </c>
      <c r="C45" t="n">
        <v>6728</v>
      </c>
      <c r="D45" t="n">
        <v>12559</v>
      </c>
      <c r="E45" s="6" t="n">
        <v>119.1</v>
      </c>
      <c r="F45" s="7" t="n">
        <v>21.9</v>
      </c>
      <c r="G45" t="n">
        <v>14338</v>
      </c>
      <c r="H45" t="n">
        <v>12559</v>
      </c>
      <c r="I45" t="n">
        <v>11178</v>
      </c>
      <c r="J45" t="n">
        <v>7422</v>
      </c>
      <c r="K45" s="27">
        <f>(H45/D45-1)</f>
        <v/>
      </c>
      <c r="L45" s="27">
        <f>(I45/D45-1)</f>
        <v/>
      </c>
      <c r="M45" s="27">
        <f>(J45/D45-1)</f>
        <v/>
      </c>
      <c r="N45" t="n">
        <v>35.3</v>
      </c>
      <c r="O45" s="28">
        <f>(N45+F45)/2</f>
        <v/>
      </c>
      <c r="P45">
        <f>IF(O45="計算不能","計算不能",IF(O45&gt;=80,5,IF(O45&gt;=60,4,IF(O45&gt;=40,3,IF(O45&gt;=28,2,1)))))</f>
        <v/>
      </c>
      <c r="Q45" t="n">
        <v>2574</v>
      </c>
      <c r="R45" t="n">
        <v>0</v>
      </c>
      <c r="S45" s="27">
        <f>R45/Q45</f>
        <v/>
      </c>
      <c r="T45" t="inlineStr">
        <is>
          <t>森町は2045年までに人口が約40.9%減と急激な過疎・超高齢化が進行。若年労働世代の流出と自然減が重なり、賃貸事業としての持続性は極めて限定的。</t>
        </is>
      </c>
      <c r="U45" t="inlineStr">
        <is>
          <t>森町は人口密度119人/km²と過疎的水準で、民間賃貸の新規需要は薄い。実需に裏付けられた格安戸建ての指値取得のみが現実的。 借家の空室率は約0%と需給は比較的引き締まっている。</t>
        </is>
      </c>
      <c r="V45" t="inlineStr">
        <is>
          <t>森町（北海道）：冬期の豪雪・着雪荷重と路面凍結が最大の運営リスク。石狩・十勝・天塩川水系の河川氾濫、太平洋沿岸の津波・千島海溝地震、火山周辺の降灰に留意。</t>
        </is>
      </c>
    </row>
    <row r="46">
      <c r="A46" t="inlineStr">
        <is>
          <t>北海道</t>
        </is>
      </c>
      <c r="B46" t="inlineStr">
        <is>
          <t>八雲町</t>
        </is>
      </c>
      <c r="C46" t="n">
        <v>6720</v>
      </c>
      <c r="D46" t="n">
        <v>14554</v>
      </c>
      <c r="E46" s="6" t="n">
        <v>15.5</v>
      </c>
      <c r="F46" s="7" t="n">
        <v>11.6</v>
      </c>
      <c r="G46" t="n">
        <v>15826</v>
      </c>
      <c r="H46" t="n">
        <v>14554</v>
      </c>
      <c r="I46" t="n">
        <v>13278</v>
      </c>
      <c r="J46" t="n">
        <v>9556</v>
      </c>
      <c r="K46" s="27">
        <f>(H46/D46-1)</f>
        <v/>
      </c>
      <c r="L46" s="27">
        <f>(I46/D46-1)</f>
        <v/>
      </c>
      <c r="M46" s="27">
        <f>(J46/D46-1)</f>
        <v/>
      </c>
      <c r="N46" t="n">
        <v>41.2</v>
      </c>
      <c r="O46" s="28">
        <f>(N46+F46)/2</f>
        <v/>
      </c>
      <c r="P46">
        <f>IF(O46="計算不能","計算不能",IF(O46&gt;=80,5,IF(O46&gt;=60,4,IF(O46&gt;=40,3,IF(O46&gt;=28,2,1)))))</f>
        <v/>
      </c>
      <c r="Q46" t="n">
        <v>2571</v>
      </c>
      <c r="R46" t="n">
        <v>430</v>
      </c>
      <c r="S46" s="27">
        <f>R46/Q46</f>
        <v/>
      </c>
      <c r="T46" t="inlineStr">
        <is>
          <t>八雲町は2045年までに人口が約34.3%減と急激な過疎・超高齢化が進行。若年労働世代の流出と自然減が重なり、賃貸事業としての持続性は極めて限定的。</t>
        </is>
      </c>
      <c r="U46" t="inlineStr">
        <is>
          <t>八雲町は人口密度16人/km²と過疎的水準で、民間賃貸の新規需要は薄い。実需に裏付けられた格安戸建ての指値取得のみが現実的。 借家の空室率は約17%と需給は比較的引き締まっている。</t>
        </is>
      </c>
      <c r="V46" t="inlineStr">
        <is>
          <t>八雲町（北海道）：冬期の豪雪・着雪荷重と路面凍結が最大の運営リスク。石狩・十勝・天塩川水系の河川氾濫、太平洋沿岸の津波・千島海溝地震、火山周辺の降灰に留意。</t>
        </is>
      </c>
    </row>
    <row r="47">
      <c r="A47" t="inlineStr">
        <is>
          <t>北海道</t>
        </is>
      </c>
      <c r="B47" t="inlineStr">
        <is>
          <t>長万部町</t>
        </is>
      </c>
      <c r="C47" t="n">
        <v>2766</v>
      </c>
      <c r="D47" t="n">
        <v>4652</v>
      </c>
      <c r="E47" s="6" t="n">
        <v>17.1</v>
      </c>
      <c r="F47" s="7" t="n">
        <v>11.7</v>
      </c>
      <c r="G47" t="n">
        <v>5109</v>
      </c>
      <c r="H47" t="n">
        <v>4652</v>
      </c>
      <c r="I47" t="n">
        <v>4135</v>
      </c>
      <c r="J47" t="n">
        <v>2824</v>
      </c>
      <c r="K47" s="27">
        <f>(H47/D47-1)</f>
        <v/>
      </c>
      <c r="L47" s="27">
        <f>(I47/D47-1)</f>
        <v/>
      </c>
      <c r="M47" s="27">
        <f>(J47/D47-1)</f>
        <v/>
      </c>
      <c r="N47" t="n">
        <v>38.6</v>
      </c>
      <c r="O47" s="28">
        <f>(N47+F47)/2</f>
        <v/>
      </c>
      <c r="P47">
        <f>IF(O47="計算不能","計算不能",IF(O47&gt;=80,5,IF(O47&gt;=60,4,IF(O47&gt;=40,3,IF(O47&gt;=28,2,1)))))</f>
        <v/>
      </c>
      <c r="Q47" t="n">
        <v>1058</v>
      </c>
      <c r="R47" t="n">
        <v>0</v>
      </c>
      <c r="S47" s="27">
        <f>R47/Q47</f>
        <v/>
      </c>
      <c r="T47" t="inlineStr">
        <is>
          <t>長万部町は2045年までに人口が約39.3%減と急激な過疎・超高齢化が進行。若年労働世代の流出と自然減が重なり、賃貸事業としての持続性は極めて限定的。</t>
        </is>
      </c>
      <c r="U47" t="inlineStr">
        <is>
          <t>長万部町は人口密度17人/km²と過疎的水準で、民間賃貸の新規需要は薄い。実需に裏付けられた格安戸建ての指値取得のみが現実的。 借家の空室率は約0%と需給は比較的引き締まっている。</t>
        </is>
      </c>
      <c r="V47" t="inlineStr">
        <is>
          <t>長万部町（北海道）：冬期の豪雪・着雪荷重と路面凍結が最大の運営リスク。石狩・十勝・天塩川水系の河川氾濫、太平洋沿岸の津波・千島海溝地震、火山周辺の降灰に留意。</t>
        </is>
      </c>
    </row>
    <row r="48">
      <c r="A48" t="inlineStr">
        <is>
          <t>北海道</t>
        </is>
      </c>
      <c r="B48" t="inlineStr">
        <is>
          <t>江差町</t>
        </is>
      </c>
      <c r="C48" t="n">
        <v>3971</v>
      </c>
      <c r="D48" t="n">
        <v>6701</v>
      </c>
      <c r="E48" s="6" t="n">
        <v>57.2</v>
      </c>
      <c r="F48" s="7" t="n">
        <v>15.7</v>
      </c>
      <c r="G48" t="n">
        <v>7428</v>
      </c>
      <c r="H48" t="n">
        <v>6701</v>
      </c>
      <c r="I48" t="n">
        <v>5965</v>
      </c>
      <c r="J48" t="n">
        <v>4003</v>
      </c>
      <c r="K48" s="27">
        <f>(H48/D48-1)</f>
        <v/>
      </c>
      <c r="L48" s="27">
        <f>(I48/D48-1)</f>
        <v/>
      </c>
      <c r="M48" s="27">
        <f>(J48/D48-1)</f>
        <v/>
      </c>
      <c r="N48" t="n">
        <v>37.7</v>
      </c>
      <c r="O48" s="28">
        <f>(N48+F48)/2</f>
        <v/>
      </c>
      <c r="P48">
        <f>IF(O48="計算不能","計算不能",IF(O48&gt;=80,5,IF(O48&gt;=60,4,IF(O48&gt;=40,3,IF(O48&gt;=28,2,1)))))</f>
        <v/>
      </c>
      <c r="Q48" t="n">
        <v>1519</v>
      </c>
      <c r="R48" t="n">
        <v>0</v>
      </c>
      <c r="S48" s="27">
        <f>R48/Q48</f>
        <v/>
      </c>
      <c r="T48" t="inlineStr">
        <is>
          <t>江差町は2045年までに人口が約40.3%減と急激な過疎・超高齢化が進行。若年労働世代の流出と自然減が重なり、賃貸事業としての持続性は極めて限定的。</t>
        </is>
      </c>
      <c r="U48" t="inlineStr">
        <is>
          <t>江差町は人口密度57人/km²と過疎的水準で、民間賃貸の新規需要は薄い。実需に裏付けられた格安戸建ての指値取得のみが現実的。 借家の空室率は約0%と需給は比較的引き締まっている。</t>
        </is>
      </c>
      <c r="V48" t="inlineStr">
        <is>
          <t>江差町（北海道）：冬期の豪雪・着雪荷重と路面凍結が最大の運営リスク。石狩・十勝・天塩川水系の河川氾濫、太平洋沿岸の津波・千島海溝地震、火山周辺の降灰に留意。</t>
        </is>
      </c>
    </row>
    <row r="49">
      <c r="A49" t="inlineStr">
        <is>
          <t>北海道</t>
        </is>
      </c>
      <c r="B49" t="inlineStr">
        <is>
          <t>上ノ国町</t>
        </is>
      </c>
      <c r="C49" t="n">
        <v>2336</v>
      </c>
      <c r="D49" t="n">
        <v>3726</v>
      </c>
      <c r="E49" s="6" t="n">
        <v>6.7</v>
      </c>
      <c r="F49" s="7" t="n">
        <v>10.7</v>
      </c>
      <c r="G49" t="n">
        <v>4306</v>
      </c>
      <c r="H49" t="n">
        <v>3726</v>
      </c>
      <c r="I49" t="n">
        <v>3232</v>
      </c>
      <c r="J49" t="n">
        <v>1974</v>
      </c>
      <c r="K49" s="27">
        <f>(H49/D49-1)</f>
        <v/>
      </c>
      <c r="L49" s="27">
        <f>(I49/D49-1)</f>
        <v/>
      </c>
      <c r="M49" s="27">
        <f>(J49/D49-1)</f>
        <v/>
      </c>
      <c r="N49" t="n">
        <v>32.3</v>
      </c>
      <c r="O49" s="28">
        <f>(N49+F49)/2</f>
        <v/>
      </c>
      <c r="P49">
        <f>IF(O49="計算不能","計算不能",IF(O49&gt;=80,5,IF(O49&gt;=60,4,IF(O49&gt;=40,3,IF(O49&gt;=28,2,1)))))</f>
        <v/>
      </c>
      <c r="Q49" t="n">
        <v>893</v>
      </c>
      <c r="R49" t="n">
        <v>0</v>
      </c>
      <c r="S49" s="27">
        <f>R49/Q49</f>
        <v/>
      </c>
      <c r="T49" t="inlineStr">
        <is>
          <t>上ノ国町は2045年までに人口が約47.0%減と急激な過疎・超高齢化が進行。若年労働世代の流出と自然減が重なり、賃貸事業としての持続性は極めて限定的。</t>
        </is>
      </c>
      <c r="U49" t="inlineStr">
        <is>
          <t>上ノ国町は人口密度7人/km²と過疎的水準で、民間賃貸の新規需要は薄い。実需に裏付けられた格安戸建ての指値取得のみが現実的。 借家の空室率は約0%と需給は比較的引き締まっている。</t>
        </is>
      </c>
      <c r="V49" t="inlineStr">
        <is>
          <t>上ノ国町（北海道）：冬期の豪雪・着雪荷重と路面凍結が最大の運営リスク。石狩・十勝・天塩川水系の河川氾濫、太平洋沿岸の津波・千島海溝地震、火山周辺の降灰に留意。</t>
        </is>
      </c>
    </row>
    <row r="50">
      <c r="A50" t="inlineStr">
        <is>
          <t>北海道</t>
        </is>
      </c>
      <c r="B50" t="inlineStr">
        <is>
          <t>厚沢部町</t>
        </is>
      </c>
      <c r="C50" t="n">
        <v>1768</v>
      </c>
      <c r="D50" t="n">
        <v>3212</v>
      </c>
      <c r="E50" s="6" t="n">
        <v>6.7</v>
      </c>
      <c r="F50" s="7" t="n">
        <v>10.7</v>
      </c>
      <c r="G50" t="n">
        <v>3592</v>
      </c>
      <c r="H50" t="n">
        <v>3212</v>
      </c>
      <c r="I50" t="n">
        <v>2851</v>
      </c>
      <c r="J50" t="n">
        <v>1927</v>
      </c>
      <c r="K50" s="27">
        <f>(H50/D50-1)</f>
        <v/>
      </c>
      <c r="L50" s="27">
        <f>(I50/D50-1)</f>
        <v/>
      </c>
      <c r="M50" s="27">
        <f>(J50/D50-1)</f>
        <v/>
      </c>
      <c r="N50" t="n">
        <v>37</v>
      </c>
      <c r="O50" s="28">
        <f>(N50+F50)/2</f>
        <v/>
      </c>
      <c r="P50">
        <f>IF(O50="計算不能","計算不能",IF(O50&gt;=80,5,IF(O50&gt;=60,4,IF(O50&gt;=40,3,IF(O50&gt;=28,2,1)))))</f>
        <v/>
      </c>
      <c r="Q50" t="n">
        <v>676</v>
      </c>
      <c r="R50" t="n">
        <v>0</v>
      </c>
      <c r="S50" s="27">
        <f>R50/Q50</f>
        <v/>
      </c>
      <c r="T50" t="inlineStr">
        <is>
          <t>厚沢部町は2045年までに人口が約40.0%減と急激な過疎・超高齢化が進行。若年労働世代の流出と自然減が重なり、賃貸事業としての持続性は極めて限定的。</t>
        </is>
      </c>
      <c r="U50" t="inlineStr">
        <is>
          <t>厚沢部町は人口密度7人/km²と過疎的水準で、民間賃貸の新規需要は薄い。実需に裏付けられた格安戸建ての指値取得のみが現実的。 借家の空室率は約0%と需給は比較的引き締まっている。</t>
        </is>
      </c>
      <c r="V50" t="inlineStr">
        <is>
          <t>厚沢部町（北海道）：冬期の豪雪・着雪荷重と路面凍結が最大の運営リスク。石狩・十勝・天塩川水系の河川氾濫、太平洋沿岸の津波・千島海溝地震、火山周辺の降灰に留意。</t>
        </is>
      </c>
    </row>
    <row r="51">
      <c r="A51" t="inlineStr">
        <is>
          <t>北海道</t>
        </is>
      </c>
      <c r="B51" t="inlineStr">
        <is>
          <t>乙部町</t>
        </is>
      </c>
      <c r="C51" t="n">
        <v>1721</v>
      </c>
      <c r="D51" t="n">
        <v>2951</v>
      </c>
      <c r="E51" s="6" t="n">
        <v>18.1</v>
      </c>
      <c r="F51" s="7" t="n">
        <v>11.8</v>
      </c>
      <c r="G51" t="n">
        <v>3403</v>
      </c>
      <c r="H51" t="n">
        <v>2951</v>
      </c>
      <c r="I51" t="n">
        <v>2543</v>
      </c>
      <c r="J51" t="n">
        <v>1558</v>
      </c>
      <c r="K51" s="27">
        <f>(H51/D51-1)</f>
        <v/>
      </c>
      <c r="L51" s="27">
        <f>(I51/D51-1)</f>
        <v/>
      </c>
      <c r="M51" s="27">
        <f>(J51/D51-1)</f>
        <v/>
      </c>
      <c r="N51" t="n">
        <v>32.3</v>
      </c>
      <c r="O51" s="28">
        <f>(N51+F51)/2</f>
        <v/>
      </c>
      <c r="P51">
        <f>IF(O51="計算不能","計算不能",IF(O51&gt;=80,5,IF(O51&gt;=60,4,IF(O51&gt;=40,3,IF(O51&gt;=28,2,1)))))</f>
        <v/>
      </c>
      <c r="Q51" t="n">
        <v>658</v>
      </c>
      <c r="R51" t="n">
        <v>0</v>
      </c>
      <c r="S51" s="27">
        <f>R51/Q51</f>
        <v/>
      </c>
      <c r="T51" t="inlineStr">
        <is>
          <t>乙部町は2045年までに人口が約47.2%減と急激な過疎・超高齢化が進行。若年労働世代の流出と自然減が重なり、賃貸事業としての持続性は極めて限定的。</t>
        </is>
      </c>
      <c r="U51" t="inlineStr">
        <is>
          <t>乙部町は人口密度18人/km²と過疎的水準で、民間賃貸の新規需要は薄い。実需に裏付けられた格安戸建ての指値取得のみが現実的。 借家の空室率は約0%と需給は比較的引き締まっている。</t>
        </is>
      </c>
      <c r="V51" t="inlineStr">
        <is>
          <t>乙部町（北海道）：冬期の豪雪・着雪荷重と路面凍結が最大の運営リスク。石狩・十勝・天塩川水系の河川氾濫、太平洋沿岸の津波・千島海溝地震、火山周辺の降灰に留意。</t>
        </is>
      </c>
    </row>
    <row r="52">
      <c r="A52" t="inlineStr">
        <is>
          <t>北海道</t>
        </is>
      </c>
      <c r="B52" t="inlineStr">
        <is>
          <t>奥尻町</t>
        </is>
      </c>
      <c r="C52" t="n">
        <v>1339</v>
      </c>
      <c r="D52" t="n">
        <v>2107</v>
      </c>
      <c r="E52" s="6" t="n">
        <v>14.3</v>
      </c>
      <c r="F52" s="7" t="n">
        <v>11.4</v>
      </c>
      <c r="G52" t="n">
        <v>2410</v>
      </c>
      <c r="H52" t="n">
        <v>2107</v>
      </c>
      <c r="I52" t="n">
        <v>1846</v>
      </c>
      <c r="J52" t="n">
        <v>1150</v>
      </c>
      <c r="K52" s="27">
        <f>(H52/D52-1)</f>
        <v/>
      </c>
      <c r="L52" s="27">
        <f>(I52/D52-1)</f>
        <v/>
      </c>
      <c r="M52" s="27">
        <f>(J52/D52-1)</f>
        <v/>
      </c>
      <c r="N52" t="n">
        <v>33.7</v>
      </c>
      <c r="O52" s="28">
        <f>(N52+F52)/2</f>
        <v/>
      </c>
      <c r="P52">
        <f>IF(O52="計算不能","計算不能",IF(O52&gt;=80,5,IF(O52&gt;=60,4,IF(O52&gt;=40,3,IF(O52&gt;=28,2,1)))))</f>
        <v/>
      </c>
      <c r="Q52" t="n">
        <v>512</v>
      </c>
      <c r="R52" t="n">
        <v>0</v>
      </c>
      <c r="S52" s="27">
        <f>R52/Q52</f>
        <v/>
      </c>
      <c r="T52" t="inlineStr">
        <is>
          <t>奥尻町は2045年までに人口が約45.4%減と急激な過疎・超高齢化が進行。若年労働世代の流出と自然減が重なり、賃貸事業としての持続性は極めて限定的。</t>
        </is>
      </c>
      <c r="U52" t="inlineStr">
        <is>
          <t>奥尻町は人口密度14人/km²と過疎的水準で、民間賃貸の新規需要は薄い。実需に裏付けられた格安戸建ての指値取得のみが現実的。 借家の空室率は約0%と需給は比較的引き締まっている。</t>
        </is>
      </c>
      <c r="V52" t="inlineStr">
        <is>
          <t>奥尻町（北海道）：冬期の豪雪・着雪荷重と路面凍結が最大の運営リスク。石狩・十勝・天塩川水系の河川氾濫、太平洋沿岸の津波・千島海溝地震、火山周辺の降灰に留意。</t>
        </is>
      </c>
    </row>
    <row r="53">
      <c r="A53" t="inlineStr">
        <is>
          <t>北海道</t>
        </is>
      </c>
      <c r="B53" t="inlineStr">
        <is>
          <t>今金町</t>
        </is>
      </c>
      <c r="C53" t="n">
        <v>2341</v>
      </c>
      <c r="D53" t="n">
        <v>4522</v>
      </c>
      <c r="E53" s="6" t="n">
        <v>7.7</v>
      </c>
      <c r="F53" s="7" t="n">
        <v>10.8</v>
      </c>
      <c r="G53" t="n">
        <v>5072</v>
      </c>
      <c r="H53" t="n">
        <v>4522</v>
      </c>
      <c r="I53" t="n">
        <v>4075</v>
      </c>
      <c r="J53" t="n">
        <v>2864</v>
      </c>
      <c r="K53" s="27">
        <f>(H53/D53-1)</f>
        <v/>
      </c>
      <c r="L53" s="27">
        <f>(I53/D53-1)</f>
        <v/>
      </c>
      <c r="M53" s="27">
        <f>(J53/D53-1)</f>
        <v/>
      </c>
      <c r="N53" t="n">
        <v>37.9</v>
      </c>
      <c r="O53" s="28">
        <f>(N53+F53)/2</f>
        <v/>
      </c>
      <c r="P53">
        <f>IF(O53="計算不能","計算不能",IF(O53&gt;=80,5,IF(O53&gt;=60,4,IF(O53&gt;=40,3,IF(O53&gt;=28,2,1)))))</f>
        <v/>
      </c>
      <c r="Q53" t="n">
        <v>895</v>
      </c>
      <c r="R53" t="n">
        <v>0</v>
      </c>
      <c r="S53" s="27">
        <f>R53/Q53</f>
        <v/>
      </c>
      <c r="T53" t="inlineStr">
        <is>
          <t>今金町は2045年までに人口が約36.7%減と急激な過疎・超高齢化が進行。若年労働世代の流出と自然減が重なり、賃貸事業としての持続性は極めて限定的。</t>
        </is>
      </c>
      <c r="U53" t="inlineStr">
        <is>
          <t>今金町は人口密度8人/km²と過疎的水準で、民間賃貸の新規需要は薄い。実需に裏付けられた格安戸建ての指値取得のみが現実的。 借家の空室率は約0%と需給は比較的引き締まっている。</t>
        </is>
      </c>
      <c r="V53" t="inlineStr">
        <is>
          <t>今金町（北海道）：冬期の豪雪・着雪荷重と路面凍結が最大の運営リスク。石狩・十勝・天塩川水系の河川氾濫、太平洋沿岸の津波・千島海溝地震、火山周辺の降灰に留意。</t>
        </is>
      </c>
    </row>
    <row r="54">
      <c r="A54" t="inlineStr">
        <is>
          <t>北海道</t>
        </is>
      </c>
      <c r="B54" t="inlineStr">
        <is>
          <t>せたな町</t>
        </is>
      </c>
      <c r="C54" t="n">
        <v>3777</v>
      </c>
      <c r="D54" t="n">
        <v>6491</v>
      </c>
      <c r="E54" s="6" t="n">
        <v>10</v>
      </c>
      <c r="F54" s="7" t="n">
        <v>11</v>
      </c>
      <c r="G54" t="n">
        <v>7398</v>
      </c>
      <c r="H54" t="n">
        <v>6491</v>
      </c>
      <c r="I54" t="n">
        <v>5675</v>
      </c>
      <c r="J54" t="n">
        <v>3588</v>
      </c>
      <c r="K54" s="27">
        <f>(H54/D54-1)</f>
        <v/>
      </c>
      <c r="L54" s="27">
        <f>(I54/D54-1)</f>
        <v/>
      </c>
      <c r="M54" s="27">
        <f>(J54/D54-1)</f>
        <v/>
      </c>
      <c r="N54" t="n">
        <v>34.1</v>
      </c>
      <c r="O54" s="28">
        <f>(N54+F54)/2</f>
        <v/>
      </c>
      <c r="P54">
        <f>IF(O54="計算不能","計算不能",IF(O54&gt;=80,5,IF(O54&gt;=60,4,IF(O54&gt;=40,3,IF(O54&gt;=28,2,1)))))</f>
        <v/>
      </c>
      <c r="Q54" t="n">
        <v>1445</v>
      </c>
      <c r="R54" t="n">
        <v>0</v>
      </c>
      <c r="S54" s="27">
        <f>R54/Q54</f>
        <v/>
      </c>
      <c r="T54" t="inlineStr">
        <is>
          <t>せたな町は2045年までに人口が約44.7%減と急激な過疎・超高齢化が進行。若年労働世代の流出と自然減が重なり、賃貸事業としての持続性は極めて限定的。</t>
        </is>
      </c>
      <c r="U54" t="inlineStr">
        <is>
          <t>せたな町は人口密度10人/km²と過疎的水準で、民間賃貸の新規需要は薄い。実需に裏付けられた格安戸建ての指値取得のみが現実的。 借家の空室率は約0%と需給は比較的引き締まっている。</t>
        </is>
      </c>
      <c r="V54" t="inlineStr">
        <is>
          <t>せたな町（北海道）：冬期の豪雪・着雪荷重と路面凍結が最大の運営リスク。石狩・十勝・天塩川水系の河川氾濫、太平洋沿岸の津波・千島海溝地震、火山周辺の降灰に留意。</t>
        </is>
      </c>
    </row>
    <row r="55">
      <c r="A55" t="inlineStr">
        <is>
          <t>北海道</t>
        </is>
      </c>
      <c r="B55" t="inlineStr">
        <is>
          <t>島牧村</t>
        </is>
      </c>
      <c r="C55" t="n">
        <v>744</v>
      </c>
      <c r="D55" t="n">
        <v>1186</v>
      </c>
      <c r="E55" s="6" t="n">
        <v>2.7</v>
      </c>
      <c r="F55" s="7" t="n">
        <v>10.3</v>
      </c>
      <c r="G55" t="n">
        <v>1356</v>
      </c>
      <c r="H55" t="n">
        <v>1186</v>
      </c>
      <c r="I55" t="n">
        <v>1055</v>
      </c>
      <c r="J55" t="n">
        <v>731</v>
      </c>
      <c r="K55" s="27">
        <f>(H55/D55-1)</f>
        <v/>
      </c>
      <c r="L55" s="27">
        <f>(I55/D55-1)</f>
        <v/>
      </c>
      <c r="M55" s="27">
        <f>(J55/D55-1)</f>
        <v/>
      </c>
      <c r="N55" t="n">
        <v>35.7</v>
      </c>
      <c r="O55" s="28">
        <f>(N55+F55)/2</f>
        <v/>
      </c>
      <c r="P55">
        <f>IF(O55="計算不能","計算不能",IF(O55&gt;=80,5,IF(O55&gt;=60,4,IF(O55&gt;=40,3,IF(O55&gt;=28,2,1)))))</f>
        <v/>
      </c>
      <c r="Q55" t="n">
        <v>284</v>
      </c>
      <c r="R55" t="n">
        <v>0</v>
      </c>
      <c r="S55" s="27">
        <f>R55/Q55</f>
        <v/>
      </c>
      <c r="T55" t="inlineStr">
        <is>
          <t>島牧村は2045年までに人口が約38.4%減と急激な過疎・超高齢化が進行。若年労働世代の流出と自然減が重なり、賃貸事業としての持続性は極めて限定的。</t>
        </is>
      </c>
      <c r="U55" t="inlineStr">
        <is>
          <t>島牧村は人口密度3人/km²と過疎的水準で、民間賃貸の新規需要は薄い。実需に裏付けられた格安戸建ての指値取得のみが現実的。 借家の空室率は約0%と需給は比較的引き締まっている。</t>
        </is>
      </c>
      <c r="V55" t="inlineStr">
        <is>
          <t>島牧村（北海道）：冬期の豪雪・着雪荷重と路面凍結が最大の運営リスク。石狩・十勝・天塩川水系の河川氾濫、太平洋沿岸の津波・千島海溝地震、火山周辺の降灰に留意。</t>
        </is>
      </c>
    </row>
    <row r="56">
      <c r="A56" t="inlineStr">
        <is>
          <t>北海道</t>
        </is>
      </c>
      <c r="B56" t="inlineStr">
        <is>
          <t>寿都町</t>
        </is>
      </c>
      <c r="C56" t="n">
        <v>1554</v>
      </c>
      <c r="D56" t="n">
        <v>2553</v>
      </c>
      <c r="E56" s="6" t="n">
        <v>26.2</v>
      </c>
      <c r="F56" s="7" t="n">
        <v>12.6</v>
      </c>
      <c r="G56" t="n">
        <v>2838</v>
      </c>
      <c r="H56" t="n">
        <v>2553</v>
      </c>
      <c r="I56" t="n">
        <v>2304</v>
      </c>
      <c r="J56" t="n">
        <v>1708</v>
      </c>
      <c r="K56" s="27">
        <f>(H56/D56-1)</f>
        <v/>
      </c>
      <c r="L56" s="27">
        <f>(I56/D56-1)</f>
        <v/>
      </c>
      <c r="M56" s="27">
        <f>(J56/D56-1)</f>
        <v/>
      </c>
      <c r="N56" t="n">
        <v>39.4</v>
      </c>
      <c r="O56" s="28">
        <f>(N56+F56)/2</f>
        <v/>
      </c>
      <c r="P56">
        <f>IF(O56="計算不能","計算不能",IF(O56&gt;=80,5,IF(O56&gt;=60,4,IF(O56&gt;=40,3,IF(O56&gt;=28,2,1)))))</f>
        <v/>
      </c>
      <c r="Q56" t="n">
        <v>594</v>
      </c>
      <c r="R56" t="n">
        <v>0</v>
      </c>
      <c r="S56" s="27">
        <f>R56/Q56</f>
        <v/>
      </c>
      <c r="T56" t="inlineStr">
        <is>
          <t>寿都町は2045年までに人口が約33.1%減と急激な過疎・超高齢化が進行。若年労働世代の流出と自然減が重なり、賃貸事業としての持続性は極めて限定的。</t>
        </is>
      </c>
      <c r="U56" t="inlineStr">
        <is>
          <t>寿都町は人口密度26人/km²と過疎的水準で、民間賃貸の新規需要は薄い。実需に裏付けられた格安戸建ての指値取得のみが現実的。 借家の空室率は約0%と需給は比較的引き締まっている。</t>
        </is>
      </c>
      <c r="V56" t="inlineStr">
        <is>
          <t>寿都町（北海道）：冬期の豪雪・着雪荷重と路面凍結が最大の運営リスク。石狩・十勝・天塩川水系の河川氾濫、太平洋沿岸の津波・千島海溝地震、火山周辺の降灰に留意。</t>
        </is>
      </c>
    </row>
    <row r="57">
      <c r="A57" t="inlineStr">
        <is>
          <t>北海道</t>
        </is>
      </c>
      <c r="B57" t="inlineStr">
        <is>
          <t>黒松内町</t>
        </is>
      </c>
      <c r="C57" t="n">
        <v>1374</v>
      </c>
      <c r="D57" t="n">
        <v>2546</v>
      </c>
      <c r="E57" s="6" t="n">
        <v>7.6</v>
      </c>
      <c r="F57" s="7" t="n">
        <v>10.8</v>
      </c>
      <c r="G57" t="n">
        <v>2791</v>
      </c>
      <c r="H57" t="n">
        <v>2546</v>
      </c>
      <c r="I57" t="n">
        <v>2310</v>
      </c>
      <c r="J57" t="n">
        <v>1721</v>
      </c>
      <c r="K57" s="27">
        <f>(H57/D57-1)</f>
        <v/>
      </c>
      <c r="L57" s="27">
        <f>(I57/D57-1)</f>
        <v/>
      </c>
      <c r="M57" s="27">
        <f>(J57/D57-1)</f>
        <v/>
      </c>
      <c r="N57" t="n">
        <v>40.9</v>
      </c>
      <c r="O57" s="28">
        <f>(N57+F57)/2</f>
        <v/>
      </c>
      <c r="P57">
        <f>IF(O57="計算不能","計算不能",IF(O57&gt;=80,5,IF(O57&gt;=60,4,IF(O57&gt;=40,3,IF(O57&gt;=28,2,1)))))</f>
        <v/>
      </c>
      <c r="Q57" t="n">
        <v>525</v>
      </c>
      <c r="R57" t="n">
        <v>0</v>
      </c>
      <c r="S57" s="27">
        <f>R57/Q57</f>
        <v/>
      </c>
      <c r="T57" t="inlineStr">
        <is>
          <t>黒松内町は2045年までに人口が約32.4%減と急激な過疎・超高齢化が進行。若年労働世代の流出と自然減が重なり、賃貸事業としての持続性は極めて限定的。</t>
        </is>
      </c>
      <c r="U57" t="inlineStr">
        <is>
          <t>黒松内町は人口密度8人/km²と過疎的水準で、民間賃貸の新規需要は薄い。実需に裏付けられた格安戸建ての指値取得のみが現実的。 借家の空室率は約0%と需給は比較的引き締まっている。</t>
        </is>
      </c>
      <c r="V57" t="inlineStr">
        <is>
          <t>黒松内町（北海道）：冬期の豪雪・着雪荷重と路面凍結が最大の運営リスク。石狩・十勝・天塩川水系の河川氾濫、太平洋沿岸の津波・千島海溝地震、火山周辺の降灰に留意。</t>
        </is>
      </c>
    </row>
    <row r="58">
      <c r="A58" t="inlineStr">
        <is>
          <t>北海道</t>
        </is>
      </c>
      <c r="B58" t="inlineStr">
        <is>
          <t>蘭越町</t>
        </is>
      </c>
      <c r="C58" t="n">
        <v>2460</v>
      </c>
      <c r="D58" t="n">
        <v>4196</v>
      </c>
      <c r="E58" s="6" t="n">
        <v>9.699999999999999</v>
      </c>
      <c r="F58" s="7" t="n">
        <v>11</v>
      </c>
      <c r="G58" t="n">
        <v>4568</v>
      </c>
      <c r="H58" t="n">
        <v>4196</v>
      </c>
      <c r="I58" t="n">
        <v>3848</v>
      </c>
      <c r="J58" t="n">
        <v>2911</v>
      </c>
      <c r="K58" s="27">
        <f>(H58/D58-1)</f>
        <v/>
      </c>
      <c r="L58" s="27">
        <f>(I58/D58-1)</f>
        <v/>
      </c>
      <c r="M58" s="27">
        <f>(J58/D58-1)</f>
        <v/>
      </c>
      <c r="N58" t="n">
        <v>42.2</v>
      </c>
      <c r="O58" s="28">
        <f>(N58+F58)/2</f>
        <v/>
      </c>
      <c r="P58">
        <f>IF(O58="計算不能","計算不能",IF(O58&gt;=80,5,IF(O58&gt;=60,4,IF(O58&gt;=40,3,IF(O58&gt;=28,2,1)))))</f>
        <v/>
      </c>
      <c r="Q58" t="n">
        <v>941</v>
      </c>
      <c r="R58" t="n">
        <v>0</v>
      </c>
      <c r="S58" s="27">
        <f>R58/Q58</f>
        <v/>
      </c>
      <c r="T58" t="inlineStr">
        <is>
          <t>蘭越町は2045年までに人口が約30.6%減と急激な過疎・超高齢化が進行。若年労働世代の流出と自然減が重なり、賃貸事業としての持続性は極めて限定的。</t>
        </is>
      </c>
      <c r="U58" t="inlineStr">
        <is>
          <t>蘭越町は人口密度10人/km²と過疎的水準で、民間賃貸の新規需要は薄い。実需に裏付けられた格安戸建ての指値取得のみが現実的。 借家の空室率は約0%と需給は比較的引き締まっている。</t>
        </is>
      </c>
      <c r="V58" t="inlineStr">
        <is>
          <t>蘭越町（北海道）：冬期の豪雪・着雪荷重と路面凍結が最大の運営リスク。石狩・十勝・天塩川水系の河川氾濫、太平洋沿岸の津波・千島海溝地震、火山周辺の降灰に留意。</t>
        </is>
      </c>
    </row>
    <row r="59">
      <c r="A59" t="inlineStr">
        <is>
          <t>北海道</t>
        </is>
      </c>
      <c r="B59" t="inlineStr">
        <is>
          <t>ニセコ町</t>
        </is>
      </c>
      <c r="C59" t="n">
        <v>3260</v>
      </c>
      <c r="D59" t="n">
        <v>5087</v>
      </c>
      <c r="E59" s="6" t="n">
        <v>27.2</v>
      </c>
      <c r="F59" s="7" t="n">
        <v>12.7</v>
      </c>
      <c r="G59" t="n">
        <v>5074</v>
      </c>
      <c r="H59" t="n">
        <v>5087</v>
      </c>
      <c r="I59" t="n">
        <v>5088</v>
      </c>
      <c r="J59" t="n">
        <v>4941</v>
      </c>
      <c r="K59" s="27">
        <f>(H59/D59-1)</f>
        <v/>
      </c>
      <c r="L59" s="27">
        <f>(I59/D59-1)</f>
        <v/>
      </c>
      <c r="M59" s="27">
        <f>(J59/D59-1)</f>
        <v/>
      </c>
      <c r="N59" t="n">
        <v>74.09999999999999</v>
      </c>
      <c r="O59" s="28">
        <f>(N59+F59)/2</f>
        <v/>
      </c>
      <c r="P59">
        <f>IF(O59="計算不能","計算不能",IF(O59&gt;=80,5,IF(O59&gt;=60,4,IF(O59&gt;=40,3,IF(O59&gt;=28,2,1)))))</f>
        <v/>
      </c>
      <c r="Q59" t="n">
        <v>1247</v>
      </c>
      <c r="R59" t="n">
        <v>0</v>
      </c>
      <c r="S59" s="27">
        <f>R59/Q59</f>
        <v/>
      </c>
      <c r="T59" t="inlineStr">
        <is>
          <t>ニセコ町は2045年までの人口減少率が約2.9%と全国平均より緩やかで、概ね横ばいの安定推移。生産年齢人口の維持により、賃貸需要の急減リスクは相対的に低い。</t>
        </is>
      </c>
      <c r="U59" t="inlineStr">
        <is>
          <t>ニセコ町は人口密度27人/km²と過疎的水準で、民間賃貸の新規需要は薄い。実需に裏付けられた格安戸建ての指値取得のみが現実的。 借家の空室率は約0%と需給は比較的引き締まっている。</t>
        </is>
      </c>
      <c r="V59" t="inlineStr">
        <is>
          <t>ニセコ町（北海道）：冬期の豪雪・着雪荷重と路面凍結が最大の運営リスク。石狩・十勝・天塩川水系の河川氾濫、太平洋沿岸の津波・千島海溝地震、火山周辺の降灰に留意。</t>
        </is>
      </c>
    </row>
    <row r="60">
      <c r="A60" t="inlineStr">
        <is>
          <t>北海道</t>
        </is>
      </c>
      <c r="B60" t="inlineStr">
        <is>
          <t>真狩村</t>
        </is>
      </c>
      <c r="C60" t="n">
        <v>1002</v>
      </c>
      <c r="D60" t="n">
        <v>1900</v>
      </c>
      <c r="E60" s="6" t="n">
        <v>17.2</v>
      </c>
      <c r="F60" s="7" t="n">
        <v>11.7</v>
      </c>
      <c r="G60" t="n">
        <v>2045</v>
      </c>
      <c r="H60" t="n">
        <v>1900</v>
      </c>
      <c r="I60" t="n">
        <v>1765</v>
      </c>
      <c r="J60" t="n">
        <v>1431</v>
      </c>
      <c r="K60" s="27">
        <f>(H60/D60-1)</f>
        <v/>
      </c>
      <c r="L60" s="27">
        <f>(I60/D60-1)</f>
        <v/>
      </c>
      <c r="M60" s="27">
        <f>(J60/D60-1)</f>
        <v/>
      </c>
      <c r="N60" t="n">
        <v>44.9</v>
      </c>
      <c r="O60" s="28">
        <f>(N60+F60)/2</f>
        <v/>
      </c>
      <c r="P60">
        <f>IF(O60="計算不能","計算不能",IF(O60&gt;=80,5,IF(O60&gt;=60,4,IF(O60&gt;=40,3,IF(O60&gt;=28,2,1)))))</f>
        <v/>
      </c>
      <c r="Q60" t="n">
        <v>383</v>
      </c>
      <c r="R60" t="n">
        <v>0</v>
      </c>
      <c r="S60" s="27">
        <f>R60/Q60</f>
        <v/>
      </c>
      <c r="T60" t="inlineStr">
        <is>
          <t>真狩村は2045年までに人口が約24.7%減と明確な減少トレンド。高齢化の進行と世帯数の縮小により、中長期では賃貸需要の構造的縮小に警戒が必要。</t>
        </is>
      </c>
      <c r="U60" t="inlineStr">
        <is>
          <t>真狩村は人口密度17人/km²と過疎的水準で、民間賃貸の新規需要は薄い。実需に裏付けられた格安戸建ての指値取得のみが現実的。 借家の空室率は約0%と需給は比較的引き締まっている。</t>
        </is>
      </c>
      <c r="V60" t="inlineStr">
        <is>
          <t>真狩村（北海道）：冬期の豪雪・着雪荷重と路面凍結が最大の運営リスク。石狩・十勝・天塩川水系の河川氾濫、太平洋沿岸の津波・千島海溝地震、火山周辺の降灰に留意。</t>
        </is>
      </c>
    </row>
    <row r="61">
      <c r="A61" t="inlineStr">
        <is>
          <t>北海道</t>
        </is>
      </c>
      <c r="B61" t="inlineStr">
        <is>
          <t>留寿都村</t>
        </is>
      </c>
      <c r="C61" t="n">
        <v>1197</v>
      </c>
      <c r="D61" t="n">
        <v>1791</v>
      </c>
      <c r="E61" s="6" t="n">
        <v>15.7</v>
      </c>
      <c r="F61" s="7" t="n">
        <v>11.6</v>
      </c>
      <c r="G61" t="n">
        <v>1911</v>
      </c>
      <c r="H61" t="n">
        <v>1791</v>
      </c>
      <c r="I61" t="n">
        <v>1691</v>
      </c>
      <c r="J61" t="n">
        <v>1437</v>
      </c>
      <c r="K61" s="27">
        <f>(H61/D61-1)</f>
        <v/>
      </c>
      <c r="L61" s="27">
        <f>(I61/D61-1)</f>
        <v/>
      </c>
      <c r="M61" s="27">
        <f>(J61/D61-1)</f>
        <v/>
      </c>
      <c r="N61" t="n">
        <v>49.5</v>
      </c>
      <c r="O61" s="28">
        <f>(N61+F61)/2</f>
        <v/>
      </c>
      <c r="P61">
        <f>IF(O61="計算不能","計算不能",IF(O61&gt;=80,5,IF(O61&gt;=60,4,IF(O61&gt;=40,3,IF(O61&gt;=28,2,1)))))</f>
        <v/>
      </c>
      <c r="Q61" t="n">
        <v>458</v>
      </c>
      <c r="R61" t="n">
        <v>0</v>
      </c>
      <c r="S61" s="27">
        <f>R61/Q61</f>
        <v/>
      </c>
      <c r="T61" t="inlineStr">
        <is>
          <t>留寿都村は2045年までに人口が約19.8%減と明確な減少トレンド。高齢化の進行と世帯数の縮小により、中長期では賃貸需要の構造的縮小に警戒が必要。</t>
        </is>
      </c>
      <c r="U61" t="inlineStr">
        <is>
          <t>留寿都村は人口密度16人/km²と過疎的水準で、民間賃貸の新規需要は薄い。実需に裏付けられた格安戸建ての指値取得のみが現実的。 借家の空室率は約0%と需給は比較的引き締まっている。</t>
        </is>
      </c>
      <c r="V61" t="inlineStr">
        <is>
          <t>留寿都村（北海道）：冬期の豪雪・着雪荷重と路面凍結が最大の運営リスク。石狩・十勝・天塩川水系の河川氾濫、太平洋沿岸の津波・千島海溝地震、火山周辺の降灰に留意。</t>
        </is>
      </c>
    </row>
    <row r="62">
      <c r="A62" t="inlineStr">
        <is>
          <t>北海道</t>
        </is>
      </c>
      <c r="B62" t="inlineStr">
        <is>
          <t>喜茂別町</t>
        </is>
      </c>
      <c r="C62" t="n">
        <v>1161</v>
      </c>
      <c r="D62" t="n">
        <v>1973</v>
      </c>
      <c r="E62" s="6" t="n">
        <v>10.6</v>
      </c>
      <c r="F62" s="7" t="n">
        <v>11.1</v>
      </c>
      <c r="G62" t="n">
        <v>2156</v>
      </c>
      <c r="H62" t="n">
        <v>1973</v>
      </c>
      <c r="I62" t="n">
        <v>1843</v>
      </c>
      <c r="J62" t="n">
        <v>1514</v>
      </c>
      <c r="K62" s="27">
        <f>(H62/D62-1)</f>
        <v/>
      </c>
      <c r="L62" s="27">
        <f>(I62/D62-1)</f>
        <v/>
      </c>
      <c r="M62" s="27">
        <f>(J62/D62-1)</f>
        <v/>
      </c>
      <c r="N62" t="n">
        <v>44.1</v>
      </c>
      <c r="O62" s="28">
        <f>(N62+F62)/2</f>
        <v/>
      </c>
      <c r="P62">
        <f>IF(O62="計算不能","計算不能",IF(O62&gt;=80,5,IF(O62&gt;=60,4,IF(O62&gt;=40,3,IF(O62&gt;=28,2,1)))))</f>
        <v/>
      </c>
      <c r="Q62" t="n">
        <v>444</v>
      </c>
      <c r="R62" t="n">
        <v>0</v>
      </c>
      <c r="S62" s="27">
        <f>R62/Q62</f>
        <v/>
      </c>
      <c r="T62" t="inlineStr">
        <is>
          <t>喜茂別町は2045年までに人口が約23.3%減と明確な減少トレンド。高齢化の進行と世帯数の縮小により、中長期では賃貸需要の構造的縮小に警戒が必要。</t>
        </is>
      </c>
      <c r="U62" t="inlineStr">
        <is>
          <t>喜茂別町は人口密度11人/km²と過疎的水準で、民間賃貸の新規需要は薄い。実需に裏付けられた格安戸建ての指値取得のみが現実的。 借家の空室率は約0%と需給は比較的引き締まっている。</t>
        </is>
      </c>
      <c r="V62" t="inlineStr">
        <is>
          <t>喜茂別町（北海道）：冬期の豪雪・着雪荷重と路面凍結が最大の運営リスク。石狩・十勝・天塩川水系の河川氾濫、太平洋沿岸の津波・千島海溝地震、火山周辺の降灰に留意。</t>
        </is>
      </c>
    </row>
    <row r="63">
      <c r="A63" t="inlineStr">
        <is>
          <t>北海道</t>
        </is>
      </c>
      <c r="B63" t="inlineStr">
        <is>
          <t>京極町</t>
        </is>
      </c>
      <c r="C63" t="n">
        <v>1459</v>
      </c>
      <c r="D63" t="n">
        <v>2710</v>
      </c>
      <c r="E63" s="6" t="n">
        <v>12.1</v>
      </c>
      <c r="F63" s="7" t="n">
        <v>11.2</v>
      </c>
      <c r="G63" t="n">
        <v>2941</v>
      </c>
      <c r="H63" t="n">
        <v>2710</v>
      </c>
      <c r="I63" t="n">
        <v>2473</v>
      </c>
      <c r="J63" t="n">
        <v>1914</v>
      </c>
      <c r="K63" s="27">
        <f>(H63/D63-1)</f>
        <v/>
      </c>
      <c r="L63" s="27">
        <f>(I63/D63-1)</f>
        <v/>
      </c>
      <c r="M63" s="27">
        <f>(J63/D63-1)</f>
        <v/>
      </c>
      <c r="N63" t="n">
        <v>42.6</v>
      </c>
      <c r="O63" s="28">
        <f>(N63+F63)/2</f>
        <v/>
      </c>
      <c r="P63">
        <f>IF(O63="計算不能","計算不能",IF(O63&gt;=80,5,IF(O63&gt;=60,4,IF(O63&gt;=40,3,IF(O63&gt;=28,2,1)))))</f>
        <v/>
      </c>
      <c r="Q63" t="n">
        <v>558</v>
      </c>
      <c r="R63" t="n">
        <v>0</v>
      </c>
      <c r="S63" s="27">
        <f>R63/Q63</f>
        <v/>
      </c>
      <c r="T63" t="inlineStr">
        <is>
          <t>京極町は2045年までに人口が約29.4%減と明確な減少トレンド。高齢化の進行と世帯数の縮小により、中長期では賃貸需要の構造的縮小に警戒が必要。</t>
        </is>
      </c>
      <c r="U63" t="inlineStr">
        <is>
          <t>京極町は人口密度12人/km²と過疎的水準で、民間賃貸の新規需要は薄い。実需に裏付けられた格安戸建ての指値取得のみが現実的。 借家の空室率は約0%と需給は比較的引き締まっている。</t>
        </is>
      </c>
      <c r="V63" t="inlineStr">
        <is>
          <t>京極町（北海道）：冬期の豪雪・着雪荷重と路面凍結が最大の運営リスク。石狩・十勝・天塩川水系の河川氾濫、太平洋沿岸の津波・千島海溝地震、火山周辺の降灰に留意。</t>
        </is>
      </c>
    </row>
    <row r="64">
      <c r="A64" t="inlineStr">
        <is>
          <t>北海道</t>
        </is>
      </c>
      <c r="B64" t="inlineStr">
        <is>
          <t>倶知安町</t>
        </is>
      </c>
      <c r="C64" t="n">
        <v>7380</v>
      </c>
      <c r="D64" t="n">
        <v>14601</v>
      </c>
      <c r="E64" s="6" t="n">
        <v>56.5</v>
      </c>
      <c r="F64" s="7" t="n">
        <v>15.7</v>
      </c>
      <c r="G64" t="n">
        <v>15129</v>
      </c>
      <c r="H64" t="n">
        <v>14601</v>
      </c>
      <c r="I64" t="n">
        <v>14021</v>
      </c>
      <c r="J64" t="n">
        <v>12302</v>
      </c>
      <c r="K64" s="27">
        <f>(H64/D64-1)</f>
        <v/>
      </c>
      <c r="L64" s="27">
        <f>(I64/D64-1)</f>
        <v/>
      </c>
      <c r="M64" s="27">
        <f>(J64/D64-1)</f>
        <v/>
      </c>
      <c r="N64" t="n">
        <v>57.7</v>
      </c>
      <c r="O64" s="28">
        <f>(N64+F64)/2</f>
        <v/>
      </c>
      <c r="P64">
        <f>IF(O64="計算不能","計算不能",IF(O64&gt;=80,5,IF(O64&gt;=60,4,IF(O64&gt;=40,3,IF(O64&gt;=28,2,1)))))</f>
        <v/>
      </c>
      <c r="Q64" t="n">
        <v>2824</v>
      </c>
      <c r="R64" t="n">
        <v>550</v>
      </c>
      <c r="S64" s="27">
        <f>R64/Q64</f>
        <v/>
      </c>
      <c r="T64" t="inlineStr">
        <is>
          <t>倶知安町は2045年までに人口が約15.7%減と明確な減少トレンド。高齢化の進行と世帯数の縮小により、中長期では賃貸需要の構造的縮小に警戒が必要。</t>
        </is>
      </c>
      <c r="U64" t="inlineStr">
        <is>
          <t>倶知安町は人口密度56人/km²と過疎的水準で、民間賃貸の新規需要は薄い。実需に裏付けられた格安戸建ての指値取得のみが現実的。 借家の空室率は約19%とやや高めで、競合との差別化が必要。</t>
        </is>
      </c>
      <c r="V64" t="inlineStr">
        <is>
          <t>倶知安町（北海道）：冬期の豪雪・着雪荷重と路面凍結が最大の運営リスク。石狩・十勝・天塩川水系の河川氾濫、太平洋沿岸の津波・千島海溝地震、火山周辺の降灰に留意。</t>
        </is>
      </c>
    </row>
    <row r="65">
      <c r="A65" t="inlineStr">
        <is>
          <t>北海道</t>
        </is>
      </c>
      <c r="B65" t="inlineStr">
        <is>
          <t>共和町</t>
        </is>
      </c>
      <c r="C65" t="n">
        <v>2761</v>
      </c>
      <c r="D65" t="n">
        <v>5310</v>
      </c>
      <c r="E65" s="6" t="n">
        <v>19.6</v>
      </c>
      <c r="F65" s="7" t="n">
        <v>12</v>
      </c>
      <c r="G65" t="n">
        <v>5772</v>
      </c>
      <c r="H65" t="n">
        <v>5310</v>
      </c>
      <c r="I65" t="n">
        <v>4900</v>
      </c>
      <c r="J65" t="n">
        <v>3711</v>
      </c>
      <c r="K65" s="27">
        <f>(H65/D65-1)</f>
        <v/>
      </c>
      <c r="L65" s="27">
        <f>(I65/D65-1)</f>
        <v/>
      </c>
      <c r="M65" s="27">
        <f>(J65/D65-1)</f>
        <v/>
      </c>
      <c r="N65" t="n">
        <v>42.6</v>
      </c>
      <c r="O65" s="28">
        <f>(N65+F65)/2</f>
        <v/>
      </c>
      <c r="P65">
        <f>IF(O65="計算不能","計算不能",IF(O65&gt;=80,5,IF(O65&gt;=60,4,IF(O65&gt;=40,3,IF(O65&gt;=28,2,1)))))</f>
        <v/>
      </c>
      <c r="Q65" t="n">
        <v>1056</v>
      </c>
      <c r="R65" t="n">
        <v>0</v>
      </c>
      <c r="S65" s="27">
        <f>R65/Q65</f>
        <v/>
      </c>
      <c r="T65" t="inlineStr">
        <is>
          <t>共和町は2045年までに人口が約30.1%減と急激な過疎・超高齢化が進行。若年労働世代の流出と自然減が重なり、賃貸事業としての持続性は極めて限定的。</t>
        </is>
      </c>
      <c r="U65" t="inlineStr">
        <is>
          <t>共和町は人口密度20人/km²と過疎的水準で、民間賃貸の新規需要は薄い。実需に裏付けられた格安戸建ての指値取得のみが現実的。 借家の空室率は約0%と需給は比較的引き締まっている。</t>
        </is>
      </c>
      <c r="V65" t="inlineStr">
        <is>
          <t>共和町（北海道）：冬期の豪雪・着雪荷重と路面凍結が最大の運営リスク。石狩・十勝・天塩川水系の河川氾濫、太平洋沿岸の津波・千島海溝地震、火山周辺の降灰に留意。</t>
        </is>
      </c>
    </row>
    <row r="66">
      <c r="A66" t="inlineStr">
        <is>
          <t>北海道</t>
        </is>
      </c>
      <c r="B66" t="inlineStr">
        <is>
          <t>岩内町</t>
        </is>
      </c>
      <c r="C66" t="n">
        <v>6382</v>
      </c>
      <c r="D66" t="n">
        <v>10187</v>
      </c>
      <c r="E66" s="6" t="n">
        <v>146.8</v>
      </c>
      <c r="F66" s="7" t="n">
        <v>24.7</v>
      </c>
      <c r="G66" t="n">
        <v>11648</v>
      </c>
      <c r="H66" t="n">
        <v>10187</v>
      </c>
      <c r="I66" t="n">
        <v>9111</v>
      </c>
      <c r="J66" t="n">
        <v>6182</v>
      </c>
      <c r="K66" s="27">
        <f>(H66/D66-1)</f>
        <v/>
      </c>
      <c r="L66" s="27">
        <f>(I66/D66-1)</f>
        <v/>
      </c>
      <c r="M66" s="27">
        <f>(J66/D66-1)</f>
        <v/>
      </c>
      <c r="N66" t="n">
        <v>35.6</v>
      </c>
      <c r="O66" s="28">
        <f>(N66+F66)/2</f>
        <v/>
      </c>
      <c r="P66">
        <f>IF(O66="計算不能","計算不能",IF(O66&gt;=80,5,IF(O66&gt;=60,4,IF(O66&gt;=40,3,IF(O66&gt;=28,2,1)))))</f>
        <v/>
      </c>
      <c r="Q66" t="n">
        <v>2442</v>
      </c>
      <c r="R66" t="n">
        <v>0</v>
      </c>
      <c r="S66" s="27">
        <f>R66/Q66</f>
        <v/>
      </c>
      <c r="T66" t="inlineStr">
        <is>
          <t>岩内町は2045年までに人口が約39.3%減と急激な過疎・超高齢化が進行。若年労働世代の流出と自然減が重なり、賃貸事業としての持続性は極めて限定的。</t>
        </is>
      </c>
      <c r="U66" t="inlineStr">
        <is>
          <t>岩内町は人口密度147人/km²と過疎的水準で、民間賃貸の新規需要は薄い。実需に裏付けられた格安戸建ての指値取得のみが現実的。 借家の空室率は約0%と需給は比較的引き締まっている。</t>
        </is>
      </c>
      <c r="V66" t="inlineStr">
        <is>
          <t>岩内町（北海道）：冬期の豪雪・着雪荷重と路面凍結が最大の運営リスク。石狩・十勝・天塩川水系の河川氾濫、太平洋沿岸の津波・千島海溝地震、火山周辺の降灰に留意。</t>
        </is>
      </c>
    </row>
    <row r="67">
      <c r="A67" t="inlineStr">
        <is>
          <t>北海道</t>
        </is>
      </c>
      <c r="B67" t="inlineStr">
        <is>
          <t>泊村</t>
        </is>
      </c>
      <c r="C67" t="n">
        <v>0</v>
      </c>
      <c r="D67" t="n">
        <v>1381</v>
      </c>
      <c r="E67" s="6" t="n">
        <v>18.1</v>
      </c>
      <c r="F67" s="7" t="n">
        <v>11.8</v>
      </c>
      <c r="G67" t="n">
        <v>1569</v>
      </c>
      <c r="H67" t="n">
        <v>1381</v>
      </c>
      <c r="I67" t="n">
        <v>1251</v>
      </c>
      <c r="J67" t="n">
        <v>896</v>
      </c>
      <c r="K67" s="27">
        <f>(H67/D67-1)</f>
        <v/>
      </c>
      <c r="L67" s="27">
        <f>(I67/D67-1)</f>
        <v/>
      </c>
      <c r="M67" s="27">
        <f>(J67/D67-1)</f>
        <v/>
      </c>
      <c r="N67" t="n">
        <v>37.4</v>
      </c>
      <c r="O67" s="28">
        <f>(N67+F67)/2</f>
        <v/>
      </c>
      <c r="P67">
        <f>IF(O67="計算不能","計算不能",IF(O67&gt;=80,5,IF(O67&gt;=60,4,IF(O67&gt;=40,3,IF(O67&gt;=28,2,1)))))</f>
        <v/>
      </c>
      <c r="Q67" t="n">
        <v>0</v>
      </c>
      <c r="R67" t="n">
        <v>0</v>
      </c>
      <c r="S67" s="27">
        <f>R67/Q67</f>
        <v/>
      </c>
      <c r="T67" t="inlineStr">
        <is>
          <t>泊村は2045年までに人口が約35.1%減と急激な過疎・超高齢化が進行。若年労働世代の流出と自然減が重なり、賃貸事業としての持続性は極めて限定的。</t>
        </is>
      </c>
      <c r="U67" t="inlineStr">
        <is>
          <t>泊村は人口密度18人/km²と過疎的水準で、民間賃貸の新規需要は薄い。実需に裏付けられた格安戸建ての指値取得のみが現実的。</t>
        </is>
      </c>
      <c r="V67" t="inlineStr">
        <is>
          <t>泊村（北海道）：冬期の豪雪・着雪荷重と路面凍結が最大の運営リスク。石狩・十勝・天塩川水系の河川氾濫、太平洋沿岸の津波・千島海溝地震、火山周辺の降灰に留意。</t>
        </is>
      </c>
    </row>
    <row r="68">
      <c r="A68" t="inlineStr">
        <is>
          <t>北海道</t>
        </is>
      </c>
      <c r="B68" t="inlineStr">
        <is>
          <t>神恵内村</t>
        </is>
      </c>
      <c r="C68" t="n">
        <v>447</v>
      </c>
      <c r="D68" t="n">
        <v>742</v>
      </c>
      <c r="E68" s="6" t="n">
        <v>5.4</v>
      </c>
      <c r="F68" s="7" t="n">
        <v>10.5</v>
      </c>
      <c r="G68" t="n">
        <v>870</v>
      </c>
      <c r="H68" t="n">
        <v>742</v>
      </c>
      <c r="I68" t="n">
        <v>645</v>
      </c>
      <c r="J68" t="n">
        <v>398</v>
      </c>
      <c r="K68" s="27">
        <f>(H68/D68-1)</f>
        <v/>
      </c>
      <c r="L68" s="27">
        <f>(I68/D68-1)</f>
        <v/>
      </c>
      <c r="M68" s="27">
        <f>(J68/D68-1)</f>
        <v/>
      </c>
      <c r="N68" t="n">
        <v>31.5</v>
      </c>
      <c r="O68" s="28">
        <f>(N68+F68)/2</f>
        <v/>
      </c>
      <c r="P68">
        <f>IF(O68="計算不能","計算不能",IF(O68&gt;=80,5,IF(O68&gt;=60,4,IF(O68&gt;=40,3,IF(O68&gt;=28,2,1)))))</f>
        <v/>
      </c>
      <c r="Q68" t="n">
        <v>171</v>
      </c>
      <c r="R68" t="n">
        <v>0</v>
      </c>
      <c r="S68" s="27">
        <f>R68/Q68</f>
        <v/>
      </c>
      <c r="T68" t="inlineStr">
        <is>
          <t>神恵内村は2045年までに人口が約46.4%減と急激な過疎・超高齢化が進行。若年労働世代の流出と自然減が重なり、賃貸事業としての持続性は極めて限定的。</t>
        </is>
      </c>
      <c r="U68" t="inlineStr">
        <is>
          <t>神恵内村は人口密度5人/km²と過疎的水準で、民間賃貸の新規需要は薄い。実需に裏付けられた格安戸建ての指値取得のみが現実的。 借家の空室率は約0%と需給は比較的引き締まっている。</t>
        </is>
      </c>
      <c r="V68" t="inlineStr">
        <is>
          <t>神恵内村（北海道）：冬期の豪雪・着雪荷重と路面凍結が最大の運営リスク。石狩・十勝・天塩川水系の河川氾濫、太平洋沿岸の津波・千島海溝地震、火山周辺の降灰に留意。</t>
        </is>
      </c>
    </row>
    <row r="69">
      <c r="A69" t="inlineStr">
        <is>
          <t>北海道</t>
        </is>
      </c>
      <c r="B69" t="inlineStr">
        <is>
          <t>積丹町</t>
        </is>
      </c>
      <c r="C69" t="n">
        <v>983</v>
      </c>
      <c r="D69" t="n">
        <v>1582</v>
      </c>
      <c r="E69" s="6" t="n">
        <v>6.3</v>
      </c>
      <c r="F69" s="7" t="n">
        <v>10.6</v>
      </c>
      <c r="G69" t="n">
        <v>1831</v>
      </c>
      <c r="H69" t="n">
        <v>1582</v>
      </c>
      <c r="I69" t="n">
        <v>1368</v>
      </c>
      <c r="J69" t="n">
        <v>856</v>
      </c>
      <c r="K69" s="27">
        <f>(H69/D69-1)</f>
        <v/>
      </c>
      <c r="L69" s="27">
        <f>(I69/D69-1)</f>
        <v/>
      </c>
      <c r="M69" s="27">
        <f>(J69/D69-1)</f>
        <v/>
      </c>
      <c r="N69" t="n">
        <v>32.4</v>
      </c>
      <c r="O69" s="28">
        <f>(N69+F69)/2</f>
        <v/>
      </c>
      <c r="P69">
        <f>IF(O69="計算不能","計算不能",IF(O69&gt;=80,5,IF(O69&gt;=60,4,IF(O69&gt;=40,3,IF(O69&gt;=28,2,1)))))</f>
        <v/>
      </c>
      <c r="Q69" t="n">
        <v>376</v>
      </c>
      <c r="R69" t="n">
        <v>0</v>
      </c>
      <c r="S69" s="27">
        <f>R69/Q69</f>
        <v/>
      </c>
      <c r="T69" t="inlineStr">
        <is>
          <t>積丹町は2045年までに人口が約45.9%減と急激な過疎・超高齢化が進行。若年労働世代の流出と自然減が重なり、賃貸事業としての持続性は極めて限定的。</t>
        </is>
      </c>
      <c r="U69" t="inlineStr">
        <is>
          <t>積丹町は人口密度6人/km²と過疎的水準で、民間賃貸の新規需要は薄い。実需に裏付けられた格安戸建ての指値取得のみが現実的。 借家の空室率は約0%と需給は比較的引き締まっている。</t>
        </is>
      </c>
      <c r="V69" t="inlineStr">
        <is>
          <t>積丹町（北海道）：冬期の豪雪・着雪荷重と路面凍結が最大の運営リスク。石狩・十勝・天塩川水系の河川氾濫、太平洋沿岸の津波・千島海溝地震、火山周辺の降灰に留意。</t>
        </is>
      </c>
    </row>
    <row r="70">
      <c r="A70" t="inlineStr">
        <is>
          <t>北海道</t>
        </is>
      </c>
      <c r="B70" t="inlineStr">
        <is>
          <t>古平町</t>
        </is>
      </c>
      <c r="C70" t="n">
        <v>1623</v>
      </c>
      <c r="D70" t="n">
        <v>2381</v>
      </c>
      <c r="E70" s="6" t="n">
        <v>12.7</v>
      </c>
      <c r="F70" s="7" t="n">
        <v>11.3</v>
      </c>
      <c r="G70" t="n">
        <v>2745</v>
      </c>
      <c r="H70" t="n">
        <v>2381</v>
      </c>
      <c r="I70" t="n">
        <v>2098</v>
      </c>
      <c r="J70" t="n">
        <v>1369</v>
      </c>
      <c r="K70" s="27">
        <f>(H70/D70-1)</f>
        <v/>
      </c>
      <c r="L70" s="27">
        <f>(I70/D70-1)</f>
        <v/>
      </c>
      <c r="M70" s="27">
        <f>(J70/D70-1)</f>
        <v/>
      </c>
      <c r="N70" t="n">
        <v>33.9</v>
      </c>
      <c r="O70" s="28">
        <f>(N70+F70)/2</f>
        <v/>
      </c>
      <c r="P70">
        <f>IF(O70="計算不能","計算不能",IF(O70&gt;=80,5,IF(O70&gt;=60,4,IF(O70&gt;=40,3,IF(O70&gt;=28,2,1)))))</f>
        <v/>
      </c>
      <c r="Q70" t="n">
        <v>621</v>
      </c>
      <c r="R70" t="n">
        <v>0</v>
      </c>
      <c r="S70" s="27">
        <f>R70/Q70</f>
        <v/>
      </c>
      <c r="T70" t="inlineStr">
        <is>
          <t>古平町は2045年までに人口が約42.5%減と急激な過疎・超高齢化が進行。若年労働世代の流出と自然減が重なり、賃貸事業としての持続性は極めて限定的。</t>
        </is>
      </c>
      <c r="U70" t="inlineStr">
        <is>
          <t>古平町は人口密度13人/km²と過疎的水準で、民間賃貸の新規需要は薄い。実需に裏付けられた格安戸建ての指値取得のみが現実的。 借家の空室率は約0%と需給は比較的引き締まっている。</t>
        </is>
      </c>
      <c r="V70" t="inlineStr">
        <is>
          <t>古平町（北海道）：冬期の豪雪・着雪荷重と路面凍結が最大の運営リスク。石狩・十勝・天塩川水系の河川氾濫、太平洋沿岸の津波・千島海溝地震、火山周辺の降灰に留意。</t>
        </is>
      </c>
    </row>
    <row r="71">
      <c r="A71" t="inlineStr">
        <is>
          <t>北海道</t>
        </is>
      </c>
      <c r="B71" t="inlineStr">
        <is>
          <t>仁木町</t>
        </is>
      </c>
      <c r="C71" t="n">
        <v>1679</v>
      </c>
      <c r="D71" t="n">
        <v>2931</v>
      </c>
      <c r="E71" s="6" t="n">
        <v>19</v>
      </c>
      <c r="F71" s="7" t="n">
        <v>11.9</v>
      </c>
      <c r="G71" t="n">
        <v>3180</v>
      </c>
      <c r="H71" t="n">
        <v>2931</v>
      </c>
      <c r="I71" t="n">
        <v>2723</v>
      </c>
      <c r="J71" t="n">
        <v>2154</v>
      </c>
      <c r="K71" s="27">
        <f>(H71/D71-1)</f>
        <v/>
      </c>
      <c r="L71" s="27">
        <f>(I71/D71-1)</f>
        <v/>
      </c>
      <c r="M71" s="27">
        <f>(J71/D71-1)</f>
        <v/>
      </c>
      <c r="N71" t="n">
        <v>43.8</v>
      </c>
      <c r="O71" s="28">
        <f>(N71+F71)/2</f>
        <v/>
      </c>
      <c r="P71">
        <f>IF(O71="計算不能","計算不能",IF(O71&gt;=80,5,IF(O71&gt;=60,4,IF(O71&gt;=40,3,IF(O71&gt;=28,2,1)))))</f>
        <v/>
      </c>
      <c r="Q71" t="n">
        <v>642</v>
      </c>
      <c r="R71" t="n">
        <v>0</v>
      </c>
      <c r="S71" s="27">
        <f>R71/Q71</f>
        <v/>
      </c>
      <c r="T71" t="inlineStr">
        <is>
          <t>仁木町は2045年までに人口が約26.5%減と明確な減少トレンド。高齢化の進行と世帯数の縮小により、中長期では賃貸需要の構造的縮小に警戒が必要。</t>
        </is>
      </c>
      <c r="U71" t="inlineStr">
        <is>
          <t>仁木町は人口密度19人/km²と過疎的水準で、民間賃貸の新規需要は薄い。実需に裏付けられた格安戸建ての指値取得のみが現実的。 借家の空室率は約0%と需給は比較的引き締まっている。</t>
        </is>
      </c>
      <c r="V71" t="inlineStr">
        <is>
          <t>仁木町（北海道）：冬期の豪雪・着雪荷重と路面凍結が最大の運営リスク。石狩・十勝・天塩川水系の河川氾濫、太平洋沿岸の津波・千島海溝地震、火山周辺の降灰に留意。</t>
        </is>
      </c>
    </row>
    <row r="72">
      <c r="A72" t="inlineStr">
        <is>
          <t>北海道</t>
        </is>
      </c>
      <c r="B72" t="inlineStr">
        <is>
          <t>余市町</t>
        </is>
      </c>
      <c r="C72" t="n">
        <v>7660</v>
      </c>
      <c r="D72" t="n">
        <v>16437</v>
      </c>
      <c r="E72" s="6" t="n">
        <v>117.2</v>
      </c>
      <c r="F72" s="7" t="n">
        <v>21.7</v>
      </c>
      <c r="G72" t="n">
        <v>18000</v>
      </c>
      <c r="H72" t="n">
        <v>16437</v>
      </c>
      <c r="I72" t="n">
        <v>14944</v>
      </c>
      <c r="J72" t="n">
        <v>10781</v>
      </c>
      <c r="K72" s="27">
        <f>(H72/D72-1)</f>
        <v/>
      </c>
      <c r="L72" s="27">
        <f>(I72/D72-1)</f>
        <v/>
      </c>
      <c r="M72" s="27">
        <f>(J72/D72-1)</f>
        <v/>
      </c>
      <c r="N72" t="n">
        <v>40.6</v>
      </c>
      <c r="O72" s="28">
        <f>(N72+F72)/2</f>
        <v/>
      </c>
      <c r="P72">
        <f>IF(O72="計算不能","計算不能",IF(O72&gt;=80,5,IF(O72&gt;=60,4,IF(O72&gt;=40,3,IF(O72&gt;=28,2,1)))))</f>
        <v/>
      </c>
      <c r="Q72" t="n">
        <v>2931</v>
      </c>
      <c r="R72" t="n">
        <v>820</v>
      </c>
      <c r="S72" s="27">
        <f>R72/Q72</f>
        <v/>
      </c>
      <c r="T72" t="inlineStr">
        <is>
          <t>余市町は2045年までに人口が約34.4%減と急激な過疎・超高齢化が進行。若年労働世代の流出と自然減が重なり、賃貸事業としての持続性は極めて限定的。</t>
        </is>
      </c>
      <c r="U72" t="inlineStr">
        <is>
          <t>余市町は人口密度117人/km²と過疎的水準で、民間賃貸の新規需要は薄い。実需に裏付けられた格安戸建ての指値取得のみが現実的。 借家の空室率は約28%と供給過多気味で、空室長期化リスクに要警戒。</t>
        </is>
      </c>
      <c r="V72" t="inlineStr">
        <is>
          <t>余市町（北海道）：冬期の豪雪・着雪荷重と路面凍結が最大の運営リスク。石狩・十勝・天塩川水系の河川氾濫、太平洋沿岸の津波・千島海溝地震、火山周辺の降灰に留意。</t>
        </is>
      </c>
    </row>
    <row r="73">
      <c r="A73" t="inlineStr">
        <is>
          <t>北海道</t>
        </is>
      </c>
      <c r="B73" t="inlineStr">
        <is>
          <t>赤井川村</t>
        </is>
      </c>
      <c r="C73" t="n">
        <v>1039</v>
      </c>
      <c r="D73" t="n">
        <v>1091</v>
      </c>
      <c r="E73" s="6" t="n">
        <v>3.8</v>
      </c>
      <c r="F73" s="7" t="n">
        <v>10.4</v>
      </c>
      <c r="G73" t="n">
        <v>1165</v>
      </c>
      <c r="H73" t="n">
        <v>1091</v>
      </c>
      <c r="I73" t="n">
        <v>1039</v>
      </c>
      <c r="J73" t="n">
        <v>875</v>
      </c>
      <c r="K73" s="27">
        <f>(H73/D73-1)</f>
        <v/>
      </c>
      <c r="L73" s="27">
        <f>(I73/D73-1)</f>
        <v/>
      </c>
      <c r="M73" s="27">
        <f>(J73/D73-1)</f>
        <v/>
      </c>
      <c r="N73" t="n">
        <v>49.9</v>
      </c>
      <c r="O73" s="28">
        <f>(N73+F73)/2</f>
        <v/>
      </c>
      <c r="P73">
        <f>IF(O73="計算不能","計算不能",IF(O73&gt;=80,5,IF(O73&gt;=60,4,IF(O73&gt;=40,3,IF(O73&gt;=28,2,1)))))</f>
        <v/>
      </c>
      <c r="Q73" t="n">
        <v>397</v>
      </c>
      <c r="R73" t="n">
        <v>0</v>
      </c>
      <c r="S73" s="27">
        <f>R73/Q73</f>
        <v/>
      </c>
      <c r="T73" t="inlineStr">
        <is>
          <t>赤井川村は2045年までに人口が約19.8%減と明確な減少トレンド。高齢化の進行と世帯数の縮小により、中長期では賃貸需要の構造的縮小に警戒が必要。</t>
        </is>
      </c>
      <c r="U73" t="inlineStr">
        <is>
          <t>赤井川村は人口密度4人/km²と過疎的水準で、民間賃貸の新規需要は薄い。実需に裏付けられた格安戸建ての指値取得のみが現実的。 借家の空室率は約0%と需給は比較的引き締まっている。</t>
        </is>
      </c>
      <c r="V73" t="inlineStr">
        <is>
          <t>赤井川村（北海道）：冬期の豪雪・着雪荷重と路面凍結が最大の運営リスク。石狩・十勝・天塩川水系の河川氾濫、太平洋沿岸の津波・千島海溝地震、火山周辺の降灰に留意。</t>
        </is>
      </c>
    </row>
    <row r="74">
      <c r="A74" t="inlineStr">
        <is>
          <t>北海道</t>
        </is>
      </c>
      <c r="B74" t="inlineStr">
        <is>
          <t>南幌町</t>
        </is>
      </c>
      <c r="C74" t="n">
        <v>3758</v>
      </c>
      <c r="D74" t="n">
        <v>7698</v>
      </c>
      <c r="E74" s="6" t="n">
        <v>97</v>
      </c>
      <c r="F74" s="7" t="n">
        <v>19.7</v>
      </c>
      <c r="G74" t="n">
        <v>7319</v>
      </c>
      <c r="H74" t="n">
        <v>7698</v>
      </c>
      <c r="I74" t="n">
        <v>7003</v>
      </c>
      <c r="J74" t="n">
        <v>4995</v>
      </c>
      <c r="K74" s="27">
        <f>(H74/D74-1)</f>
        <v/>
      </c>
      <c r="L74" s="27">
        <f>(I74/D74-1)</f>
        <v/>
      </c>
      <c r="M74" s="27">
        <f>(J74/D74-1)</f>
        <v/>
      </c>
      <c r="N74" t="n">
        <v>60.2</v>
      </c>
      <c r="O74" s="28">
        <f>(N74+F74)/2</f>
        <v/>
      </c>
      <c r="P74">
        <f>IF(O74="計算不能","計算不能",IF(O74&gt;=80,5,IF(O74&gt;=60,4,IF(O74&gt;=40,3,IF(O74&gt;=28,2,1)))))</f>
        <v/>
      </c>
      <c r="Q74" t="n">
        <v>1438</v>
      </c>
      <c r="R74" t="n">
        <v>0</v>
      </c>
      <c r="S74" s="27">
        <f>R74/Q74</f>
        <v/>
      </c>
      <c r="T74" t="inlineStr">
        <is>
          <t>南幌町は2045年までに人口が約35.1%減と急激な過疎・超高齢化が進行。若年労働世代の流出と自然減が重なり、賃貸事業としての持続性は極めて限定的。</t>
        </is>
      </c>
      <c r="U74" t="inlineStr">
        <is>
          <t>南幌町は人口密度97人/km²と過疎的水準で、民間賃貸の新規需要は薄い。実需に裏付けられた格安戸建ての指値取得のみが現実的。 借家の空室率は約0%と需給は比較的引き締まっている。</t>
        </is>
      </c>
      <c r="V74" t="inlineStr">
        <is>
          <t>南幌町（北海道）：冬期の豪雪・着雪荷重と路面凍結が最大の運営リスク。石狩・十勝・天塩川水系の河川氾濫、太平洋沿岸の津波・千島海溝地震、火山周辺の降灰に留意。</t>
        </is>
      </c>
    </row>
    <row r="75">
      <c r="A75" t="inlineStr">
        <is>
          <t>北海道</t>
        </is>
      </c>
      <c r="B75" t="inlineStr">
        <is>
          <t>奈井江町</t>
        </is>
      </c>
      <c r="C75" t="n">
        <v>2583</v>
      </c>
      <c r="D75" t="n">
        <v>4606</v>
      </c>
      <c r="E75" s="6" t="n">
        <v>51.5</v>
      </c>
      <c r="F75" s="7" t="n">
        <v>15.2</v>
      </c>
      <c r="G75" t="n">
        <v>5120</v>
      </c>
      <c r="H75" t="n">
        <v>4606</v>
      </c>
      <c r="I75" t="n">
        <v>4133</v>
      </c>
      <c r="J75" t="n">
        <v>2798</v>
      </c>
      <c r="K75" s="27">
        <f>(H75/D75-1)</f>
        <v/>
      </c>
      <c r="L75" s="27">
        <f>(I75/D75-1)</f>
        <v/>
      </c>
      <c r="M75" s="27">
        <f>(J75/D75-1)</f>
        <v/>
      </c>
      <c r="N75" t="n">
        <v>37.9</v>
      </c>
      <c r="O75" s="28">
        <f>(N75+F75)/2</f>
        <v/>
      </c>
      <c r="P75">
        <f>IF(O75="計算不能","計算不能",IF(O75&gt;=80,5,IF(O75&gt;=60,4,IF(O75&gt;=40,3,IF(O75&gt;=28,2,1)))))</f>
        <v/>
      </c>
      <c r="Q75" t="n">
        <v>988</v>
      </c>
      <c r="R75" t="n">
        <v>0</v>
      </c>
      <c r="S75" s="27">
        <f>R75/Q75</f>
        <v/>
      </c>
      <c r="T75" t="inlineStr">
        <is>
          <t>奈井江町は2045年までに人口が約39.3%減と急激な過疎・超高齢化が進行。若年労働世代の流出と自然減が重なり、賃貸事業としての持続性は極めて限定的。</t>
        </is>
      </c>
      <c r="U75" t="inlineStr">
        <is>
          <t>奈井江町は人口密度52人/km²と過疎的水準で、民間賃貸の新規需要は薄い。実需に裏付けられた格安戸建ての指値取得のみが現実的。 借家の空室率は約0%と需給は比較的引き締まっている。</t>
        </is>
      </c>
      <c r="V75" t="inlineStr">
        <is>
          <t>奈井江町（北海道）：冬期の豪雪・着雪荷重と路面凍結が最大の運営リスク。石狩・十勝・天塩川水系の河川氾濫、太平洋沿岸の津波・千島海溝地震、火山周辺の降灰に留意。</t>
        </is>
      </c>
    </row>
    <row r="76">
      <c r="A76" t="inlineStr">
        <is>
          <t>北海道</t>
        </is>
      </c>
      <c r="B76" t="inlineStr">
        <is>
          <t>上砂川町</t>
        </is>
      </c>
      <c r="C76" t="n">
        <v>1483</v>
      </c>
      <c r="D76" t="n">
        <v>2352</v>
      </c>
      <c r="E76" s="6" t="n">
        <v>58.2</v>
      </c>
      <c r="F76" s="7" t="n">
        <v>15.8</v>
      </c>
      <c r="G76" t="n">
        <v>2841</v>
      </c>
      <c r="H76" t="n">
        <v>2352</v>
      </c>
      <c r="I76" t="n">
        <v>1971</v>
      </c>
      <c r="J76" t="n">
        <v>1099</v>
      </c>
      <c r="K76" s="27">
        <f>(H76/D76-1)</f>
        <v/>
      </c>
      <c r="L76" s="27">
        <f>(I76/D76-1)</f>
        <v/>
      </c>
      <c r="M76" s="27">
        <f>(J76/D76-1)</f>
        <v/>
      </c>
      <c r="N76" t="n">
        <v>28.5</v>
      </c>
      <c r="O76" s="28">
        <f>(N76+F76)/2</f>
        <v/>
      </c>
      <c r="P76">
        <f>IF(O76="計算不能","計算不能",IF(O76&gt;=80,5,IF(O76&gt;=60,4,IF(O76&gt;=40,3,IF(O76&gt;=28,2,1)))))</f>
        <v/>
      </c>
      <c r="Q76" t="n">
        <v>567</v>
      </c>
      <c r="R76" t="n">
        <v>0</v>
      </c>
      <c r="S76" s="27">
        <f>R76/Q76</f>
        <v/>
      </c>
      <c r="T76" t="inlineStr">
        <is>
          <t>上砂川町は2045年までに人口が約53.3%減と急激な過疎・超高齢化が進行。若年労働世代の流出と自然減が重なり、賃貸事業としての持続性は極めて限定的。</t>
        </is>
      </c>
      <c r="U76" t="inlineStr">
        <is>
          <t>上砂川町は人口密度58人/km²と過疎的水準で、民間賃貸の新規需要は薄い。実需に裏付けられた格安戸建ての指値取得のみが現実的。 借家の空室率は約0%と需給は比較的引き締まっている。</t>
        </is>
      </c>
      <c r="V76" t="inlineStr">
        <is>
          <t>上砂川町（北海道）：冬期の豪雪・着雪荷重と路面凍結が最大の運営リスク。石狩・十勝・天塩川水系の河川氾濫、太平洋沿岸の津波・千島海溝地震、火山周辺の降灰に留意。</t>
        </is>
      </c>
    </row>
    <row r="77">
      <c r="A77" t="inlineStr">
        <is>
          <t>北海道</t>
        </is>
      </c>
      <c r="B77" t="inlineStr">
        <is>
          <t>由仁町</t>
        </is>
      </c>
      <c r="C77" t="n">
        <v>2271</v>
      </c>
      <c r="D77" t="n">
        <v>4301</v>
      </c>
      <c r="E77" s="6" t="n">
        <v>32.5</v>
      </c>
      <c r="F77" s="7" t="n">
        <v>13.2</v>
      </c>
      <c r="G77" t="n">
        <v>4822</v>
      </c>
      <c r="H77" t="n">
        <v>4301</v>
      </c>
      <c r="I77" t="n">
        <v>3831</v>
      </c>
      <c r="J77" t="n">
        <v>2553</v>
      </c>
      <c r="K77" s="27">
        <f>(H77/D77-1)</f>
        <v/>
      </c>
      <c r="L77" s="27">
        <f>(I77/D77-1)</f>
        <v/>
      </c>
      <c r="M77" s="27">
        <f>(J77/D77-1)</f>
        <v/>
      </c>
      <c r="N77" t="n">
        <v>36.7</v>
      </c>
      <c r="O77" s="28">
        <f>(N77+F77)/2</f>
        <v/>
      </c>
      <c r="P77">
        <f>IF(O77="計算不能","計算不能",IF(O77&gt;=80,5,IF(O77&gt;=60,4,IF(O77&gt;=40,3,IF(O77&gt;=28,2,1)))))</f>
        <v/>
      </c>
      <c r="Q77" t="n">
        <v>869</v>
      </c>
      <c r="R77" t="n">
        <v>0</v>
      </c>
      <c r="S77" s="27">
        <f>R77/Q77</f>
        <v/>
      </c>
      <c r="T77" t="inlineStr">
        <is>
          <t>由仁町は2045年までに人口が約40.6%減と急激な過疎・超高齢化が進行。若年労働世代の流出と自然減が重なり、賃貸事業としての持続性は極めて限定的。</t>
        </is>
      </c>
      <c r="U77" t="inlineStr">
        <is>
          <t>由仁町は人口密度32人/km²と過疎的水準で、民間賃貸の新規需要は薄い。実需に裏付けられた格安戸建ての指値取得のみが現実的。 借家の空室率は約0%と需給は比較的引き締まっている。</t>
        </is>
      </c>
      <c r="V77" t="inlineStr">
        <is>
          <t>由仁町（北海道）：冬期の豪雪・着雪荷重と路面凍結が最大の運営リスク。石狩・十勝・天塩川水系の河川氾濫、太平洋沿岸の津波・千島海溝地震、火山周辺の降灰に留意。</t>
        </is>
      </c>
    </row>
    <row r="78">
      <c r="A78" t="inlineStr">
        <is>
          <t>北海道</t>
        </is>
      </c>
      <c r="B78" t="inlineStr">
        <is>
          <t>長沼町</t>
        </is>
      </c>
      <c r="C78" t="n">
        <v>4880</v>
      </c>
      <c r="D78" t="n">
        <v>9490</v>
      </c>
      <c r="E78" s="6" t="n">
        <v>56.2</v>
      </c>
      <c r="F78" s="7" t="n">
        <v>15.6</v>
      </c>
      <c r="G78" t="n">
        <v>10289</v>
      </c>
      <c r="H78" t="n">
        <v>9490</v>
      </c>
      <c r="I78" t="n">
        <v>8688</v>
      </c>
      <c r="J78" t="n">
        <v>6412</v>
      </c>
      <c r="K78" s="27">
        <f>(H78/D78-1)</f>
        <v/>
      </c>
      <c r="L78" s="27">
        <f>(I78/D78-1)</f>
        <v/>
      </c>
      <c r="M78" s="27">
        <f>(J78/D78-1)</f>
        <v/>
      </c>
      <c r="N78" t="n">
        <v>42</v>
      </c>
      <c r="O78" s="28">
        <f>(N78+F78)/2</f>
        <v/>
      </c>
      <c r="P78">
        <f>IF(O78="計算不能","計算不能",IF(O78&gt;=80,5,IF(O78&gt;=60,4,IF(O78&gt;=40,3,IF(O78&gt;=28,2,1)))))</f>
        <v/>
      </c>
      <c r="Q78" t="n">
        <v>1867</v>
      </c>
      <c r="R78" t="n">
        <v>0</v>
      </c>
      <c r="S78" s="27">
        <f>R78/Q78</f>
        <v/>
      </c>
      <c r="T78" t="inlineStr">
        <is>
          <t>長沼町は2045年までに人口が約32.4%減と急激な過疎・超高齢化が進行。若年労働世代の流出と自然減が重なり、賃貸事業としての持続性は極めて限定的。</t>
        </is>
      </c>
      <c r="U78" t="inlineStr">
        <is>
          <t>長沼町は人口密度56人/km²と過疎的水準で、民間賃貸の新規需要は薄い。実需に裏付けられた格安戸建ての指値取得のみが現実的。 借家の空室率は約0%と需給は比較的引き締まっている。</t>
        </is>
      </c>
      <c r="V78" t="inlineStr">
        <is>
          <t>長沼町（北海道）：冬期の豪雪・着雪荷重と路面凍結が最大の運営リスク。石狩・十勝・天塩川水系の河川氾濫、太平洋沿岸の津波・千島海溝地震、火山周辺の降灰に留意。</t>
        </is>
      </c>
    </row>
    <row r="79">
      <c r="A79" t="inlineStr">
        <is>
          <t>北海道</t>
        </is>
      </c>
      <c r="B79" t="inlineStr">
        <is>
          <t>栗山町</t>
        </is>
      </c>
      <c r="C79" t="n">
        <v>5688</v>
      </c>
      <c r="D79" t="n">
        <v>10304</v>
      </c>
      <c r="E79" s="6" t="n">
        <v>51</v>
      </c>
      <c r="F79" s="7" t="n">
        <v>15.1</v>
      </c>
      <c r="G79" t="n">
        <v>11272</v>
      </c>
      <c r="H79" t="n">
        <v>10304</v>
      </c>
      <c r="I79" t="n">
        <v>9340</v>
      </c>
      <c r="J79" t="n">
        <v>6675</v>
      </c>
      <c r="K79" s="27">
        <f>(H79/D79-1)</f>
        <v/>
      </c>
      <c r="L79" s="27">
        <f>(I79/D79-1)</f>
        <v/>
      </c>
      <c r="M79" s="27">
        <f>(J79/D79-1)</f>
        <v/>
      </c>
      <c r="N79" t="n">
        <v>40.4</v>
      </c>
      <c r="O79" s="28">
        <f>(N79+F79)/2</f>
        <v/>
      </c>
      <c r="P79">
        <f>IF(O79="計算不能","計算不能",IF(O79&gt;=80,5,IF(O79&gt;=60,4,IF(O79&gt;=40,3,IF(O79&gt;=28,2,1)))))</f>
        <v/>
      </c>
      <c r="Q79" t="n">
        <v>2176</v>
      </c>
      <c r="R79" t="n">
        <v>0</v>
      </c>
      <c r="S79" s="27">
        <f>R79/Q79</f>
        <v/>
      </c>
      <c r="T79" t="inlineStr">
        <is>
          <t>栗山町は2045年までに人口が約35.2%減と急激な過疎・超高齢化が進行。若年労働世代の流出と自然減が重なり、賃貸事業としての持続性は極めて限定的。</t>
        </is>
      </c>
      <c r="U79" t="inlineStr">
        <is>
          <t>栗山町は人口密度51人/km²と過疎的水準で、民間賃貸の新規需要は薄い。実需に裏付けられた格安戸建ての指値取得のみが現実的。 借家の空室率は約0%と需給は比較的引き締まっている。</t>
        </is>
      </c>
      <c r="V79" t="inlineStr">
        <is>
          <t>栗山町（北海道）：冬期の豪雪・着雪荷重と路面凍結が最大の運営リスク。石狩・十勝・天塩川水系の河川氾濫、太平洋沿岸の津波・千島海溝地震、火山周辺の降灰に留意。</t>
        </is>
      </c>
    </row>
    <row r="80">
      <c r="A80" t="inlineStr">
        <is>
          <t>北海道</t>
        </is>
      </c>
      <c r="B80" t="inlineStr">
        <is>
          <t>月形町</t>
        </is>
      </c>
      <c r="C80" t="n">
        <v>1538</v>
      </c>
      <c r="D80" t="n">
        <v>3312</v>
      </c>
      <c r="E80" s="6" t="n">
        <v>19.9</v>
      </c>
      <c r="F80" s="7" t="n">
        <v>12</v>
      </c>
      <c r="G80" t="n">
        <v>3691</v>
      </c>
      <c r="H80" t="n">
        <v>3312</v>
      </c>
      <c r="I80" t="n">
        <v>3132</v>
      </c>
      <c r="J80" t="n">
        <v>2652</v>
      </c>
      <c r="K80" s="27">
        <f>(H80/D80-1)</f>
        <v/>
      </c>
      <c r="L80" s="27">
        <f>(I80/D80-1)</f>
        <v/>
      </c>
      <c r="M80" s="27">
        <f>(J80/D80-1)</f>
        <v/>
      </c>
      <c r="N80" t="n">
        <v>43.6</v>
      </c>
      <c r="O80" s="28">
        <f>(N80+F80)/2</f>
        <v/>
      </c>
      <c r="P80">
        <f>IF(O80="計算不能","計算不能",IF(O80&gt;=80,5,IF(O80&gt;=60,4,IF(O80&gt;=40,3,IF(O80&gt;=28,2,1)))))</f>
        <v/>
      </c>
      <c r="Q80" t="n">
        <v>588</v>
      </c>
      <c r="R80" t="n">
        <v>0</v>
      </c>
      <c r="S80" s="27">
        <f>R80/Q80</f>
        <v/>
      </c>
      <c r="T80" t="inlineStr">
        <is>
          <t>月形町は2045年までに人口が約19.9%減と明確な減少トレンド。高齢化の進行と世帯数の縮小により、中長期では賃貸需要の構造的縮小に警戒が必要。</t>
        </is>
      </c>
      <c r="U80" t="inlineStr">
        <is>
          <t>月形町は人口密度20人/km²と過疎的水準で、民間賃貸の新規需要は薄い。実需に裏付けられた格安戸建ての指値取得のみが現実的。 借家の空室率は約0%と需給は比較的引き締まっている。</t>
        </is>
      </c>
      <c r="V80" t="inlineStr">
        <is>
          <t>月形町（北海道）：冬期の豪雪・着雪荷重と路面凍結が最大の運営リスク。石狩・十勝・天塩川水系の河川氾濫、太平洋沿岸の津波・千島海溝地震、火山周辺の降灰に留意。</t>
        </is>
      </c>
    </row>
    <row r="81">
      <c r="A81" t="inlineStr">
        <is>
          <t>北海道</t>
        </is>
      </c>
      <c r="B81" t="inlineStr">
        <is>
          <t>浦臼町</t>
        </is>
      </c>
      <c r="C81" t="n">
        <v>776</v>
      </c>
      <c r="D81" t="n">
        <v>1517</v>
      </c>
      <c r="E81" s="6" t="n">
        <v>15.1</v>
      </c>
      <c r="F81" s="7" t="n">
        <v>11.5</v>
      </c>
      <c r="G81" t="n">
        <v>1732</v>
      </c>
      <c r="H81" t="n">
        <v>1517</v>
      </c>
      <c r="I81" t="n">
        <v>1340</v>
      </c>
      <c r="J81" t="n">
        <v>894</v>
      </c>
      <c r="K81" s="27">
        <f>(H81/D81-1)</f>
        <v/>
      </c>
      <c r="L81" s="27">
        <f>(I81/D81-1)</f>
        <v/>
      </c>
      <c r="M81" s="27">
        <f>(J81/D81-1)</f>
        <v/>
      </c>
      <c r="N81" t="n">
        <v>35</v>
      </c>
      <c r="O81" s="28">
        <f>(N81+F81)/2</f>
        <v/>
      </c>
      <c r="P81">
        <f>IF(O81="計算不能","計算不能",IF(O81&gt;=80,5,IF(O81&gt;=60,4,IF(O81&gt;=40,3,IF(O81&gt;=28,2,1)))))</f>
        <v/>
      </c>
      <c r="Q81" t="n">
        <v>296</v>
      </c>
      <c r="R81" t="n">
        <v>0</v>
      </c>
      <c r="S81" s="27">
        <f>R81/Q81</f>
        <v/>
      </c>
      <c r="T81" t="inlineStr">
        <is>
          <t>浦臼町は2045年までに人口が約41.1%減と急激な過疎・超高齢化が進行。若年労働世代の流出と自然減が重なり、賃貸事業としての持続性は極めて限定的。</t>
        </is>
      </c>
      <c r="U81" t="inlineStr">
        <is>
          <t>浦臼町は人口密度15人/km²と過疎的水準で、民間賃貸の新規需要は薄い。実需に裏付けられた格安戸建ての指値取得のみが現実的。 借家の空室率は約0%と需給は比較的引き締まっている。</t>
        </is>
      </c>
      <c r="V81" t="inlineStr">
        <is>
          <t>浦臼町（北海道）：冬期の豪雪・着雪荷重と路面凍結が最大の運営リスク。石狩・十勝・天塩川水系の河川氾濫、太平洋沿岸の津波・千島海溝地震、火山周辺の降灰に留意。</t>
        </is>
      </c>
    </row>
    <row r="82">
      <c r="A82" t="inlineStr">
        <is>
          <t>北海道</t>
        </is>
      </c>
      <c r="B82" t="inlineStr">
        <is>
          <t>新十津川町</t>
        </is>
      </c>
      <c r="C82" t="n">
        <v>2968</v>
      </c>
      <c r="D82" t="n">
        <v>5997</v>
      </c>
      <c r="E82" s="6" t="n">
        <v>12.3</v>
      </c>
      <c r="F82" s="7" t="n">
        <v>11.2</v>
      </c>
      <c r="G82" t="n">
        <v>6484</v>
      </c>
      <c r="H82" t="n">
        <v>5997</v>
      </c>
      <c r="I82" t="n">
        <v>5500</v>
      </c>
      <c r="J82" t="n">
        <v>4122</v>
      </c>
      <c r="K82" s="27">
        <f>(H82/D82-1)</f>
        <v/>
      </c>
      <c r="L82" s="27">
        <f>(I82/D82-1)</f>
        <v/>
      </c>
      <c r="M82" s="27">
        <f>(J82/D82-1)</f>
        <v/>
      </c>
      <c r="N82" t="n">
        <v>42.6</v>
      </c>
      <c r="O82" s="28">
        <f>(N82+F82)/2</f>
        <v/>
      </c>
      <c r="P82">
        <f>IF(O82="計算不能","計算不能",IF(O82&gt;=80,5,IF(O82&gt;=60,4,IF(O82&gt;=40,3,IF(O82&gt;=28,2,1)))))</f>
        <v/>
      </c>
      <c r="Q82" t="n">
        <v>1135</v>
      </c>
      <c r="R82" t="n">
        <v>0</v>
      </c>
      <c r="S82" s="27">
        <f>R82/Q82</f>
        <v/>
      </c>
      <c r="T82" t="inlineStr">
        <is>
          <t>新十津川町は2045年までに人口が約31.3%減と急激な過疎・超高齢化が進行。若年労働世代の流出と自然減が重なり、賃貸事業としての持続性は極めて限定的。</t>
        </is>
      </c>
      <c r="U82" t="inlineStr">
        <is>
          <t>新十津川町は人口密度12人/km²と過疎的水準で、民間賃貸の新規需要は薄い。実需に裏付けられた格安戸建ての指値取得のみが現実的。 借家の空室率は約0%と需給は比較的引き締まっている。</t>
        </is>
      </c>
      <c r="V82" t="inlineStr">
        <is>
          <t>新十津川町（北海道）：冬期の豪雪・着雪荷重と路面凍結が最大の運営リスク。石狩・十勝・天塩川水系の河川氾濫、太平洋沿岸の津波・千島海溝地震、火山周辺の降灰に留意。</t>
        </is>
      </c>
    </row>
    <row r="83">
      <c r="A83" t="inlineStr">
        <is>
          <t>北海道</t>
        </is>
      </c>
      <c r="B83" t="inlineStr">
        <is>
          <t>妹背牛町</t>
        </is>
      </c>
      <c r="C83" t="n">
        <v>1354</v>
      </c>
      <c r="D83" t="n">
        <v>2317</v>
      </c>
      <c r="E83" s="6" t="n">
        <v>47.1</v>
      </c>
      <c r="F83" s="7" t="n">
        <v>14.7</v>
      </c>
      <c r="G83" t="n">
        <v>2693</v>
      </c>
      <c r="H83" t="n">
        <v>2317</v>
      </c>
      <c r="I83" t="n">
        <v>1985</v>
      </c>
      <c r="J83" t="n">
        <v>1182</v>
      </c>
      <c r="K83" s="27">
        <f>(H83/D83-1)</f>
        <v/>
      </c>
      <c r="L83" s="27">
        <f>(I83/D83-1)</f>
        <v/>
      </c>
      <c r="M83" s="27">
        <f>(J83/D83-1)</f>
        <v/>
      </c>
      <c r="N83" t="n">
        <v>31.2</v>
      </c>
      <c r="O83" s="28">
        <f>(N83+F83)/2</f>
        <v/>
      </c>
      <c r="P83">
        <f>IF(O83="計算不能","計算不能",IF(O83&gt;=80,5,IF(O83&gt;=60,4,IF(O83&gt;=40,3,IF(O83&gt;=28,2,1)))))</f>
        <v/>
      </c>
      <c r="Q83" t="n">
        <v>518</v>
      </c>
      <c r="R83" t="n">
        <v>0</v>
      </c>
      <c r="S83" s="27">
        <f>R83/Q83</f>
        <v/>
      </c>
      <c r="T83" t="inlineStr">
        <is>
          <t>妹背牛町は2045年までに人口が約49.0%減と急激な過疎・超高齢化が進行。若年労働世代の流出と自然減が重なり、賃貸事業としての持続性は極めて限定的。</t>
        </is>
      </c>
      <c r="U83" t="inlineStr">
        <is>
          <t>妹背牛町は人口密度47人/km²と過疎的水準で、民間賃貸の新規需要は薄い。実需に裏付けられた格安戸建ての指値取得のみが現実的。 借家の空室率は約0%と需給は比較的引き締まっている。</t>
        </is>
      </c>
      <c r="V83" t="inlineStr">
        <is>
          <t>妹背牛町（北海道）：冬期の豪雪・着雪荷重と路面凍結が最大の運営リスク。石狩・十勝・天塩川水系の河川氾濫、太平洋沿岸の津波・千島海溝地震、火山周辺の降灰に留意。</t>
        </is>
      </c>
    </row>
    <row r="84">
      <c r="A84" t="inlineStr">
        <is>
          <t>北海道</t>
        </is>
      </c>
      <c r="B84" t="inlineStr">
        <is>
          <t>秩父別町</t>
        </is>
      </c>
      <c r="C84" t="n">
        <v>1061</v>
      </c>
      <c r="D84" t="n">
        <v>2114</v>
      </c>
      <c r="E84" s="6" t="n">
        <v>44.8</v>
      </c>
      <c r="F84" s="7" t="n">
        <v>14.5</v>
      </c>
      <c r="G84" t="n">
        <v>2329</v>
      </c>
      <c r="H84" t="n">
        <v>2114</v>
      </c>
      <c r="I84" t="n">
        <v>1914</v>
      </c>
      <c r="J84" t="n">
        <v>1388</v>
      </c>
      <c r="K84" s="27">
        <f>(H84/D84-1)</f>
        <v/>
      </c>
      <c r="L84" s="27">
        <f>(I84/D84-1)</f>
        <v/>
      </c>
      <c r="M84" s="27">
        <f>(J84/D84-1)</f>
        <v/>
      </c>
      <c r="N84" t="n">
        <v>40</v>
      </c>
      <c r="O84" s="28">
        <f>(N84+F84)/2</f>
        <v/>
      </c>
      <c r="P84">
        <f>IF(O84="計算不能","計算不能",IF(O84&gt;=80,5,IF(O84&gt;=60,4,IF(O84&gt;=40,3,IF(O84&gt;=28,2,1)))))</f>
        <v/>
      </c>
      <c r="Q84" t="n">
        <v>406</v>
      </c>
      <c r="R84" t="n">
        <v>0</v>
      </c>
      <c r="S84" s="27">
        <f>R84/Q84</f>
        <v/>
      </c>
      <c r="T84" t="inlineStr">
        <is>
          <t>秩父別町は2045年までに人口が約34.3%減と急激な過疎・超高齢化が進行。若年労働世代の流出と自然減が重なり、賃貸事業としての持続性は極めて限定的。</t>
        </is>
      </c>
      <c r="U84" t="inlineStr">
        <is>
          <t>秩父別町は人口密度45人/km²と過疎的水準で、民間賃貸の新規需要は薄い。実需に裏付けられた格安戸建ての指値取得のみが現実的。 借家の空室率は約0%と需給は比較的引き締まっている。</t>
        </is>
      </c>
      <c r="V84" t="inlineStr">
        <is>
          <t>秩父別町（北海道）：冬期の豪雪・着雪荷重と路面凍結が最大の運営リスク。石狩・十勝・天塩川水系の河川氾濫、太平洋沿岸の津波・千島海溝地震、火山周辺の降灰に留意。</t>
        </is>
      </c>
    </row>
    <row r="85">
      <c r="A85" t="inlineStr">
        <is>
          <t>北海道</t>
        </is>
      </c>
      <c r="B85" t="inlineStr">
        <is>
          <t>雨竜町</t>
        </is>
      </c>
      <c r="C85" t="n">
        <v>1033</v>
      </c>
      <c r="D85" t="n">
        <v>2089</v>
      </c>
      <c r="E85" s="6" t="n">
        <v>11.2</v>
      </c>
      <c r="F85" s="7" t="n">
        <v>11.1</v>
      </c>
      <c r="G85" t="n">
        <v>2389</v>
      </c>
      <c r="H85" t="n">
        <v>2089</v>
      </c>
      <c r="I85" t="n">
        <v>1833</v>
      </c>
      <c r="J85" t="n">
        <v>1157</v>
      </c>
      <c r="K85" s="27">
        <f>(H85/D85-1)</f>
        <v/>
      </c>
      <c r="L85" s="27">
        <f>(I85/D85-1)</f>
        <v/>
      </c>
      <c r="M85" s="27">
        <f>(J85/D85-1)</f>
        <v/>
      </c>
      <c r="N85" t="n">
        <v>33.9</v>
      </c>
      <c r="O85" s="28">
        <f>(N85+F85)/2</f>
        <v/>
      </c>
      <c r="P85">
        <f>IF(O85="計算不能","計算不能",IF(O85&gt;=80,5,IF(O85&gt;=60,4,IF(O85&gt;=40,3,IF(O85&gt;=28,2,1)))))</f>
        <v/>
      </c>
      <c r="Q85" t="n">
        <v>395</v>
      </c>
      <c r="R85" t="n">
        <v>0</v>
      </c>
      <c r="S85" s="27">
        <f>R85/Q85</f>
        <v/>
      </c>
      <c r="T85" t="inlineStr">
        <is>
          <t>雨竜町は2045年までに人口が約44.6%減と急激な過疎・超高齢化が進行。若年労働世代の流出と自然減が重なり、賃貸事業としての持続性は極めて限定的。</t>
        </is>
      </c>
      <c r="U85" t="inlineStr">
        <is>
          <t>雨竜町は人口密度11人/km²と過疎的水準で、民間賃貸の新規需要は薄い。実需に裏付けられた格安戸建ての指値取得のみが現実的。 借家の空室率は約0%と需給は比較的引き締まっている。</t>
        </is>
      </c>
      <c r="V85" t="inlineStr">
        <is>
          <t>雨竜町（北海道）：冬期の豪雪・着雪荷重と路面凍結が最大の運営リスク。石狩・十勝・天塩川水系の河川氾濫、太平洋沿岸の津波・千島海溝地震、火山周辺の降灰に留意。</t>
        </is>
      </c>
    </row>
    <row r="86">
      <c r="A86" t="inlineStr">
        <is>
          <t>北海道</t>
        </is>
      </c>
      <c r="B86" t="inlineStr">
        <is>
          <t>北竜町</t>
        </is>
      </c>
      <c r="C86" t="n">
        <v>777</v>
      </c>
      <c r="D86" t="n">
        <v>1532</v>
      </c>
      <c r="E86" s="6" t="n">
        <v>9.6</v>
      </c>
      <c r="F86" s="7" t="n">
        <v>11</v>
      </c>
      <c r="G86" t="n">
        <v>1724</v>
      </c>
      <c r="H86" t="n">
        <v>1532</v>
      </c>
      <c r="I86" t="n">
        <v>1352</v>
      </c>
      <c r="J86" t="n">
        <v>898</v>
      </c>
      <c r="K86" s="27">
        <f>(H86/D86-1)</f>
        <v/>
      </c>
      <c r="L86" s="27">
        <f>(I86/D86-1)</f>
        <v/>
      </c>
      <c r="M86" s="27">
        <f>(J86/D86-1)</f>
        <v/>
      </c>
      <c r="N86" t="n">
        <v>36</v>
      </c>
      <c r="O86" s="28">
        <f>(N86+F86)/2</f>
        <v/>
      </c>
      <c r="P86">
        <f>IF(O86="計算不能","計算不能",IF(O86&gt;=80,5,IF(O86&gt;=60,4,IF(O86&gt;=40,3,IF(O86&gt;=28,2,1)))))</f>
        <v/>
      </c>
      <c r="Q86" t="n">
        <v>297</v>
      </c>
      <c r="R86" t="n">
        <v>0</v>
      </c>
      <c r="S86" s="27">
        <f>R86/Q86</f>
        <v/>
      </c>
      <c r="T86" t="inlineStr">
        <is>
          <t>北竜町は2045年までに人口が約41.4%減と急激な過疎・超高齢化が進行。若年労働世代の流出と自然減が重なり、賃貸事業としての持続性は極めて限定的。</t>
        </is>
      </c>
      <c r="U86" t="inlineStr">
        <is>
          <t>北竜町は人口密度10人/km²と過疎的水準で、民間賃貸の新規需要は薄い。実需に裏付けられた格安戸建ての指値取得のみが現実的。 借家の空室率は約0%と需給は比較的引き締まっている。</t>
        </is>
      </c>
      <c r="V86" t="inlineStr">
        <is>
          <t>北竜町（北海道）：冬期の豪雪・着雪荷重と路面凍結が最大の運営リスク。石狩・十勝・天塩川水系の河川氾濫、太平洋沿岸の津波・千島海溝地震、火山周辺の降灰に留意。</t>
        </is>
      </c>
    </row>
    <row r="87">
      <c r="A87" t="inlineStr">
        <is>
          <t>北海道</t>
        </is>
      </c>
      <c r="B87" t="inlineStr">
        <is>
          <t>沼田町</t>
        </is>
      </c>
      <c r="C87" t="n">
        <v>1445</v>
      </c>
      <c r="D87" t="n">
        <v>2610</v>
      </c>
      <c r="E87" s="6" t="n">
        <v>9.4</v>
      </c>
      <c r="F87" s="7" t="n">
        <v>10.9</v>
      </c>
      <c r="G87" t="n">
        <v>2909</v>
      </c>
      <c r="H87" t="n">
        <v>2610</v>
      </c>
      <c r="I87" t="n">
        <v>2331</v>
      </c>
      <c r="J87" t="n">
        <v>1621</v>
      </c>
      <c r="K87" s="27">
        <f>(H87/D87-1)</f>
        <v/>
      </c>
      <c r="L87" s="27">
        <f>(I87/D87-1)</f>
        <v/>
      </c>
      <c r="M87" s="27">
        <f>(J87/D87-1)</f>
        <v/>
      </c>
      <c r="N87" t="n">
        <v>37.9</v>
      </c>
      <c r="O87" s="28">
        <f>(N87+F87)/2</f>
        <v/>
      </c>
      <c r="P87">
        <f>IF(O87="計算不能","計算不能",IF(O87&gt;=80,5,IF(O87&gt;=60,4,IF(O87&gt;=40,3,IF(O87&gt;=28,2,1)))))</f>
        <v/>
      </c>
      <c r="Q87" t="n">
        <v>552</v>
      </c>
      <c r="R87" t="n">
        <v>0</v>
      </c>
      <c r="S87" s="27">
        <f>R87/Q87</f>
        <v/>
      </c>
      <c r="T87" t="inlineStr">
        <is>
          <t>沼田町は2045年までに人口が約37.9%減と急激な過疎・超高齢化が進行。若年労働世代の流出と自然減が重なり、賃貸事業としての持続性は極めて限定的。</t>
        </is>
      </c>
      <c r="U87" t="inlineStr">
        <is>
          <t>沼田町は人口密度9人/km²と過疎的水準で、民間賃貸の新規需要は薄い。実需に裏付けられた格安戸建ての指値取得のみが現実的。 借家の空室率は約0%と需給は比較的引き締まっている。</t>
        </is>
      </c>
      <c r="V87" t="inlineStr">
        <is>
          <t>沼田町（北海道）：冬期の豪雪・着雪荷重と路面凍結が最大の運営リスク。石狩・十勝・天塩川水系の河川氾濫、太平洋沿岸の津波・千島海溝地震、火山周辺の降灰に留意。</t>
        </is>
      </c>
    </row>
    <row r="88">
      <c r="A88" t="inlineStr">
        <is>
          <t>北海道</t>
        </is>
      </c>
      <c r="B88" t="inlineStr">
        <is>
          <t>鷹栖町</t>
        </is>
      </c>
      <c r="C88" t="n">
        <v>3074</v>
      </c>
      <c r="D88" t="n">
        <v>6106</v>
      </c>
      <c r="E88" s="6" t="n">
        <v>44.3</v>
      </c>
      <c r="F88" s="7" t="n">
        <v>14.4</v>
      </c>
      <c r="G88" t="n">
        <v>6567</v>
      </c>
      <c r="H88" t="n">
        <v>6106</v>
      </c>
      <c r="I88" t="n">
        <v>5649</v>
      </c>
      <c r="J88" t="n">
        <v>4437</v>
      </c>
      <c r="K88" s="27">
        <f>(H88/D88-1)</f>
        <v/>
      </c>
      <c r="L88" s="27">
        <f>(I88/D88-1)</f>
        <v/>
      </c>
      <c r="M88" s="27">
        <f>(J88/D88-1)</f>
        <v/>
      </c>
      <c r="N88" t="n">
        <v>44.2</v>
      </c>
      <c r="O88" s="28">
        <f>(N88+F88)/2</f>
        <v/>
      </c>
      <c r="P88">
        <f>IF(O88="計算不能","計算不能",IF(O88&gt;=80,5,IF(O88&gt;=60,4,IF(O88&gt;=40,3,IF(O88&gt;=28,2,1)))))</f>
        <v/>
      </c>
      <c r="Q88" t="n">
        <v>1176</v>
      </c>
      <c r="R88" t="n">
        <v>0</v>
      </c>
      <c r="S88" s="27">
        <f>R88/Q88</f>
        <v/>
      </c>
      <c r="T88" t="inlineStr">
        <is>
          <t>鷹栖町は2045年までに人口が約27.3%減と明確な減少トレンド。高齢化の進行と世帯数の縮小により、中長期では賃貸需要の構造的縮小に警戒が必要。</t>
        </is>
      </c>
      <c r="U88" t="inlineStr">
        <is>
          <t>鷹栖町は人口密度44人/km²と過疎的水準で、民間賃貸の新規需要は薄い。実需に裏付けられた格安戸建ての指値取得のみが現実的。 借家の空室率は約0%と需給は比較的引き締まっている。</t>
        </is>
      </c>
      <c r="V88" t="inlineStr">
        <is>
          <t>鷹栖町（北海道）：冬期の豪雪・着雪荷重と路面凍結が最大の運営リスク。石狩・十勝・天塩川水系の河川氾濫、太平洋沿岸の津波・千島海溝地震、火山周辺の降灰に留意。</t>
        </is>
      </c>
    </row>
    <row r="89">
      <c r="A89" t="inlineStr">
        <is>
          <t>北海道</t>
        </is>
      </c>
      <c r="B89" t="inlineStr">
        <is>
          <t>東神楽町</t>
        </is>
      </c>
      <c r="C89" t="n">
        <v>4426</v>
      </c>
      <c r="D89" t="n">
        <v>9996</v>
      </c>
      <c r="E89" s="6" t="n">
        <v>140</v>
      </c>
      <c r="F89" s="7" t="n">
        <v>24</v>
      </c>
      <c r="G89" t="n">
        <v>10127</v>
      </c>
      <c r="H89" t="n">
        <v>9996</v>
      </c>
      <c r="I89" t="n">
        <v>9750</v>
      </c>
      <c r="J89" t="n">
        <v>8735</v>
      </c>
      <c r="K89" s="27">
        <f>(H89/D89-1)</f>
        <v/>
      </c>
      <c r="L89" s="27">
        <f>(I89/D89-1)</f>
        <v/>
      </c>
      <c r="M89" s="27">
        <f>(J89/D89-1)</f>
        <v/>
      </c>
      <c r="N89" t="n">
        <v>64.5</v>
      </c>
      <c r="O89" s="28">
        <f>(N89+F89)/2</f>
        <v/>
      </c>
      <c r="P89">
        <f>IF(O89="計算不能","計算不能",IF(O89&gt;=80,5,IF(O89&gt;=60,4,IF(O89&gt;=40,3,IF(O89&gt;=28,2,1)))))</f>
        <v/>
      </c>
      <c r="Q89" t="n">
        <v>1693</v>
      </c>
      <c r="R89" t="n">
        <v>0</v>
      </c>
      <c r="S89" s="27">
        <f>R89/Q89</f>
        <v/>
      </c>
      <c r="T89" t="inlineStr">
        <is>
          <t>東神楽町は2045年までに人口が約12.6%減と緩やかな減少局面。若年層の都市部流出と高齢化が進むが、当面の賃貸稼働は一定程度維持される見通し。</t>
        </is>
      </c>
      <c r="U89" t="inlineStr">
        <is>
          <t>東神楽町は人口密度140人/km²と過疎的水準で、民間賃貸の新規需要は薄い。実需に裏付けられた格安戸建ての指値取得のみが現実的。 借家の空室率は約0%と需給は比較的引き締まっている。</t>
        </is>
      </c>
      <c r="V89" t="inlineStr">
        <is>
          <t>東神楽町（北海道）：冬期の豪雪・着雪荷重と路面凍結が最大の運営リスク。石狩・十勝・天塩川水系の河川氾濫、太平洋沿岸の津波・千島海溝地震、火山周辺の降灰に留意。</t>
        </is>
      </c>
    </row>
    <row r="90">
      <c r="A90" t="inlineStr">
        <is>
          <t>北海道</t>
        </is>
      </c>
      <c r="B90" t="inlineStr">
        <is>
          <t>当麻町</t>
        </is>
      </c>
      <c r="C90" t="n">
        <v>3036</v>
      </c>
      <c r="D90" t="n">
        <v>5805</v>
      </c>
      <c r="E90" s="6" t="n">
        <v>28.4</v>
      </c>
      <c r="F90" s="7" t="n">
        <v>12.8</v>
      </c>
      <c r="G90" t="n">
        <v>6319</v>
      </c>
      <c r="H90" t="n">
        <v>5805</v>
      </c>
      <c r="I90" t="n">
        <v>5303</v>
      </c>
      <c r="J90" t="n">
        <v>3931</v>
      </c>
      <c r="K90" s="27">
        <f>(H90/D90-1)</f>
        <v/>
      </c>
      <c r="L90" s="27">
        <f>(I90/D90-1)</f>
        <v/>
      </c>
      <c r="M90" s="27">
        <f>(J90/D90-1)</f>
        <v/>
      </c>
      <c r="N90" t="n">
        <v>41.7</v>
      </c>
      <c r="O90" s="28">
        <f>(N90+F90)/2</f>
        <v/>
      </c>
      <c r="P90">
        <f>IF(O90="計算不能","計算不能",IF(O90&gt;=80,5,IF(O90&gt;=60,4,IF(O90&gt;=40,3,IF(O90&gt;=28,2,1)))))</f>
        <v/>
      </c>
      <c r="Q90" t="n">
        <v>1161</v>
      </c>
      <c r="R90" t="n">
        <v>0</v>
      </c>
      <c r="S90" s="27">
        <f>R90/Q90</f>
        <v/>
      </c>
      <c r="T90" t="inlineStr">
        <is>
          <t>当麻町は2045年までに人口が約32.3%減と急激な過疎・超高齢化が進行。若年労働世代の流出と自然減が重なり、賃貸事業としての持続性は極めて限定的。</t>
        </is>
      </c>
      <c r="U90" t="inlineStr">
        <is>
          <t>当麻町は人口密度28人/km²と過疎的水準で、民間賃貸の新規需要は薄い。実需に裏付けられた格安戸建ての指値取得のみが現実的。 借家の空室率は約0%と需給は比較的引き締まっている。</t>
        </is>
      </c>
      <c r="V90" t="inlineStr">
        <is>
          <t>当麻町（北海道）：冬期の豪雪・着雪荷重と路面凍結が最大の運営リスク。石狩・十勝・天塩川水系の河川氾濫、太平洋沿岸の津波・千島海溝地震、火山周辺の降灰に留意。</t>
        </is>
      </c>
    </row>
    <row r="91">
      <c r="A91" t="inlineStr">
        <is>
          <t>北海道</t>
        </is>
      </c>
      <c r="B91" t="inlineStr">
        <is>
          <t>比布町</t>
        </is>
      </c>
      <c r="C91" t="n">
        <v>1763</v>
      </c>
      <c r="D91" t="n">
        <v>3248</v>
      </c>
      <c r="E91" s="6" t="n">
        <v>37.5</v>
      </c>
      <c r="F91" s="7" t="n">
        <v>13.8</v>
      </c>
      <c r="G91" t="n">
        <v>3520</v>
      </c>
      <c r="H91" t="n">
        <v>3248</v>
      </c>
      <c r="I91" t="n">
        <v>2966</v>
      </c>
      <c r="J91" t="n">
        <v>2198</v>
      </c>
      <c r="K91" s="27">
        <f>(H91/D91-1)</f>
        <v/>
      </c>
      <c r="L91" s="27">
        <f>(I91/D91-1)</f>
        <v/>
      </c>
      <c r="M91" s="27">
        <f>(J91/D91-1)</f>
        <v/>
      </c>
      <c r="N91" t="n">
        <v>42</v>
      </c>
      <c r="O91" s="28">
        <f>(N91+F91)/2</f>
        <v/>
      </c>
      <c r="P91">
        <f>IF(O91="計算不能","計算不能",IF(O91&gt;=80,5,IF(O91&gt;=60,4,IF(O91&gt;=40,3,IF(O91&gt;=28,2,1)))))</f>
        <v/>
      </c>
      <c r="Q91" t="n">
        <v>674</v>
      </c>
      <c r="R91" t="n">
        <v>0</v>
      </c>
      <c r="S91" s="27">
        <f>R91/Q91</f>
        <v/>
      </c>
      <c r="T91" t="inlineStr">
        <is>
          <t>比布町は2045年までに人口が約32.3%減と急激な過疎・超高齢化が進行。若年労働世代の流出と自然減が重なり、賃貸事業としての持続性は極めて限定的。</t>
        </is>
      </c>
      <c r="U91" t="inlineStr">
        <is>
          <t>比布町は人口密度38人/km²と過疎的水準で、民間賃貸の新規需要は薄い。実需に裏付けられた格安戸建ての指値取得のみが現実的。 借家の空室率は約0%と需給は比較的引き締まっている。</t>
        </is>
      </c>
      <c r="V91" t="inlineStr">
        <is>
          <t>比布町（北海道）：冬期の豪雪・着雪荷重と路面凍結が最大の運営リスク。石狩・十勝・天塩川水系の河川氾濫、太平洋沿岸の津波・千島海溝地震、火山周辺の降灰に留意。</t>
        </is>
      </c>
    </row>
    <row r="92">
      <c r="A92" t="inlineStr">
        <is>
          <t>北海道</t>
        </is>
      </c>
      <c r="B92" t="inlineStr">
        <is>
          <t>愛別町</t>
        </is>
      </c>
      <c r="C92" t="n">
        <v>1288</v>
      </c>
      <c r="D92" t="n">
        <v>2253</v>
      </c>
      <c r="E92" s="6" t="n">
        <v>9.1</v>
      </c>
      <c r="F92" s="7" t="n">
        <v>10.9</v>
      </c>
      <c r="G92" t="n">
        <v>2605</v>
      </c>
      <c r="H92" t="n">
        <v>2253</v>
      </c>
      <c r="I92" t="n">
        <v>1947</v>
      </c>
      <c r="J92" t="n">
        <v>1197</v>
      </c>
      <c r="K92" s="27">
        <f>(H92/D92-1)</f>
        <v/>
      </c>
      <c r="L92" s="27">
        <f>(I92/D92-1)</f>
        <v/>
      </c>
      <c r="M92" s="27">
        <f>(J92/D92-1)</f>
        <v/>
      </c>
      <c r="N92" t="n">
        <v>32.2</v>
      </c>
      <c r="O92" s="28">
        <f>(N92+F92)/2</f>
        <v/>
      </c>
      <c r="P92">
        <f>IF(O92="計算不能","計算不能",IF(O92&gt;=80,5,IF(O92&gt;=60,4,IF(O92&gt;=40,3,IF(O92&gt;=28,2,1)))))</f>
        <v/>
      </c>
      <c r="Q92" t="n">
        <v>492</v>
      </c>
      <c r="R92" t="n">
        <v>0</v>
      </c>
      <c r="S92" s="27">
        <f>R92/Q92</f>
        <v/>
      </c>
      <c r="T92" t="inlineStr">
        <is>
          <t>愛別町は2045年までに人口が約46.9%減と急激な過疎・超高齢化が進行。若年労働世代の流出と自然減が重なり、賃貸事業としての持続性は極めて限定的。</t>
        </is>
      </c>
      <c r="U92" t="inlineStr">
        <is>
          <t>愛別町は人口密度9人/km²と過疎的水準で、民間賃貸の新規需要は薄い。実需に裏付けられた格安戸建ての指値取得のみが現実的。 借家の空室率は約0%と需給は比較的引き締まっている。</t>
        </is>
      </c>
      <c r="V92" t="inlineStr">
        <is>
          <t>愛別町（北海道）：冬期の豪雪・着雪荷重と路面凍結が最大の運営リスク。石狩・十勝・天塩川水系の河川氾濫、太平洋沿岸の津波・千島海溝地震、火山周辺の降灰に留意。</t>
        </is>
      </c>
    </row>
    <row r="93">
      <c r="A93" t="inlineStr">
        <is>
          <t>北海道</t>
        </is>
      </c>
      <c r="B93" t="inlineStr">
        <is>
          <t>上川町</t>
        </is>
      </c>
      <c r="C93" t="n">
        <v>1882</v>
      </c>
      <c r="D93" t="n">
        <v>3030</v>
      </c>
      <c r="E93" s="6" t="n">
        <v>3</v>
      </c>
      <c r="F93" s="7" t="n">
        <v>10.3</v>
      </c>
      <c r="G93" t="n">
        <v>3500</v>
      </c>
      <c r="H93" t="n">
        <v>3030</v>
      </c>
      <c r="I93" t="n">
        <v>2600</v>
      </c>
      <c r="J93" t="n">
        <v>1589</v>
      </c>
      <c r="K93" s="27">
        <f>(H93/D93-1)</f>
        <v/>
      </c>
      <c r="L93" s="27">
        <f>(I93/D93-1)</f>
        <v/>
      </c>
      <c r="M93" s="27">
        <f>(J93/D93-1)</f>
        <v/>
      </c>
      <c r="N93" t="n">
        <v>32</v>
      </c>
      <c r="O93" s="28">
        <f>(N93+F93)/2</f>
        <v/>
      </c>
      <c r="P93">
        <f>IF(O93="計算不能","計算不能",IF(O93&gt;=80,5,IF(O93&gt;=60,4,IF(O93&gt;=40,3,IF(O93&gt;=28,2,1)))))</f>
        <v/>
      </c>
      <c r="Q93" t="n">
        <v>720</v>
      </c>
      <c r="R93" t="n">
        <v>0</v>
      </c>
      <c r="S93" s="27">
        <f>R93/Q93</f>
        <v/>
      </c>
      <c r="T93" t="inlineStr">
        <is>
          <t>上川町は2045年までに人口が約47.6%減と急激な過疎・超高齢化が進行。若年労働世代の流出と自然減が重なり、賃貸事業としての持続性は極めて限定的。</t>
        </is>
      </c>
      <c r="U93" t="inlineStr">
        <is>
          <t>上川町は人口密度3人/km²と過疎的水準で、民間賃貸の新規需要は薄い。実需に裏付けられた格安戸建ての指値取得のみが現実的。 借家の空室率は約0%と需給は比較的引き締まっている。</t>
        </is>
      </c>
      <c r="V93" t="inlineStr">
        <is>
          <t>上川町（北海道）：冬期の豪雪・着雪荷重と路面凍結が最大の運営リスク。石狩・十勝・天塩川水系の河川氾濫、太平洋沿岸の津波・千島海溝地震、火山周辺の降灰に留意。</t>
        </is>
      </c>
    </row>
    <row r="94">
      <c r="A94" t="inlineStr">
        <is>
          <t>北海道</t>
        </is>
      </c>
      <c r="B94" t="inlineStr">
        <is>
          <t>東川町</t>
        </is>
      </c>
      <c r="C94" t="n">
        <v>4373</v>
      </c>
      <c r="D94" t="n">
        <v>8213</v>
      </c>
      <c r="E94" s="6" t="n">
        <v>35.3</v>
      </c>
      <c r="F94" s="7" t="n">
        <v>13.5</v>
      </c>
      <c r="G94" t="n">
        <v>8314</v>
      </c>
      <c r="H94" t="n">
        <v>8213</v>
      </c>
      <c r="I94" t="n">
        <v>8059</v>
      </c>
      <c r="J94" t="n">
        <v>7339</v>
      </c>
      <c r="K94" s="27">
        <f>(H94/D94-1)</f>
        <v/>
      </c>
      <c r="L94" s="27">
        <f>(I94/D94-1)</f>
        <v/>
      </c>
      <c r="M94" s="27">
        <f>(J94/D94-1)</f>
        <v/>
      </c>
      <c r="N94" t="n">
        <v>66</v>
      </c>
      <c r="O94" s="28">
        <f>(N94+F94)/2</f>
        <v/>
      </c>
      <c r="P94">
        <f>IF(O94="計算不能","計算不能",IF(O94&gt;=80,5,IF(O94&gt;=60,4,IF(O94&gt;=40,3,IF(O94&gt;=28,2,1)))))</f>
        <v/>
      </c>
      <c r="Q94" t="n">
        <v>1673</v>
      </c>
      <c r="R94" t="n">
        <v>0</v>
      </c>
      <c r="S94" s="27">
        <f>R94/Q94</f>
        <v/>
      </c>
      <c r="T94" t="inlineStr">
        <is>
          <t>東川町は2045年までに人口が約10.6%減と緩やかな減少局面。若年層の都市部流出と高齢化が進むが、当面の賃貸稼働は一定程度維持される見通し。</t>
        </is>
      </c>
      <c r="U94" t="inlineStr">
        <is>
          <t>東川町は人口密度35人/km²と過疎的水準で、民間賃貸の新規需要は薄い。実需に裏付けられた格安戸建ての指値取得のみが現実的。 借家の空室率は約0%と需給は比較的引き締まっている。</t>
        </is>
      </c>
      <c r="V94" t="inlineStr">
        <is>
          <t>東川町（北海道）：冬期の豪雪・着雪荷重と路面凍結が最大の運営リスク。石狩・十勝・天塩川水系の河川氾濫、太平洋沿岸の津波・千島海溝地震、火山周辺の降灰に留意。</t>
        </is>
      </c>
    </row>
    <row r="95">
      <c r="A95" t="inlineStr">
        <is>
          <t>北海道</t>
        </is>
      </c>
      <c r="B95" t="inlineStr">
        <is>
          <t>美瑛町</t>
        </is>
      </c>
      <c r="C95" t="n">
        <v>4803</v>
      </c>
      <c r="D95" t="n">
        <v>8893</v>
      </c>
      <c r="E95" s="6" t="n">
        <v>13.8</v>
      </c>
      <c r="F95" s="7" t="n">
        <v>11.4</v>
      </c>
      <c r="G95" t="n">
        <v>9668</v>
      </c>
      <c r="H95" t="n">
        <v>8893</v>
      </c>
      <c r="I95" t="n">
        <v>8160</v>
      </c>
      <c r="J95" t="n">
        <v>6258</v>
      </c>
      <c r="K95" s="27">
        <f>(H95/D95-1)</f>
        <v/>
      </c>
      <c r="L95" s="27">
        <f>(I95/D95-1)</f>
        <v/>
      </c>
      <c r="M95" s="27">
        <f>(J95/D95-1)</f>
        <v/>
      </c>
      <c r="N95" t="n">
        <v>42.5</v>
      </c>
      <c r="O95" s="28">
        <f>(N95+F95)/2</f>
        <v/>
      </c>
      <c r="P95">
        <f>IF(O95="計算不能","計算不能",IF(O95&gt;=80,5,IF(O95&gt;=60,4,IF(O95&gt;=40,3,IF(O95&gt;=28,2,1)))))</f>
        <v/>
      </c>
      <c r="Q95" t="n">
        <v>1838</v>
      </c>
      <c r="R95" t="n">
        <v>0</v>
      </c>
      <c r="S95" s="27">
        <f>R95/Q95</f>
        <v/>
      </c>
      <c r="T95" t="inlineStr">
        <is>
          <t>美瑛町は2045年までに人口が約29.6%減と明確な減少トレンド。高齢化の進行と世帯数の縮小により、中長期では賃貸需要の構造的縮小に警戒が必要。</t>
        </is>
      </c>
      <c r="U95" t="inlineStr">
        <is>
          <t>美瑛町は人口密度14人/km²と過疎的水準で、民間賃貸の新規需要は薄い。実需に裏付けられた格安戸建ての指値取得のみが現実的。 借家の空室率は約0%と需給は比較的引き締まっている。</t>
        </is>
      </c>
      <c r="V95" t="inlineStr">
        <is>
          <t>美瑛町（北海道）：冬期の豪雪・着雪荷重と路面凍結が最大の運営リスク。石狩・十勝・天塩川水系の河川氾濫、太平洋沿岸の津波・千島海溝地震、火山周辺の降灰に留意。</t>
        </is>
      </c>
    </row>
    <row r="96">
      <c r="A96" t="inlineStr">
        <is>
          <t>北海道</t>
        </is>
      </c>
      <c r="B96" t="inlineStr">
        <is>
          <t>上富良野町</t>
        </is>
      </c>
      <c r="C96" t="n">
        <v>5181</v>
      </c>
      <c r="D96" t="n">
        <v>9421</v>
      </c>
      <c r="E96" s="6" t="n">
        <v>38.6</v>
      </c>
      <c r="F96" s="7" t="n">
        <v>13.9</v>
      </c>
      <c r="G96" t="n">
        <v>10348</v>
      </c>
      <c r="H96" t="n">
        <v>9421</v>
      </c>
      <c r="I96" t="n">
        <v>8648</v>
      </c>
      <c r="J96" t="n">
        <v>6537</v>
      </c>
      <c r="K96" s="27">
        <f>(H96/D96-1)</f>
        <v/>
      </c>
      <c r="L96" s="27">
        <f>(I96/D96-1)</f>
        <v/>
      </c>
      <c r="M96" s="27">
        <f>(J96/D96-1)</f>
        <v/>
      </c>
      <c r="N96" t="n">
        <v>41.5</v>
      </c>
      <c r="O96" s="28">
        <f>(N96+F96)/2</f>
        <v/>
      </c>
      <c r="P96">
        <f>IF(O96="計算不能","計算不能",IF(O96&gt;=80,5,IF(O96&gt;=60,4,IF(O96&gt;=40,3,IF(O96&gt;=28,2,1)))))</f>
        <v/>
      </c>
      <c r="Q96" t="n">
        <v>1982</v>
      </c>
      <c r="R96" t="n">
        <v>0</v>
      </c>
      <c r="S96" s="27">
        <f>R96/Q96</f>
        <v/>
      </c>
      <c r="T96" t="inlineStr">
        <is>
          <t>上富良野町は2045年までに人口が約30.6%減と急激な過疎・超高齢化が進行。若年労働世代の流出と自然減が重なり、賃貸事業としての持続性は極めて限定的。</t>
        </is>
      </c>
      <c r="U96" t="inlineStr">
        <is>
          <t>上富良野町は人口密度39人/km²と過疎的水準で、民間賃貸の新規需要は薄い。実需に裏付けられた格安戸建ての指値取得のみが現実的。 借家の空室率は約0%と需給は比較的引き締まっている。</t>
        </is>
      </c>
      <c r="V96" t="inlineStr">
        <is>
          <t>上富良野町（北海道）：冬期の豪雪・着雪荷重と路面凍結が最大の運営リスク。石狩・十勝・天塩川水系の河川氾濫、太平洋沿岸の津波・千島海溝地震、火山周辺の降灰に留意。</t>
        </is>
      </c>
    </row>
    <row r="97">
      <c r="A97" t="inlineStr">
        <is>
          <t>北海道</t>
        </is>
      </c>
      <c r="B97" t="inlineStr">
        <is>
          <t>中富良野町</t>
        </is>
      </c>
      <c r="C97" t="n">
        <v>2140</v>
      </c>
      <c r="D97" t="n">
        <v>4340</v>
      </c>
      <c r="E97" s="6" t="n">
        <v>39.4</v>
      </c>
      <c r="F97" s="7" t="n">
        <v>13.9</v>
      </c>
      <c r="G97" t="n">
        <v>4733</v>
      </c>
      <c r="H97" t="n">
        <v>4340</v>
      </c>
      <c r="I97" t="n">
        <v>3965</v>
      </c>
      <c r="J97" t="n">
        <v>3002</v>
      </c>
      <c r="K97" s="27">
        <f>(H97/D97-1)</f>
        <v/>
      </c>
      <c r="L97" s="27">
        <f>(I97/D97-1)</f>
        <v/>
      </c>
      <c r="M97" s="27">
        <f>(J97/D97-1)</f>
        <v/>
      </c>
      <c r="N97" t="n">
        <v>41.9</v>
      </c>
      <c r="O97" s="28">
        <f>(N97+F97)/2</f>
        <v/>
      </c>
      <c r="P97">
        <f>IF(O97="計算不能","計算不能",IF(O97&gt;=80,5,IF(O97&gt;=60,4,IF(O97&gt;=40,3,IF(O97&gt;=28,2,1)))))</f>
        <v/>
      </c>
      <c r="Q97" t="n">
        <v>818</v>
      </c>
      <c r="R97" t="n">
        <v>0</v>
      </c>
      <c r="S97" s="27">
        <f>R97/Q97</f>
        <v/>
      </c>
      <c r="T97" t="inlineStr">
        <is>
          <t>中富良野町は2045年までに人口が約30.8%減と急激な過疎・超高齢化が進行。若年労働世代の流出と自然減が重なり、賃貸事業としての持続性は極めて限定的。</t>
        </is>
      </c>
      <c r="U97" t="inlineStr">
        <is>
          <t>中富良野町は人口密度39人/km²と過疎的水準で、民間賃貸の新規需要は薄い。実需に裏付けられた格安戸建ての指値取得のみが現実的。 借家の空室率は約0%と需給は比較的引き締まっている。</t>
        </is>
      </c>
      <c r="V97" t="inlineStr">
        <is>
          <t>中富良野町（北海道）：冬期の豪雪・着雪荷重と路面凍結が最大の運営リスク。石狩・十勝・天塩川水系の河川氾濫、太平洋沿岸の津波・千島海溝地震、火山周辺の降灰に留意。</t>
        </is>
      </c>
    </row>
    <row r="98">
      <c r="A98" t="inlineStr">
        <is>
          <t>北海道</t>
        </is>
      </c>
      <c r="B98" t="inlineStr">
        <is>
          <t>南富良野町</t>
        </is>
      </c>
      <c r="C98" t="n">
        <v>1293</v>
      </c>
      <c r="D98" t="n">
        <v>2218</v>
      </c>
      <c r="E98" s="6" t="n">
        <v>3.3</v>
      </c>
      <c r="F98" s="7" t="n">
        <v>10.3</v>
      </c>
      <c r="G98" t="n">
        <v>2376</v>
      </c>
      <c r="H98" t="n">
        <v>2218</v>
      </c>
      <c r="I98" t="n">
        <v>2067</v>
      </c>
      <c r="J98" t="n">
        <v>1650</v>
      </c>
      <c r="K98" s="27">
        <f>(H98/D98-1)</f>
        <v/>
      </c>
      <c r="L98" s="27">
        <f>(I98/D98-1)</f>
        <v/>
      </c>
      <c r="M98" s="27">
        <f>(J98/D98-1)</f>
        <v/>
      </c>
      <c r="N98" t="n">
        <v>45.3</v>
      </c>
      <c r="O98" s="28">
        <f>(N98+F98)/2</f>
        <v/>
      </c>
      <c r="P98">
        <f>IF(O98="計算不能","計算不能",IF(O98&gt;=80,5,IF(O98&gt;=60,4,IF(O98&gt;=40,3,IF(O98&gt;=28,2,1)))))</f>
        <v/>
      </c>
      <c r="Q98" t="n">
        <v>494</v>
      </c>
      <c r="R98" t="n">
        <v>0</v>
      </c>
      <c r="S98" s="27">
        <f>R98/Q98</f>
        <v/>
      </c>
      <c r="T98" t="inlineStr">
        <is>
          <t>南富良野町は2045年までに人口が約25.6%減と明確な減少トレンド。高齢化の進行と世帯数の縮小により、中長期では賃貸需要の構造的縮小に警戒が必要。</t>
        </is>
      </c>
      <c r="U98" t="inlineStr">
        <is>
          <t>南富良野町は人口密度3人/km²と過疎的水準で、民間賃貸の新規需要は薄い。実需に裏付けられた格安戸建ての指値取得のみが現実的。 借家の空室率は約0%と需給は比較的引き締まっている。</t>
        </is>
      </c>
      <c r="V98" t="inlineStr">
        <is>
          <t>南富良野町（北海道）：冬期の豪雪・着雪荷重と路面凍結が最大の運営リスク。石狩・十勝・天塩川水系の河川氾濫、太平洋沿岸の津波・千島海溝地震、火山周辺の降灰に留意。</t>
        </is>
      </c>
    </row>
    <row r="99">
      <c r="A99" t="inlineStr">
        <is>
          <t>北海道</t>
        </is>
      </c>
      <c r="B99" t="inlineStr">
        <is>
          <t>占冠村</t>
        </is>
      </c>
      <c r="C99" t="n">
        <v>1177</v>
      </c>
      <c r="D99" t="n">
        <v>1361</v>
      </c>
      <c r="E99" s="6" t="n">
        <v>2.6</v>
      </c>
      <c r="F99" s="7" t="n">
        <v>10.3</v>
      </c>
      <c r="G99" t="n">
        <v>1306</v>
      </c>
      <c r="H99" t="n">
        <v>1361</v>
      </c>
      <c r="I99" t="n">
        <v>1184</v>
      </c>
      <c r="J99" t="n">
        <v>878</v>
      </c>
      <c r="K99" s="27">
        <f>(H99/D99-1)</f>
        <v/>
      </c>
      <c r="L99" s="27">
        <f>(I99/D99-1)</f>
        <v/>
      </c>
      <c r="M99" s="27">
        <f>(J99/D99-1)</f>
        <v/>
      </c>
      <c r="N99" t="n">
        <v>55.4</v>
      </c>
      <c r="O99" s="28">
        <f>(N99+F99)/2</f>
        <v/>
      </c>
      <c r="P99">
        <f>IF(O99="計算不能","計算不能",IF(O99&gt;=80,5,IF(O99&gt;=60,4,IF(O99&gt;=40,3,IF(O99&gt;=28,2,1)))))</f>
        <v/>
      </c>
      <c r="Q99" t="n">
        <v>450</v>
      </c>
      <c r="R99" t="n">
        <v>0</v>
      </c>
      <c r="S99" s="27">
        <f>R99/Q99</f>
        <v/>
      </c>
      <c r="T99" t="inlineStr">
        <is>
          <t>占冠村は2045年までに人口が約35.5%減と急激な過疎・超高齢化が進行。若年労働世代の流出と自然減が重なり、賃貸事業としての持続性は極めて限定的。</t>
        </is>
      </c>
      <c r="U99" t="inlineStr">
        <is>
          <t>占冠村は人口密度3人/km²と過疎的水準で、民間賃貸の新規需要は薄い。実需に裏付けられた格安戸建ての指値取得のみが現実的。 借家の空室率は約0%と需給は比較的引き締まっている。</t>
        </is>
      </c>
      <c r="V99" t="inlineStr">
        <is>
          <t>占冠村（北海道）：冬期の豪雪・着雪荷重と路面凍結が最大の運営リスク。石狩・十勝・天塩川水系の河川氾濫、太平洋沿岸の津波・千島海溝地震、火山周辺の降灰に留意。</t>
        </is>
      </c>
    </row>
    <row r="100">
      <c r="A100" t="inlineStr">
        <is>
          <t>北海道</t>
        </is>
      </c>
      <c r="B100" t="inlineStr">
        <is>
          <t>和寒町</t>
        </is>
      </c>
      <c r="C100" t="n">
        <v>1462</v>
      </c>
      <c r="D100" t="n">
        <v>2813</v>
      </c>
      <c r="E100" s="6" t="n">
        <v>11.9</v>
      </c>
      <c r="F100" s="7" t="n">
        <v>11.2</v>
      </c>
      <c r="G100" t="n">
        <v>3192</v>
      </c>
      <c r="H100" t="n">
        <v>2813</v>
      </c>
      <c r="I100" t="n">
        <v>2478</v>
      </c>
      <c r="J100" t="n">
        <v>1681</v>
      </c>
      <c r="K100" s="27">
        <f>(H100/D100-1)</f>
        <v/>
      </c>
      <c r="L100" s="27">
        <f>(I100/D100-1)</f>
        <v/>
      </c>
      <c r="M100" s="27">
        <f>(J100/D100-1)</f>
        <v/>
      </c>
      <c r="N100" t="n">
        <v>35.6</v>
      </c>
      <c r="O100" s="28">
        <f>(N100+F100)/2</f>
        <v/>
      </c>
      <c r="P100">
        <f>IF(O100="計算不能","計算不能",IF(O100&gt;=80,5,IF(O100&gt;=60,4,IF(O100&gt;=40,3,IF(O100&gt;=28,2,1)))))</f>
        <v/>
      </c>
      <c r="Q100" t="n">
        <v>559</v>
      </c>
      <c r="R100" t="n">
        <v>0</v>
      </c>
      <c r="S100" s="27">
        <f>R100/Q100</f>
        <v/>
      </c>
      <c r="T100" t="inlineStr">
        <is>
          <t>和寒町は2045年までに人口が約40.2%減と急激な過疎・超高齢化が進行。若年労働世代の流出と自然減が重なり、賃貸事業としての持続性は極めて限定的。</t>
        </is>
      </c>
      <c r="U100" t="inlineStr">
        <is>
          <t>和寒町は人口密度12人/km²と過疎的水準で、民間賃貸の新規需要は薄い。実需に裏付けられた格安戸建ての指値取得のみが現実的。 借家の空室率は約0%と需給は比較的引き締まっている。</t>
        </is>
      </c>
      <c r="V100" t="inlineStr">
        <is>
          <t>和寒町（北海道）：冬期の豪雪・着雪荷重と路面凍結が最大の運営リスク。石狩・十勝・天塩川水系の河川氾濫、太平洋沿岸の津波・千島海溝地震、火山周辺の降灰に留意。</t>
        </is>
      </c>
    </row>
    <row r="101">
      <c r="A101" t="inlineStr">
        <is>
          <t>北海道</t>
        </is>
      </c>
      <c r="B101" t="inlineStr">
        <is>
          <t>剣淵町</t>
        </is>
      </c>
      <c r="C101" t="n">
        <v>1399</v>
      </c>
      <c r="D101" t="n">
        <v>2614</v>
      </c>
      <c r="E101" s="6" t="n">
        <v>20.2</v>
      </c>
      <c r="F101" s="7" t="n">
        <v>12</v>
      </c>
      <c r="G101" t="n">
        <v>2926</v>
      </c>
      <c r="H101" t="n">
        <v>2614</v>
      </c>
      <c r="I101" t="n">
        <v>2330</v>
      </c>
      <c r="J101" t="n">
        <v>1613</v>
      </c>
      <c r="K101" s="27">
        <f>(H101/D101-1)</f>
        <v/>
      </c>
      <c r="L101" s="27">
        <f>(I101/D101-1)</f>
        <v/>
      </c>
      <c r="M101" s="27">
        <f>(J101/D101-1)</f>
        <v/>
      </c>
      <c r="N101" t="n">
        <v>37.4</v>
      </c>
      <c r="O101" s="28">
        <f>(N101+F101)/2</f>
        <v/>
      </c>
      <c r="P101">
        <f>IF(O101="計算不能","計算不能",IF(O101&gt;=80,5,IF(O101&gt;=60,4,IF(O101&gt;=40,3,IF(O101&gt;=28,2,1)))))</f>
        <v/>
      </c>
      <c r="Q101" t="n">
        <v>535</v>
      </c>
      <c r="R101" t="n">
        <v>0</v>
      </c>
      <c r="S101" s="27">
        <f>R101/Q101</f>
        <v/>
      </c>
      <c r="T101" t="inlineStr">
        <is>
          <t>剣淵町は2045年までに人口が約38.3%減と急激な過疎・超高齢化が進行。若年労働世代の流出と自然減が重なり、賃貸事業としての持続性は極めて限定的。</t>
        </is>
      </c>
      <c r="U101" t="inlineStr">
        <is>
          <t>剣淵町は人口密度20人/km²と過疎的水準で、民間賃貸の新規需要は薄い。実需に裏付けられた格安戸建ての指値取得のみが現実的。 借家の空室率は約0%と需給は比較的引き締まっている。</t>
        </is>
      </c>
      <c r="V101" t="inlineStr">
        <is>
          <t>剣淵町（北海道）：冬期の豪雪・着雪荷重と路面凍結が最大の運営リスク。石狩・十勝・天塩川水系の河川氾濫、太平洋沿岸の津波・千島海溝地震、火山周辺の降灰に留意。</t>
        </is>
      </c>
    </row>
    <row r="102">
      <c r="A102" t="inlineStr">
        <is>
          <t>北海道</t>
        </is>
      </c>
      <c r="B102" t="inlineStr">
        <is>
          <t>下川町</t>
        </is>
      </c>
      <c r="C102" t="n">
        <v>1597</v>
      </c>
      <c r="D102" t="n">
        <v>2836</v>
      </c>
      <c r="E102" s="6" t="n">
        <v>4.3</v>
      </c>
      <c r="F102" s="7" t="n">
        <v>10.4</v>
      </c>
      <c r="G102" t="n">
        <v>3126</v>
      </c>
      <c r="H102" t="n">
        <v>2836</v>
      </c>
      <c r="I102" t="n">
        <v>2563</v>
      </c>
      <c r="J102" t="n">
        <v>1943</v>
      </c>
      <c r="K102" s="27">
        <f>(H102/D102-1)</f>
        <v/>
      </c>
      <c r="L102" s="27">
        <f>(I102/D102-1)</f>
        <v/>
      </c>
      <c r="M102" s="27">
        <f>(J102/D102-1)</f>
        <v/>
      </c>
      <c r="N102" t="n">
        <v>40.5</v>
      </c>
      <c r="O102" s="28">
        <f>(N102+F102)/2</f>
        <v/>
      </c>
      <c r="P102">
        <f>IF(O102="計算不能","計算不能",IF(O102&gt;=80,5,IF(O102&gt;=60,4,IF(O102&gt;=40,3,IF(O102&gt;=28,2,1)))))</f>
        <v/>
      </c>
      <c r="Q102" t="n">
        <v>611</v>
      </c>
      <c r="R102" t="n">
        <v>0</v>
      </c>
      <c r="S102" s="27">
        <f>R102/Q102</f>
        <v/>
      </c>
      <c r="T102" t="inlineStr">
        <is>
          <t>下川町は2045年までに人口が約31.5%減と急激な過疎・超高齢化が進行。若年労働世代の流出と自然減が重なり、賃貸事業としての持続性は極めて限定的。</t>
        </is>
      </c>
      <c r="U102" t="inlineStr">
        <is>
          <t>下川町は人口密度4人/km²と過疎的水準で、民間賃貸の新規需要は薄い。実需に裏付けられた格安戸建ての指値取得のみが現実的。 借家の空室率は約0%と需給は比較的引き締まっている。</t>
        </is>
      </c>
      <c r="V102" t="inlineStr">
        <is>
          <t>下川町（北海道）：冬期の豪雪・着雪荷重と路面凍結が最大の運営リスク。石狩・十勝・天塩川水系の河川氾濫、太平洋沿岸の津波・千島海溝地震、火山周辺の降灰に留意。</t>
        </is>
      </c>
    </row>
    <row r="103">
      <c r="A103" t="inlineStr">
        <is>
          <t>北海道</t>
        </is>
      </c>
      <c r="B103" t="inlineStr">
        <is>
          <t>美深町</t>
        </is>
      </c>
      <c r="C103" t="n">
        <v>2025</v>
      </c>
      <c r="D103" t="n">
        <v>3708</v>
      </c>
      <c r="E103" s="6" t="n">
        <v>5.4</v>
      </c>
      <c r="F103" s="7" t="n">
        <v>10.5</v>
      </c>
      <c r="G103" t="n">
        <v>4145</v>
      </c>
      <c r="H103" t="n">
        <v>3708</v>
      </c>
      <c r="I103" t="n">
        <v>3326</v>
      </c>
      <c r="J103" t="n">
        <v>2367</v>
      </c>
      <c r="K103" s="27">
        <f>(H103/D103-1)</f>
        <v/>
      </c>
      <c r="L103" s="27">
        <f>(I103/D103-1)</f>
        <v/>
      </c>
      <c r="M103" s="27">
        <f>(J103/D103-1)</f>
        <v/>
      </c>
      <c r="N103" t="n">
        <v>38.1</v>
      </c>
      <c r="O103" s="28">
        <f>(N103+F103)/2</f>
        <v/>
      </c>
      <c r="P103">
        <f>IF(O103="計算不能","計算不能",IF(O103&gt;=80,5,IF(O103&gt;=60,4,IF(O103&gt;=40,3,IF(O103&gt;=28,2,1)))))</f>
        <v/>
      </c>
      <c r="Q103" t="n">
        <v>774</v>
      </c>
      <c r="R103" t="n">
        <v>0</v>
      </c>
      <c r="S103" s="27">
        <f>R103/Q103</f>
        <v/>
      </c>
      <c r="T103" t="inlineStr">
        <is>
          <t>美深町は2045年までに人口が約36.2%減と急激な過疎・超高齢化が進行。若年労働世代の流出と自然減が重なり、賃貸事業としての持続性は極めて限定的。</t>
        </is>
      </c>
      <c r="U103" t="inlineStr">
        <is>
          <t>美深町は人口密度5人/km²と過疎的水準で、民間賃貸の新規需要は薄い。実需に裏付けられた格安戸建ての指値取得のみが現実的。 借家の空室率は約0%と需給は比較的引き締まっている。</t>
        </is>
      </c>
      <c r="V103" t="inlineStr">
        <is>
          <t>美深町（北海道）：冬期の豪雪・着雪荷重と路面凍結が最大の運営リスク。石狩・十勝・天塩川水系の河川氾濫、太平洋沿岸の津波・千島海溝地震、火山周辺の降灰に留意。</t>
        </is>
      </c>
    </row>
    <row r="104">
      <c r="A104" t="inlineStr">
        <is>
          <t>北海道</t>
        </is>
      </c>
      <c r="B104" t="inlineStr">
        <is>
          <t>音威子府村</t>
        </is>
      </c>
      <c r="C104" t="n">
        <v>418</v>
      </c>
      <c r="D104" t="n">
        <v>597</v>
      </c>
      <c r="E104" s="6" t="n">
        <v>2.2</v>
      </c>
      <c r="F104" s="7" t="n">
        <v>10.2</v>
      </c>
      <c r="G104" t="n">
        <v>706</v>
      </c>
      <c r="H104" t="n">
        <v>597</v>
      </c>
      <c r="I104" t="n">
        <v>532</v>
      </c>
      <c r="J104" t="n">
        <v>360</v>
      </c>
      <c r="K104" s="27">
        <f>(H104/D104-1)</f>
        <v/>
      </c>
      <c r="L104" s="27">
        <f>(I104/D104-1)</f>
        <v/>
      </c>
      <c r="M104" s="27">
        <f>(J104/D104-1)</f>
        <v/>
      </c>
      <c r="N104" t="n">
        <v>32.9</v>
      </c>
      <c r="O104" s="28">
        <f>(N104+F104)/2</f>
        <v/>
      </c>
      <c r="P104">
        <f>IF(O104="計算不能","計算不能",IF(O104&gt;=80,5,IF(O104&gt;=60,4,IF(O104&gt;=40,3,IF(O104&gt;=28,2,1)))))</f>
        <v/>
      </c>
      <c r="Q104" t="n">
        <v>159</v>
      </c>
      <c r="R104" t="n">
        <v>0</v>
      </c>
      <c r="S104" s="27">
        <f>R104/Q104</f>
        <v/>
      </c>
      <c r="T104" t="inlineStr">
        <is>
          <t>音威子府村は2045年までに人口が約39.7%減と急激な過疎・超高齢化が進行。若年労働世代の流出と自然減が重なり、賃貸事業としての持続性は極めて限定的。</t>
        </is>
      </c>
      <c r="U104" t="inlineStr">
        <is>
          <t>音威子府村は人口密度2人/km²と過疎的水準で、民間賃貸の新規需要は薄い。実需に裏付けられた格安戸建ての指値取得のみが現実的。 借家の空室率は約0%と需給は比較的引き締まっている。</t>
        </is>
      </c>
      <c r="V104" t="inlineStr">
        <is>
          <t>音威子府村（北海道）：冬期の豪雪・着雪荷重と路面凍結が最大の運営リスク。石狩・十勝・天塩川水系の河川氾濫、太平洋沿岸の津波・千島海溝地震、火山周辺の降灰に留意。</t>
        </is>
      </c>
    </row>
    <row r="105">
      <c r="A105" t="inlineStr">
        <is>
          <t>北海道</t>
        </is>
      </c>
      <c r="B105" t="inlineStr">
        <is>
          <t>中川町</t>
        </is>
      </c>
      <c r="C105" t="n">
        <v>707</v>
      </c>
      <c r="D105" t="n">
        <v>1359</v>
      </c>
      <c r="E105" s="6" t="n">
        <v>2.1</v>
      </c>
      <c r="F105" s="7" t="n">
        <v>10.2</v>
      </c>
      <c r="G105" t="n">
        <v>1528</v>
      </c>
      <c r="H105" t="n">
        <v>1359</v>
      </c>
      <c r="I105" t="n">
        <v>1209</v>
      </c>
      <c r="J105" t="n">
        <v>864</v>
      </c>
      <c r="K105" s="27">
        <f>(H105/D105-1)</f>
        <v/>
      </c>
      <c r="L105" s="27">
        <f>(I105/D105-1)</f>
        <v/>
      </c>
      <c r="M105" s="27">
        <f>(J105/D105-1)</f>
        <v/>
      </c>
      <c r="N105" t="n">
        <v>37.4</v>
      </c>
      <c r="O105" s="28">
        <f>(N105+F105)/2</f>
        <v/>
      </c>
      <c r="P105">
        <f>IF(O105="計算不能","計算不能",IF(O105&gt;=80,5,IF(O105&gt;=60,4,IF(O105&gt;=40,3,IF(O105&gt;=28,2,1)))))</f>
        <v/>
      </c>
      <c r="Q105" t="n">
        <v>270</v>
      </c>
      <c r="R105" t="n">
        <v>0</v>
      </c>
      <c r="S105" s="27">
        <f>R105/Q105</f>
        <v/>
      </c>
      <c r="T105" t="inlineStr">
        <is>
          <t>中川町は2045年までに人口が約36.4%減と急激な過疎・超高齢化が進行。若年労働世代の流出と自然減が重なり、賃貸事業としての持続性は極めて限定的。</t>
        </is>
      </c>
      <c r="U105" t="inlineStr">
        <is>
          <t>中川町は人口密度2人/km²と過疎的水準で、民間賃貸の新規需要は薄い。実需に裏付けられた格安戸建ての指値取得のみが現実的。 借家の空室率は約0%と需給は比較的引き締まっている。</t>
        </is>
      </c>
      <c r="V105" t="inlineStr">
        <is>
          <t>中川町（北海道）：冬期の豪雪・着雪荷重と路面凍結が最大の運営リスク。石狩・十勝・天塩川水系の河川氾濫、太平洋沿岸の津波・千島海溝地震、火山周辺の降灰に留意。</t>
        </is>
      </c>
    </row>
    <row r="106">
      <c r="A106" t="inlineStr">
        <is>
          <t>北海道</t>
        </is>
      </c>
      <c r="B106" t="inlineStr">
        <is>
          <t>幌加内町</t>
        </is>
      </c>
      <c r="C106" t="n">
        <v>683</v>
      </c>
      <c r="D106" t="n">
        <v>1178</v>
      </c>
      <c r="E106" s="6" t="n">
        <v>1.6</v>
      </c>
      <c r="F106" s="7" t="n">
        <v>10.2</v>
      </c>
      <c r="G106" t="n">
        <v>1370</v>
      </c>
      <c r="H106" t="n">
        <v>1178</v>
      </c>
      <c r="I106" t="n">
        <v>1022</v>
      </c>
      <c r="J106" t="n">
        <v>685</v>
      </c>
      <c r="K106" s="27">
        <f>(H106/D106-1)</f>
        <v/>
      </c>
      <c r="L106" s="27">
        <f>(I106/D106-1)</f>
        <v/>
      </c>
      <c r="M106" s="27">
        <f>(J106/D106-1)</f>
        <v/>
      </c>
      <c r="N106" t="n">
        <v>33</v>
      </c>
      <c r="O106" s="28">
        <f>(N106+F106)/2</f>
        <v/>
      </c>
      <c r="P106">
        <f>IF(O106="計算不能","計算不能",IF(O106&gt;=80,5,IF(O106&gt;=60,4,IF(O106&gt;=40,3,IF(O106&gt;=28,2,1)))))</f>
        <v/>
      </c>
      <c r="Q106" t="n">
        <v>261</v>
      </c>
      <c r="R106" t="n">
        <v>0</v>
      </c>
      <c r="S106" s="27">
        <f>R106/Q106</f>
        <v/>
      </c>
      <c r="T106" t="inlineStr">
        <is>
          <t>幌加内町は2045年までに人口が約41.9%減と急激な過疎・超高齢化が進行。若年労働世代の流出と自然減が重なり、賃貸事業としての持続性は極めて限定的。</t>
        </is>
      </c>
      <c r="U106" t="inlineStr">
        <is>
          <t>幌加内町は人口密度2人/km²と過疎的水準で、民間賃貸の新規需要は薄い。実需に裏付けられた格安戸建ての指値取得のみが現実的。 借家の空室率は約0%と需給は比較的引き締まっている。</t>
        </is>
      </c>
      <c r="V106" t="inlineStr">
        <is>
          <t>幌加内町（北海道）：冬期の豪雪・着雪荷重と路面凍結が最大の運営リスク。石狩・十勝・天塩川水系の河川氾濫、太平洋沿岸の津波・千島海溝地震、火山周辺の降灰に留意。</t>
        </is>
      </c>
    </row>
    <row r="107">
      <c r="A107" t="inlineStr">
        <is>
          <t>北海道</t>
        </is>
      </c>
      <c r="B107" t="inlineStr">
        <is>
          <t>増毛町</t>
        </is>
      </c>
      <c r="C107" t="n">
        <v>2074</v>
      </c>
      <c r="D107" t="n">
        <v>3434</v>
      </c>
      <c r="E107" s="6" t="n">
        <v>9</v>
      </c>
      <c r="F107" s="7" t="n">
        <v>10.9</v>
      </c>
      <c r="G107" t="n">
        <v>3908</v>
      </c>
      <c r="H107" t="n">
        <v>3434</v>
      </c>
      <c r="I107" t="n">
        <v>3027</v>
      </c>
      <c r="J107" t="n">
        <v>2023</v>
      </c>
      <c r="K107" s="27">
        <f>(H107/D107-1)</f>
        <v/>
      </c>
      <c r="L107" s="27">
        <f>(I107/D107-1)</f>
        <v/>
      </c>
      <c r="M107" s="27">
        <f>(J107/D107-1)</f>
        <v/>
      </c>
      <c r="N107" t="n">
        <v>35.2</v>
      </c>
      <c r="O107" s="28">
        <f>(N107+F107)/2</f>
        <v/>
      </c>
      <c r="P107">
        <f>IF(O107="計算不能","計算不能",IF(O107&gt;=80,5,IF(O107&gt;=60,4,IF(O107&gt;=40,3,IF(O107&gt;=28,2,1)))))</f>
        <v/>
      </c>
      <c r="Q107" t="n">
        <v>793</v>
      </c>
      <c r="R107" t="n">
        <v>0</v>
      </c>
      <c r="S107" s="27">
        <f>R107/Q107</f>
        <v/>
      </c>
      <c r="T107" t="inlineStr">
        <is>
          <t>増毛町は2045年までに人口が約41.1%減と急激な過疎・超高齢化が進行。若年労働世代の流出と自然減が重なり、賃貸事業としての持続性は極めて限定的。</t>
        </is>
      </c>
      <c r="U107" t="inlineStr">
        <is>
          <t>増毛町は人口密度9人/km²と過疎的水準で、民間賃貸の新規需要は薄い。実需に裏付けられた格安戸建ての指値取得のみが現実的。 借家の空室率は約0%と需給は比較的引き締まっている。</t>
        </is>
      </c>
      <c r="V107" t="inlineStr">
        <is>
          <t>増毛町（北海道）：冬期の豪雪・着雪荷重と路面凍結が最大の運営リスク。石狩・十勝・天塩川水系の河川氾濫、太平洋沿岸の津波・千島海溝地震、火山周辺の降灰に留意。</t>
        </is>
      </c>
    </row>
    <row r="108">
      <c r="A108" t="inlineStr">
        <is>
          <t>北海道</t>
        </is>
      </c>
      <c r="B108" t="inlineStr">
        <is>
          <t>小平町</t>
        </is>
      </c>
      <c r="C108" t="n">
        <v>1494</v>
      </c>
      <c r="D108" t="n">
        <v>2665</v>
      </c>
      <c r="E108" s="6" t="n">
        <v>4.1</v>
      </c>
      <c r="F108" s="7" t="n">
        <v>10.4</v>
      </c>
      <c r="G108" t="n">
        <v>2994</v>
      </c>
      <c r="H108" t="n">
        <v>2665</v>
      </c>
      <c r="I108" t="n">
        <v>2361</v>
      </c>
      <c r="J108" t="n">
        <v>1578</v>
      </c>
      <c r="K108" s="27">
        <f>(H108/D108-1)</f>
        <v/>
      </c>
      <c r="L108" s="27">
        <f>(I108/D108-1)</f>
        <v/>
      </c>
      <c r="M108" s="27">
        <f>(J108/D108-1)</f>
        <v/>
      </c>
      <c r="N108" t="n">
        <v>36.4</v>
      </c>
      <c r="O108" s="28">
        <f>(N108+F108)/2</f>
        <v/>
      </c>
      <c r="P108">
        <f>IF(O108="計算不能","計算不能",IF(O108&gt;=80,5,IF(O108&gt;=60,4,IF(O108&gt;=40,3,IF(O108&gt;=28,2,1)))))</f>
        <v/>
      </c>
      <c r="Q108" t="n">
        <v>571</v>
      </c>
      <c r="R108" t="n">
        <v>0</v>
      </c>
      <c r="S108" s="27">
        <f>R108/Q108</f>
        <v/>
      </c>
      <c r="T108" t="inlineStr">
        <is>
          <t>小平町は2045年までに人口が約40.8%減と急激な過疎・超高齢化が進行。若年労働世代の流出と自然減が重なり、賃貸事業としての持続性は極めて限定的。</t>
        </is>
      </c>
      <c r="U108" t="inlineStr">
        <is>
          <t>小平町は人口密度4人/km²と過疎的水準で、民間賃貸の新規需要は薄い。実需に裏付けられた格安戸建ての指値取得のみが現実的。 借家の空室率は約0%と需給は比較的引き締まっている。</t>
        </is>
      </c>
      <c r="V108" t="inlineStr">
        <is>
          <t>小平町（北海道）：冬期の豪雪・着雪荷重と路面凍結が最大の運営リスク。石狩・十勝・天塩川水系の河川氾濫、太平洋沿岸の津波・千島海溝地震、火山周辺の降灰に留意。</t>
        </is>
      </c>
    </row>
    <row r="109">
      <c r="A109" t="inlineStr">
        <is>
          <t>北海道</t>
        </is>
      </c>
      <c r="B109" t="inlineStr">
        <is>
          <t>苫前町</t>
        </is>
      </c>
      <c r="C109" t="n">
        <v>1433</v>
      </c>
      <c r="D109" t="n">
        <v>2576</v>
      </c>
      <c r="E109" s="6" t="n">
        <v>5.6</v>
      </c>
      <c r="F109" s="7" t="n">
        <v>10.6</v>
      </c>
      <c r="G109" t="n">
        <v>2936</v>
      </c>
      <c r="H109" t="n">
        <v>2576</v>
      </c>
      <c r="I109" t="n">
        <v>2272</v>
      </c>
      <c r="J109" t="n">
        <v>1558</v>
      </c>
      <c r="K109" s="27">
        <f>(H109/D109-1)</f>
        <v/>
      </c>
      <c r="L109" s="27">
        <f>(I109/D109-1)</f>
        <v/>
      </c>
      <c r="M109" s="27">
        <f>(J109/D109-1)</f>
        <v/>
      </c>
      <c r="N109" t="n">
        <v>35.4</v>
      </c>
      <c r="O109" s="28">
        <f>(N109+F109)/2</f>
        <v/>
      </c>
      <c r="P109">
        <f>IF(O109="計算不能","計算不能",IF(O109&gt;=80,5,IF(O109&gt;=60,4,IF(O109&gt;=40,3,IF(O109&gt;=28,2,1)))))</f>
        <v/>
      </c>
      <c r="Q109" t="n">
        <v>548</v>
      </c>
      <c r="R109" t="n">
        <v>0</v>
      </c>
      <c r="S109" s="27">
        <f>R109/Q109</f>
        <v/>
      </c>
      <c r="T109" t="inlineStr">
        <is>
          <t>苫前町は2045年までに人口が約39.5%減と急激な過疎・超高齢化が進行。若年労働世代の流出と自然減が重なり、賃貸事業としての持続性は極めて限定的。</t>
        </is>
      </c>
      <c r="U109" t="inlineStr">
        <is>
          <t>苫前町は人口密度6人/km²と過疎的水準で、民間賃貸の新規需要は薄い。実需に裏付けられた格安戸建ての指値取得のみが現実的。 借家の空室率は約0%と需給は比較的引き締まっている。</t>
        </is>
      </c>
      <c r="V109" t="inlineStr">
        <is>
          <t>苫前町（北海道）：冬期の豪雪・着雪荷重と路面凍結が最大の運営リスク。石狩・十勝・天塩川水系の河川氾濫、太平洋沿岸の津波・千島海溝地震、火山周辺の降灰に留意。</t>
        </is>
      </c>
    </row>
    <row r="110">
      <c r="A110" t="inlineStr">
        <is>
          <t>北海道</t>
        </is>
      </c>
      <c r="B110" t="inlineStr">
        <is>
          <t>羽幌町</t>
        </is>
      </c>
      <c r="C110" t="n">
        <v>3317</v>
      </c>
      <c r="D110" t="n">
        <v>5835</v>
      </c>
      <c r="E110" s="6" t="n">
        <v>11.9</v>
      </c>
      <c r="F110" s="7" t="n">
        <v>11.2</v>
      </c>
      <c r="G110" t="n">
        <v>6548</v>
      </c>
      <c r="H110" t="n">
        <v>5835</v>
      </c>
      <c r="I110" t="n">
        <v>5192</v>
      </c>
      <c r="J110" t="n">
        <v>3536</v>
      </c>
      <c r="K110" s="27">
        <f>(H110/D110-1)</f>
        <v/>
      </c>
      <c r="L110" s="27">
        <f>(I110/D110-1)</f>
        <v/>
      </c>
      <c r="M110" s="27">
        <f>(J110/D110-1)</f>
        <v/>
      </c>
      <c r="N110" t="n">
        <v>36.9</v>
      </c>
      <c r="O110" s="28">
        <f>(N110+F110)/2</f>
        <v/>
      </c>
      <c r="P110">
        <f>IF(O110="計算不能","計算不能",IF(O110&gt;=80,5,IF(O110&gt;=60,4,IF(O110&gt;=40,3,IF(O110&gt;=28,2,1)))))</f>
        <v/>
      </c>
      <c r="Q110" t="n">
        <v>1269</v>
      </c>
      <c r="R110" t="n">
        <v>0</v>
      </c>
      <c r="S110" s="27">
        <f>R110/Q110</f>
        <v/>
      </c>
      <c r="T110" t="inlineStr">
        <is>
          <t>羽幌町は2045年までに人口が約39.4%減と急激な過疎・超高齢化が進行。若年労働世代の流出と自然減が重なり、賃貸事業としての持続性は極めて限定的。</t>
        </is>
      </c>
      <c r="U110" t="inlineStr">
        <is>
          <t>羽幌町は人口密度12人/km²と過疎的水準で、民間賃貸の新規需要は薄い。実需に裏付けられた格安戸建ての指値取得のみが現実的。 借家の空室率は約0%と需給は比較的引き締まっている。</t>
        </is>
      </c>
      <c r="V110" t="inlineStr">
        <is>
          <t>羽幌町（北海道）：冬期の豪雪・着雪荷重と路面凍結が最大の運営リスク。石狩・十勝・天塩川水系の河川氾濫、太平洋沿岸の津波・千島海溝地震、火山周辺の降灰に留意。</t>
        </is>
      </c>
    </row>
    <row r="111">
      <c r="A111" t="inlineStr">
        <is>
          <t>北海道</t>
        </is>
      </c>
      <c r="B111" t="inlineStr">
        <is>
          <t>初山別村</t>
        </is>
      </c>
      <c r="C111" t="n">
        <v>500</v>
      </c>
      <c r="D111" t="n">
        <v>944</v>
      </c>
      <c r="E111" s="6" t="n">
        <v>3.4</v>
      </c>
      <c r="F111" s="7" t="n">
        <v>10.3</v>
      </c>
      <c r="G111" t="n">
        <v>1080</v>
      </c>
      <c r="H111" t="n">
        <v>944</v>
      </c>
      <c r="I111" t="n">
        <v>822</v>
      </c>
      <c r="J111" t="n">
        <v>559</v>
      </c>
      <c r="K111" s="27">
        <f>(H111/D111-1)</f>
        <v/>
      </c>
      <c r="L111" s="27">
        <f>(I111/D111-1)</f>
        <v/>
      </c>
      <c r="M111" s="27">
        <f>(J111/D111-1)</f>
        <v/>
      </c>
      <c r="N111" t="n">
        <v>34.5</v>
      </c>
      <c r="O111" s="28">
        <f>(N111+F111)/2</f>
        <v/>
      </c>
      <c r="P111">
        <f>IF(O111="計算不能","計算不能",IF(O111&gt;=80,5,IF(O111&gt;=60,4,IF(O111&gt;=40,3,IF(O111&gt;=28,2,1)))))</f>
        <v/>
      </c>
      <c r="Q111" t="n">
        <v>191</v>
      </c>
      <c r="R111" t="n">
        <v>0</v>
      </c>
      <c r="S111" s="27">
        <f>R111/Q111</f>
        <v/>
      </c>
      <c r="T111" t="inlineStr">
        <is>
          <t>初山別村は2045年までに人口が約40.8%減と急激な過疎・超高齢化が進行。若年労働世代の流出と自然減が重なり、賃貸事業としての持続性は極めて限定的。</t>
        </is>
      </c>
      <c r="U111" t="inlineStr">
        <is>
          <t>初山別村は人口密度3人/km²と過疎的水準で、民間賃貸の新規需要は薄い。実需に裏付けられた格安戸建ての指値取得のみが現実的。 借家の空室率は約0%と需給は比較的引き締まっている。</t>
        </is>
      </c>
      <c r="V111" t="inlineStr">
        <is>
          <t>初山別村（北海道）：冬期の豪雪・着雪荷重と路面凍結が最大の運営リスク。石狩・十勝・天塩川水系の河川氾濫、太平洋沿岸の津波・千島海溝地震、火山周辺の降灰に留意。</t>
        </is>
      </c>
    </row>
    <row r="112">
      <c r="A112" t="inlineStr">
        <is>
          <t>北海道</t>
        </is>
      </c>
      <c r="B112" t="inlineStr">
        <is>
          <t>遠別町</t>
        </is>
      </c>
      <c r="C112" t="n">
        <v>1259</v>
      </c>
      <c r="D112" t="n">
        <v>2219</v>
      </c>
      <c r="E112" s="6" t="n">
        <v>3.7</v>
      </c>
      <c r="F112" s="7" t="n">
        <v>10.4</v>
      </c>
      <c r="G112" t="n">
        <v>2520</v>
      </c>
      <c r="H112" t="n">
        <v>2219</v>
      </c>
      <c r="I112" t="n">
        <v>1978</v>
      </c>
      <c r="J112" t="n">
        <v>1360</v>
      </c>
      <c r="K112" s="27">
        <f>(H112/D112-1)</f>
        <v/>
      </c>
      <c r="L112" s="27">
        <f>(I112/D112-1)</f>
        <v/>
      </c>
      <c r="M112" s="27">
        <f>(J112/D112-1)</f>
        <v/>
      </c>
      <c r="N112" t="n">
        <v>36.2</v>
      </c>
      <c r="O112" s="28">
        <f>(N112+F112)/2</f>
        <v/>
      </c>
      <c r="P112">
        <f>IF(O112="計算不能","計算不能",IF(O112&gt;=80,5,IF(O112&gt;=60,4,IF(O112&gt;=40,3,IF(O112&gt;=28,2,1)))))</f>
        <v/>
      </c>
      <c r="Q112" t="n">
        <v>481</v>
      </c>
      <c r="R112" t="n">
        <v>0</v>
      </c>
      <c r="S112" s="27">
        <f>R112/Q112</f>
        <v/>
      </c>
      <c r="T112" t="inlineStr">
        <is>
          <t>遠別町は2045年までに人口が約38.7%減と急激な過疎・超高齢化が進行。若年労働世代の流出と自然減が重なり、賃貸事業としての持続性は極めて限定的。</t>
        </is>
      </c>
      <c r="U112" t="inlineStr">
        <is>
          <t>遠別町は人口密度4人/km²と過疎的水準で、民間賃貸の新規需要は薄い。実需に裏付けられた格安戸建ての指値取得のみが現実的。 借家の空室率は約0%と需給は比較的引き締まっている。</t>
        </is>
      </c>
      <c r="V112" t="inlineStr">
        <is>
          <t>遠別町（北海道）：冬期の豪雪・着雪荷重と路面凍結が最大の運営リスク。石狩・十勝・天塩川水系の河川氾濫、太平洋沿岸の津波・千島海溝地震、火山周辺の降灰に留意。</t>
        </is>
      </c>
    </row>
    <row r="113">
      <c r="A113" t="inlineStr">
        <is>
          <t>北海道</t>
        </is>
      </c>
      <c r="B113" t="inlineStr">
        <is>
          <t>天塩町</t>
        </is>
      </c>
      <c r="C113" t="n">
        <v>1444</v>
      </c>
      <c r="D113" t="n">
        <v>2653</v>
      </c>
      <c r="E113" s="6" t="n">
        <v>7.2</v>
      </c>
      <c r="F113" s="7" t="n">
        <v>10.7</v>
      </c>
      <c r="G113" t="n">
        <v>2950</v>
      </c>
      <c r="H113" t="n">
        <v>2653</v>
      </c>
      <c r="I113" t="n">
        <v>2403</v>
      </c>
      <c r="J113" t="n">
        <v>1763</v>
      </c>
      <c r="K113" s="27">
        <f>(H113/D113-1)</f>
        <v/>
      </c>
      <c r="L113" s="27">
        <f>(I113/D113-1)</f>
        <v/>
      </c>
      <c r="M113" s="27">
        <f>(J113/D113-1)</f>
        <v/>
      </c>
      <c r="N113" t="n">
        <v>39.4</v>
      </c>
      <c r="O113" s="28">
        <f>(N113+F113)/2</f>
        <v/>
      </c>
      <c r="P113">
        <f>IF(O113="計算不能","計算不能",IF(O113&gt;=80,5,IF(O113&gt;=60,4,IF(O113&gt;=40,3,IF(O113&gt;=28,2,1)))))</f>
        <v/>
      </c>
      <c r="Q113" t="n">
        <v>552</v>
      </c>
      <c r="R113" t="n">
        <v>0</v>
      </c>
      <c r="S113" s="27">
        <f>R113/Q113</f>
        <v/>
      </c>
      <c r="T113" t="inlineStr">
        <is>
          <t>天塩町は2045年までに人口が約33.5%減と急激な過疎・超高齢化が進行。若年労働世代の流出と自然減が重なり、賃貸事業としての持続性は極めて限定的。</t>
        </is>
      </c>
      <c r="U113" t="inlineStr">
        <is>
          <t>天塩町は人口密度7人/km²と過疎的水準で、民間賃貸の新規需要は薄い。実需に裏付けられた格安戸建ての指値取得のみが現実的。 借家の空室率は約0%と需給は比較的引き締まっている。</t>
        </is>
      </c>
      <c r="V113" t="inlineStr">
        <is>
          <t>天塩町（北海道）：冬期の豪雪・着雪荷重と路面凍結が最大の運営リスク。石狩・十勝・天塩川水系の河川氾濫、太平洋沿岸の津波・千島海溝地震、火山周辺の降灰に留意。</t>
        </is>
      </c>
    </row>
    <row r="114">
      <c r="A114" t="inlineStr">
        <is>
          <t>北海道</t>
        </is>
      </c>
      <c r="B114" t="inlineStr">
        <is>
          <t>猿払村</t>
        </is>
      </c>
      <c r="C114" t="n">
        <v>1264</v>
      </c>
      <c r="D114" t="n">
        <v>2505</v>
      </c>
      <c r="E114" s="6" t="n">
        <v>4.2</v>
      </c>
      <c r="F114" s="7" t="n">
        <v>10.4</v>
      </c>
      <c r="G114" t="n">
        <v>2611</v>
      </c>
      <c r="H114" t="n">
        <v>2505</v>
      </c>
      <c r="I114" t="n">
        <v>2404</v>
      </c>
      <c r="J114" t="n">
        <v>2077</v>
      </c>
      <c r="K114" s="27">
        <f>(H114/D114-1)</f>
        <v/>
      </c>
      <c r="L114" s="27">
        <f>(I114/D114-1)</f>
        <v/>
      </c>
      <c r="M114" s="27">
        <f>(J114/D114-1)</f>
        <v/>
      </c>
      <c r="N114" t="n">
        <v>56</v>
      </c>
      <c r="O114" s="28">
        <f>(N114+F114)/2</f>
        <v/>
      </c>
      <c r="P114">
        <f>IF(O114="計算不能","計算不能",IF(O114&gt;=80,5,IF(O114&gt;=60,4,IF(O114&gt;=40,3,IF(O114&gt;=28,2,1)))))</f>
        <v/>
      </c>
      <c r="Q114" t="n">
        <v>483</v>
      </c>
      <c r="R114" t="n">
        <v>0</v>
      </c>
      <c r="S114" s="27">
        <f>R114/Q114</f>
        <v/>
      </c>
      <c r="T114" t="inlineStr">
        <is>
          <t>猿払村は2045年までに人口が約17.1%減と明確な減少トレンド。高齢化の進行と世帯数の縮小により、中長期では賃貸需要の構造的縮小に警戒が必要。</t>
        </is>
      </c>
      <c r="U114" t="inlineStr">
        <is>
          <t>猿払村は人口密度4人/km²と過疎的水準で、民間賃貸の新規需要は薄い。実需に裏付けられた格安戸建ての指値取得のみが現実的。 借家の空室率は約0%と需給は比較的引き締まっている。</t>
        </is>
      </c>
      <c r="V114" t="inlineStr">
        <is>
          <t>猿払村（北海道）：冬期の豪雪・着雪荷重と路面凍結が最大の運営リスク。石狩・十勝・天塩川水系の河川氾濫、太平洋沿岸の津波・千島海溝地震、火山周辺の降灰に留意。</t>
        </is>
      </c>
    </row>
    <row r="115">
      <c r="A115" t="inlineStr">
        <is>
          <t>北海道</t>
        </is>
      </c>
      <c r="B115" t="inlineStr">
        <is>
          <t>浜頓別町</t>
        </is>
      </c>
      <c r="C115" t="n">
        <v>1826</v>
      </c>
      <c r="D115" t="n">
        <v>3089</v>
      </c>
      <c r="E115" s="6" t="n">
        <v>7.6</v>
      </c>
      <c r="F115" s="7" t="n">
        <v>10.8</v>
      </c>
      <c r="G115" t="n">
        <v>3448</v>
      </c>
      <c r="H115" t="n">
        <v>3089</v>
      </c>
      <c r="I115" t="n">
        <v>2766</v>
      </c>
      <c r="J115" t="n">
        <v>1868</v>
      </c>
      <c r="K115" s="27">
        <f>(H115/D115-1)</f>
        <v/>
      </c>
      <c r="L115" s="27">
        <f>(I115/D115-1)</f>
        <v/>
      </c>
      <c r="M115" s="27">
        <f>(J115/D115-1)</f>
        <v/>
      </c>
      <c r="N115" t="n">
        <v>37.5</v>
      </c>
      <c r="O115" s="28">
        <f>(N115+F115)/2</f>
        <v/>
      </c>
      <c r="P115">
        <f>IF(O115="計算不能","計算不能",IF(O115&gt;=80,5,IF(O115&gt;=60,4,IF(O115&gt;=40,3,IF(O115&gt;=28,2,1)))))</f>
        <v/>
      </c>
      <c r="Q115" t="n">
        <v>698</v>
      </c>
      <c r="R115" t="n">
        <v>0</v>
      </c>
      <c r="S115" s="27">
        <f>R115/Q115</f>
        <v/>
      </c>
      <c r="T115" t="inlineStr">
        <is>
          <t>浜頓別町は2045年までに人口が約39.5%減と急激な過疎・超高齢化が進行。若年労働世代の流出と自然減が重なり、賃貸事業としての持続性は極めて限定的。</t>
        </is>
      </c>
      <c r="U115" t="inlineStr">
        <is>
          <t>浜頓別町は人口密度8人/km²と過疎的水準で、民間賃貸の新規需要は薄い。実需に裏付けられた格安戸建ての指値取得のみが現実的。 借家の空室率は約0%と需給は比較的引き締まっている。</t>
        </is>
      </c>
      <c r="V115" t="inlineStr">
        <is>
          <t>浜頓別町（北海道）：冬期の豪雪・着雪荷重と路面凍結が最大の運営リスク。石狩・十勝・天塩川水系の河川氾濫、太平洋沿岸の津波・千島海溝地震、火山周辺の降灰に留意。</t>
        </is>
      </c>
    </row>
    <row r="116">
      <c r="A116" t="inlineStr">
        <is>
          <t>北海道</t>
        </is>
      </c>
      <c r="B116" t="inlineStr">
        <is>
          <t>中頓別町</t>
        </is>
      </c>
      <c r="C116" t="n">
        <v>827</v>
      </c>
      <c r="D116" t="n">
        <v>1470</v>
      </c>
      <c r="E116" s="6" t="n">
        <v>3.6</v>
      </c>
      <c r="F116" s="7" t="n">
        <v>10.4</v>
      </c>
      <c r="G116" t="n">
        <v>1637</v>
      </c>
      <c r="H116" t="n">
        <v>1470</v>
      </c>
      <c r="I116" t="n">
        <v>1315</v>
      </c>
      <c r="J116" t="n">
        <v>917</v>
      </c>
      <c r="K116" s="27">
        <f>(H116/D116-1)</f>
        <v/>
      </c>
      <c r="L116" s="27">
        <f>(I116/D116-1)</f>
        <v/>
      </c>
      <c r="M116" s="27">
        <f>(J116/D116-1)</f>
        <v/>
      </c>
      <c r="N116" t="n">
        <v>38</v>
      </c>
      <c r="O116" s="28">
        <f>(N116+F116)/2</f>
        <v/>
      </c>
      <c r="P116">
        <f>IF(O116="計算不能","計算不能",IF(O116&gt;=80,5,IF(O116&gt;=60,4,IF(O116&gt;=40,3,IF(O116&gt;=28,2,1)))))</f>
        <v/>
      </c>
      <c r="Q116" t="n">
        <v>316</v>
      </c>
      <c r="R116" t="n">
        <v>0</v>
      </c>
      <c r="S116" s="27">
        <f>R116/Q116</f>
        <v/>
      </c>
      <c r="T116" t="inlineStr">
        <is>
          <t>中頓別町は2045年までに人口が約37.6%減と急激な過疎・超高齢化が進行。若年労働世代の流出と自然減が重なり、賃貸事業としての持続性は極めて限定的。</t>
        </is>
      </c>
      <c r="U116" t="inlineStr">
        <is>
          <t>中頓別町は人口密度4人/km²と過疎的水準で、民間賃貸の新規需要は薄い。実需に裏付けられた格安戸建ての指値取得のみが現実的。 借家の空室率は約0%と需給は比較的引き締まっている。</t>
        </is>
      </c>
      <c r="V116" t="inlineStr">
        <is>
          <t>中頓別町（北海道）：冬期の豪雪・着雪荷重と路面凍結が最大の運営リスク。石狩・十勝・天塩川水系の河川氾濫、太平洋沿岸の津波・千島海溝地震、火山周辺の降灰に留意。</t>
        </is>
      </c>
    </row>
    <row r="117">
      <c r="A117" t="inlineStr">
        <is>
          <t>北海道</t>
        </is>
      </c>
      <c r="B117" t="inlineStr">
        <is>
          <t>枝幸町</t>
        </is>
      </c>
      <c r="C117" t="n">
        <v>3881</v>
      </c>
      <c r="D117" t="n">
        <v>6834</v>
      </c>
      <c r="E117" s="6" t="n">
        <v>6.3</v>
      </c>
      <c r="F117" s="7" t="n">
        <v>10.6</v>
      </c>
      <c r="G117" t="n">
        <v>7565</v>
      </c>
      <c r="H117" t="n">
        <v>6834</v>
      </c>
      <c r="I117" t="n">
        <v>6203</v>
      </c>
      <c r="J117" t="n">
        <v>4456</v>
      </c>
      <c r="K117" s="27">
        <f>(H117/D117-1)</f>
        <v/>
      </c>
      <c r="L117" s="27">
        <f>(I117/D117-1)</f>
        <v/>
      </c>
      <c r="M117" s="27">
        <f>(J117/D117-1)</f>
        <v/>
      </c>
      <c r="N117" t="n">
        <v>39.6</v>
      </c>
      <c r="O117" s="28">
        <f>(N117+F117)/2</f>
        <v/>
      </c>
      <c r="P117">
        <f>IF(O117="計算不能","計算不能",IF(O117&gt;=80,5,IF(O117&gt;=60,4,IF(O117&gt;=40,3,IF(O117&gt;=28,2,1)))))</f>
        <v/>
      </c>
      <c r="Q117" t="n">
        <v>1485</v>
      </c>
      <c r="R117" t="n">
        <v>0</v>
      </c>
      <c r="S117" s="27">
        <f>R117/Q117</f>
        <v/>
      </c>
      <c r="T117" t="inlineStr">
        <is>
          <t>枝幸町は2045年までに人口が約34.8%減と急激な過疎・超高齢化が進行。若年労働世代の流出と自然減が重なり、賃貸事業としての持続性は極めて限定的。</t>
        </is>
      </c>
      <c r="U117" t="inlineStr">
        <is>
          <t>枝幸町は人口密度6人/km²と過疎的水準で、民間賃貸の新規需要は薄い。実需に裏付けられた格安戸建ての指値取得のみが現実的。 借家の空室率は約0%と需給は比較的引き締まっている。</t>
        </is>
      </c>
      <c r="V117" t="inlineStr">
        <is>
          <t>枝幸町（北海道）：冬期の豪雪・着雪荷重と路面凍結が最大の運営リスク。石狩・十勝・天塩川水系の河川氾濫、太平洋沿岸の津波・千島海溝地震、火山周辺の降灰に留意。</t>
        </is>
      </c>
    </row>
    <row r="118">
      <c r="A118" t="inlineStr">
        <is>
          <t>北海道</t>
        </is>
      </c>
      <c r="B118" t="inlineStr">
        <is>
          <t>豊富町</t>
        </is>
      </c>
      <c r="C118" t="n">
        <v>1917</v>
      </c>
      <c r="D118" t="n">
        <v>3679</v>
      </c>
      <c r="E118" s="6" t="n">
        <v>6.6</v>
      </c>
      <c r="F118" s="7" t="n">
        <v>10.7</v>
      </c>
      <c r="G118" t="n">
        <v>3974</v>
      </c>
      <c r="H118" t="n">
        <v>3679</v>
      </c>
      <c r="I118" t="n">
        <v>3406</v>
      </c>
      <c r="J118" t="n">
        <v>2633</v>
      </c>
      <c r="K118" s="27">
        <f>(H118/D118-1)</f>
        <v/>
      </c>
      <c r="L118" s="27">
        <f>(I118/D118-1)</f>
        <v/>
      </c>
      <c r="M118" s="27">
        <f>(J118/D118-1)</f>
        <v/>
      </c>
      <c r="N118" t="n">
        <v>43.6</v>
      </c>
      <c r="O118" s="28">
        <f>(N118+F118)/2</f>
        <v/>
      </c>
      <c r="P118">
        <f>IF(O118="計算不能","計算不能",IF(O118&gt;=80,5,IF(O118&gt;=60,4,IF(O118&gt;=40,3,IF(O118&gt;=28,2,1)))))</f>
        <v/>
      </c>
      <c r="Q118" t="n">
        <v>733</v>
      </c>
      <c r="R118" t="n">
        <v>0</v>
      </c>
      <c r="S118" s="27">
        <f>R118/Q118</f>
        <v/>
      </c>
      <c r="T118" t="inlineStr">
        <is>
          <t>豊富町は2045年までに人口が約28.4%減と明確な減少トレンド。高齢化の進行と世帯数の縮小により、中長期では賃貸需要の構造的縮小に警戒が必要。</t>
        </is>
      </c>
      <c r="U118" t="inlineStr">
        <is>
          <t>豊富町は人口密度7人/km²と過疎的水準で、民間賃貸の新規需要は薄い。実需に裏付けられた格安戸建ての指値取得のみが現実的。 借家の空室率は約0%と需給は比較的引き締まっている。</t>
        </is>
      </c>
      <c r="V118" t="inlineStr">
        <is>
          <t>豊富町（北海道）：冬期の豪雪・着雪荷重と路面凍結が最大の運営リスク。石狩・十勝・天塩川水系の河川氾濫、太平洋沿岸の津波・千島海溝地震、火山周辺の降灰に留意。</t>
        </is>
      </c>
    </row>
    <row r="119">
      <c r="A119" t="inlineStr">
        <is>
          <t>北海道</t>
        </is>
      </c>
      <c r="B119" t="inlineStr">
        <is>
          <t>礼文町</t>
        </is>
      </c>
      <c r="C119" t="n">
        <v>1182</v>
      </c>
      <c r="D119" t="n">
        <v>2265</v>
      </c>
      <c r="E119" s="6" t="n">
        <v>26.7</v>
      </c>
      <c r="F119" s="7" t="n">
        <v>12.7</v>
      </c>
      <c r="G119" t="n">
        <v>2509</v>
      </c>
      <c r="H119" t="n">
        <v>2265</v>
      </c>
      <c r="I119" t="n">
        <v>2068</v>
      </c>
      <c r="J119" t="n">
        <v>1544</v>
      </c>
      <c r="K119" s="27">
        <f>(H119/D119-1)</f>
        <v/>
      </c>
      <c r="L119" s="27">
        <f>(I119/D119-1)</f>
        <v/>
      </c>
      <c r="M119" s="27">
        <f>(J119/D119-1)</f>
        <v/>
      </c>
      <c r="N119" t="n">
        <v>40.3</v>
      </c>
      <c r="O119" s="28">
        <f>(N119+F119)/2</f>
        <v/>
      </c>
      <c r="P119">
        <f>IF(O119="計算不能","計算不能",IF(O119&gt;=80,5,IF(O119&gt;=60,4,IF(O119&gt;=40,3,IF(O119&gt;=28,2,1)))))</f>
        <v/>
      </c>
      <c r="Q119" t="n">
        <v>452</v>
      </c>
      <c r="R119" t="n">
        <v>0</v>
      </c>
      <c r="S119" s="27">
        <f>R119/Q119</f>
        <v/>
      </c>
      <c r="T119" t="inlineStr">
        <is>
          <t>礼文町は2045年までに人口が約31.8%減と急激な過疎・超高齢化が進行。若年労働世代の流出と自然減が重なり、賃貸事業としての持続性は極めて限定的。</t>
        </is>
      </c>
      <c r="U119" t="inlineStr">
        <is>
          <t>礼文町は人口密度27人/km²と過疎的水準で、民間賃貸の新規需要は薄い。実需に裏付けられた格安戸建ての指値取得のみが現実的。 借家の空室率は約0%と需給は比較的引き締まっている。</t>
        </is>
      </c>
      <c r="V119" t="inlineStr">
        <is>
          <t>礼文町（北海道）：冬期の豪雪・着雪荷重と路面凍結が最大の運営リスク。石狩・十勝・天塩川水系の河川氾濫、太平洋沿岸の津波・千島海溝地震、火山周辺の降灰に留意。</t>
        </is>
      </c>
    </row>
    <row r="120">
      <c r="A120" t="inlineStr">
        <is>
          <t>北海道</t>
        </is>
      </c>
      <c r="B120" t="inlineStr">
        <is>
          <t>利尻町</t>
        </is>
      </c>
      <c r="C120" t="n">
        <v>1008</v>
      </c>
      <c r="D120" t="n">
        <v>1784</v>
      </c>
      <c r="E120" s="6" t="n">
        <v>23.1</v>
      </c>
      <c r="F120" s="7" t="n">
        <v>12.3</v>
      </c>
      <c r="G120" t="n">
        <v>2004</v>
      </c>
      <c r="H120" t="n">
        <v>1784</v>
      </c>
      <c r="I120" t="n">
        <v>1593</v>
      </c>
      <c r="J120" t="n">
        <v>1129</v>
      </c>
      <c r="K120" s="27">
        <f>(H120/D120-1)</f>
        <v/>
      </c>
      <c r="L120" s="27">
        <f>(I120/D120-1)</f>
        <v/>
      </c>
      <c r="M120" s="27">
        <f>(J120/D120-1)</f>
        <v/>
      </c>
      <c r="N120" t="n">
        <v>37.5</v>
      </c>
      <c r="O120" s="28">
        <f>(N120+F120)/2</f>
        <v/>
      </c>
      <c r="P120">
        <f>IF(O120="計算不能","計算不能",IF(O120&gt;=80,5,IF(O120&gt;=60,4,IF(O120&gt;=40,3,IF(O120&gt;=28,2,1)))))</f>
        <v/>
      </c>
      <c r="Q120" t="n">
        <v>385</v>
      </c>
      <c r="R120" t="n">
        <v>0</v>
      </c>
      <c r="S120" s="27">
        <f>R120/Q120</f>
        <v/>
      </c>
      <c r="T120" t="inlineStr">
        <is>
          <t>利尻町は2045年までに人口が約36.7%減と急激な過疎・超高齢化が進行。若年労働世代の流出と自然減が重なり、賃貸事業としての持続性は極めて限定的。</t>
        </is>
      </c>
      <c r="U120" t="inlineStr">
        <is>
          <t>利尻町は人口密度23人/km²と過疎的水準で、民間賃貸の新規需要は薄い。実需に裏付けられた格安戸建ての指値取得のみが現実的。 借家の空室率は約0%と需給は比較的引き締まっている。</t>
        </is>
      </c>
      <c r="V120" t="inlineStr">
        <is>
          <t>利尻町（北海道）：冬期の豪雪・着雪荷重と路面凍結が最大の運営リスク。石狩・十勝・天塩川水系の河川氾濫、太平洋沿岸の津波・千島海溝地震、火山周辺の降灰に留意。</t>
        </is>
      </c>
    </row>
    <row r="121">
      <c r="A121" t="inlineStr">
        <is>
          <t>北海道</t>
        </is>
      </c>
      <c r="B121" t="inlineStr">
        <is>
          <t>利尻富士町</t>
        </is>
      </c>
      <c r="C121" t="n">
        <v>1197</v>
      </c>
      <c r="D121" t="n">
        <v>2217</v>
      </c>
      <c r="E121" s="6" t="n">
        <v>20.3</v>
      </c>
      <c r="F121" s="7" t="n">
        <v>12</v>
      </c>
      <c r="G121" t="n">
        <v>2458</v>
      </c>
      <c r="H121" t="n">
        <v>2217</v>
      </c>
      <c r="I121" t="n">
        <v>2005</v>
      </c>
      <c r="J121" t="n">
        <v>1505</v>
      </c>
      <c r="K121" s="27">
        <f>(H121/D121-1)</f>
        <v/>
      </c>
      <c r="L121" s="27">
        <f>(I121/D121-1)</f>
        <v/>
      </c>
      <c r="M121" s="27">
        <f>(J121/D121-1)</f>
        <v/>
      </c>
      <c r="N121" t="n">
        <v>39.9</v>
      </c>
      <c r="O121" s="28">
        <f>(N121+F121)/2</f>
        <v/>
      </c>
      <c r="P121">
        <f>IF(O121="計算不能","計算不能",IF(O121&gt;=80,5,IF(O121&gt;=60,4,IF(O121&gt;=40,3,IF(O121&gt;=28,2,1)))))</f>
        <v/>
      </c>
      <c r="Q121" t="n">
        <v>458</v>
      </c>
      <c r="R121" t="n">
        <v>0</v>
      </c>
      <c r="S121" s="27">
        <f>R121/Q121</f>
        <v/>
      </c>
      <c r="T121" t="inlineStr">
        <is>
          <t>利尻富士町は2045年までに人口が約32.1%減と急激な過疎・超高齢化が進行。若年労働世代の流出と自然減が重なり、賃貸事業としての持続性は極めて限定的。</t>
        </is>
      </c>
      <c r="U121" t="inlineStr">
        <is>
          <t>利尻富士町は人口密度20人/km²と過疎的水準で、民間賃貸の新規需要は薄い。実需に裏付けられた格安戸建ての指値取得のみが現実的。 借家の空室率は約0%と需給は比較的引き締まっている。</t>
        </is>
      </c>
      <c r="V121" t="inlineStr">
        <is>
          <t>利尻富士町（北海道）：冬期の豪雪・着雪荷重と路面凍結が最大の運営リスク。石狩・十勝・天塩川水系の河川氾濫、太平洋沿岸の津波・千島海溝地震、火山周辺の降灰に留意。</t>
        </is>
      </c>
    </row>
    <row r="122">
      <c r="A122" t="inlineStr">
        <is>
          <t>北海道</t>
        </is>
      </c>
      <c r="B122" t="inlineStr">
        <is>
          <t>幌延町</t>
        </is>
      </c>
      <c r="C122" t="n">
        <v>1181</v>
      </c>
      <c r="D122" t="n">
        <v>2203</v>
      </c>
      <c r="E122" s="6" t="n">
        <v>3.5</v>
      </c>
      <c r="F122" s="7" t="n">
        <v>10.3</v>
      </c>
      <c r="G122" t="n">
        <v>2371</v>
      </c>
      <c r="H122" t="n">
        <v>2203</v>
      </c>
      <c r="I122" t="n">
        <v>2092</v>
      </c>
      <c r="J122" t="n">
        <v>1721</v>
      </c>
      <c r="K122" s="27">
        <f>(H122/D122-1)</f>
        <v/>
      </c>
      <c r="L122" s="27">
        <f>(I122/D122-1)</f>
        <v/>
      </c>
      <c r="M122" s="27">
        <f>(J122/D122-1)</f>
        <v/>
      </c>
      <c r="N122" t="n">
        <v>47.4</v>
      </c>
      <c r="O122" s="28">
        <f>(N122+F122)/2</f>
        <v/>
      </c>
      <c r="P122">
        <f>IF(O122="計算不能","計算不能",IF(O122&gt;=80,5,IF(O122&gt;=60,4,IF(O122&gt;=40,3,IF(O122&gt;=28,2,1)))))</f>
        <v/>
      </c>
      <c r="Q122" t="n">
        <v>451</v>
      </c>
      <c r="R122" t="n">
        <v>0</v>
      </c>
      <c r="S122" s="27">
        <f>R122/Q122</f>
        <v/>
      </c>
      <c r="T122" t="inlineStr">
        <is>
          <t>幌延町は2045年までに人口が約21.9%減と明確な減少トレンド。高齢化の進行と世帯数の縮小により、中長期では賃貸需要の構造的縮小に警戒が必要。</t>
        </is>
      </c>
      <c r="U122" t="inlineStr">
        <is>
          <t>幌延町は人口密度4人/km²と過疎的水準で、民間賃貸の新規需要は薄い。実需に裏付けられた格安戸建ての指値取得のみが現実的。 借家の空室率は約0%と需給は比較的引き締まっている。</t>
        </is>
      </c>
      <c r="V122" t="inlineStr">
        <is>
          <t>幌延町（北海道）：冬期の豪雪・着雪荷重と路面凍結が最大の運営リスク。石狩・十勝・天塩川水系の河川氾濫、太平洋沿岸の津波・千島海溝地震、火山周辺の降灰に留意。</t>
        </is>
      </c>
    </row>
    <row r="123">
      <c r="A123" t="inlineStr">
        <is>
          <t>北海道</t>
        </is>
      </c>
      <c r="B123" t="inlineStr">
        <is>
          <t>美幌町</t>
        </is>
      </c>
      <c r="C123" t="n">
        <v>7890</v>
      </c>
      <c r="D123" t="n">
        <v>16778</v>
      </c>
      <c r="E123" s="6" t="n">
        <v>38.1</v>
      </c>
      <c r="F123" s="7" t="n">
        <v>13.8</v>
      </c>
      <c r="G123" t="n">
        <v>18697</v>
      </c>
      <c r="H123" t="n">
        <v>16778</v>
      </c>
      <c r="I123" t="n">
        <v>15286</v>
      </c>
      <c r="J123" t="n">
        <v>11093</v>
      </c>
      <c r="K123" s="27">
        <f>(H123/D123-1)</f>
        <v/>
      </c>
      <c r="L123" s="27">
        <f>(I123/D123-1)</f>
        <v/>
      </c>
      <c r="M123" s="27">
        <f>(J123/D123-1)</f>
        <v/>
      </c>
      <c r="N123" t="n">
        <v>39.3</v>
      </c>
      <c r="O123" s="28">
        <f>(N123+F123)/2</f>
        <v/>
      </c>
      <c r="P123">
        <f>IF(O123="計算不能","計算不能",IF(O123&gt;=80,5,IF(O123&gt;=60,4,IF(O123&gt;=40,3,IF(O123&gt;=28,2,1)))))</f>
        <v/>
      </c>
      <c r="Q123" t="n">
        <v>3019</v>
      </c>
      <c r="R123" t="n">
        <v>540</v>
      </c>
      <c r="S123" s="27">
        <f>R123/Q123</f>
        <v/>
      </c>
      <c r="T123" t="inlineStr">
        <is>
          <t>美幌町は2045年までに人口が約33.9%減と急激な過疎・超高齢化が進行。若年労働世代の流出と自然減が重なり、賃貸事業としての持続性は極めて限定的。</t>
        </is>
      </c>
      <c r="U123" t="inlineStr">
        <is>
          <t>美幌町は人口密度38人/km²と過疎的水準で、民間賃貸の新規需要は薄い。実需に裏付けられた格安戸建ての指値取得のみが現実的。 借家の空室率は約18%と需給は比較的引き締まっている。</t>
        </is>
      </c>
      <c r="V123" t="inlineStr">
        <is>
          <t>美幌町（北海道）：冬期の豪雪・着雪荷重と路面凍結が最大の運営リスク。石狩・十勝・天塩川水系の河川氾濫、太平洋沿岸の津波・千島海溝地震、火山周辺の降灰に留意。</t>
        </is>
      </c>
    </row>
    <row r="124">
      <c r="A124" t="inlineStr">
        <is>
          <t>北海道</t>
        </is>
      </c>
      <c r="B124" t="inlineStr">
        <is>
          <t>津別町</t>
        </is>
      </c>
      <c r="C124" t="n">
        <v>2133</v>
      </c>
      <c r="D124" t="n">
        <v>3867</v>
      </c>
      <c r="E124" s="6" t="n">
        <v>5.3</v>
      </c>
      <c r="F124" s="7" t="n">
        <v>10.5</v>
      </c>
      <c r="G124" t="n">
        <v>4373</v>
      </c>
      <c r="H124" t="n">
        <v>3867</v>
      </c>
      <c r="I124" t="n">
        <v>3389</v>
      </c>
      <c r="J124" t="n">
        <v>2167</v>
      </c>
      <c r="K124" s="27">
        <f>(H124/D124-1)</f>
        <v/>
      </c>
      <c r="L124" s="27">
        <f>(I124/D124-1)</f>
        <v/>
      </c>
      <c r="M124" s="27">
        <f>(J124/D124-1)</f>
        <v/>
      </c>
      <c r="N124" t="n">
        <v>34.9</v>
      </c>
      <c r="O124" s="28">
        <f>(N124+F124)/2</f>
        <v/>
      </c>
      <c r="P124">
        <f>IF(O124="計算不能","計算不能",IF(O124&gt;=80,5,IF(O124&gt;=60,4,IF(O124&gt;=40,3,IF(O124&gt;=28,2,1)))))</f>
        <v/>
      </c>
      <c r="Q124" t="n">
        <v>816</v>
      </c>
      <c r="R124" t="n">
        <v>0</v>
      </c>
      <c r="S124" s="27">
        <f>R124/Q124</f>
        <v/>
      </c>
      <c r="T124" t="inlineStr">
        <is>
          <t>津別町は2045年までに人口が約44.0%減と急激な過疎・超高齢化が進行。若年労働世代の流出と自然減が重なり、賃貸事業としての持続性は極めて限定的。</t>
        </is>
      </c>
      <c r="U124" t="inlineStr">
        <is>
          <t>津別町は人口密度5人/km²と過疎的水準で、民間賃貸の新規需要は薄い。実需に裏付けられた格安戸建ての指値取得のみが現実的。 借家の空室率は約0%と需給は比較的引き締まっている。</t>
        </is>
      </c>
      <c r="V124" t="inlineStr">
        <is>
          <t>津別町（北海道）：冬期の豪雪・着雪荷重と路面凍結が最大の運営リスク。石狩・十勝・天塩川水系の河川氾濫、太平洋沿岸の津波・千島海溝地震、火山周辺の降灰に留意。</t>
        </is>
      </c>
    </row>
    <row r="125">
      <c r="A125" t="inlineStr">
        <is>
          <t>北海道</t>
        </is>
      </c>
      <c r="B125" t="inlineStr">
        <is>
          <t>斜里町</t>
        </is>
      </c>
      <c r="C125" t="n">
        <v>5458</v>
      </c>
      <c r="D125" t="n">
        <v>10249</v>
      </c>
      <c r="E125" s="6" t="n">
        <v>14.5</v>
      </c>
      <c r="F125" s="7" t="n">
        <v>11.4</v>
      </c>
      <c r="G125" t="n">
        <v>11418</v>
      </c>
      <c r="H125" t="n">
        <v>10249</v>
      </c>
      <c r="I125" t="n">
        <v>9516</v>
      </c>
      <c r="J125" t="n">
        <v>7548</v>
      </c>
      <c r="K125" s="27">
        <f>(H125/D125-1)</f>
        <v/>
      </c>
      <c r="L125" s="27">
        <f>(I125/D125-1)</f>
        <v/>
      </c>
      <c r="M125" s="27">
        <f>(J125/D125-1)</f>
        <v/>
      </c>
      <c r="N125" t="n">
        <v>41.6</v>
      </c>
      <c r="O125" s="28">
        <f>(N125+F125)/2</f>
        <v/>
      </c>
      <c r="P125">
        <f>IF(O125="計算不能","計算不能",IF(O125&gt;=80,5,IF(O125&gt;=60,4,IF(O125&gt;=40,3,IF(O125&gt;=28,2,1)))))</f>
        <v/>
      </c>
      <c r="Q125" t="n">
        <v>2088</v>
      </c>
      <c r="R125" t="n">
        <v>0</v>
      </c>
      <c r="S125" s="27">
        <f>R125/Q125</f>
        <v/>
      </c>
      <c r="T125" t="inlineStr">
        <is>
          <t>斜里町は2045年までに人口が約26.4%減と明確な減少トレンド。高齢化の進行と世帯数の縮小により、中長期では賃貸需要の構造的縮小に警戒が必要。</t>
        </is>
      </c>
      <c r="U125" t="inlineStr">
        <is>
          <t>斜里町は人口密度14人/km²と過疎的水準で、民間賃貸の新規需要は薄い。実需に裏付けられた格安戸建ての指値取得のみが現実的。 借家の空室率は約0%と需給は比較的引き締まっている。</t>
        </is>
      </c>
      <c r="V125" t="inlineStr">
        <is>
          <t>斜里町（北海道）：冬期の豪雪・着雪荷重と路面凍結が最大の運営リスク。石狩・十勝・天塩川水系の河川氾濫、太平洋沿岸の津波・千島海溝地震、火山周辺の降灰に留意。</t>
        </is>
      </c>
    </row>
    <row r="126">
      <c r="A126" t="inlineStr">
        <is>
          <t>北海道</t>
        </is>
      </c>
      <c r="B126" t="inlineStr">
        <is>
          <t>清里町</t>
        </is>
      </c>
      <c r="C126" t="n">
        <v>1670</v>
      </c>
      <c r="D126" t="n">
        <v>3497</v>
      </c>
      <c r="E126" s="6" t="n">
        <v>8.9</v>
      </c>
      <c r="F126" s="7" t="n">
        <v>10.9</v>
      </c>
      <c r="G126" t="n">
        <v>3883</v>
      </c>
      <c r="H126" t="n">
        <v>3497</v>
      </c>
      <c r="I126" t="n">
        <v>3154</v>
      </c>
      <c r="J126" t="n">
        <v>2264</v>
      </c>
      <c r="K126" s="27">
        <f>(H126/D126-1)</f>
        <v/>
      </c>
      <c r="L126" s="27">
        <f>(I126/D126-1)</f>
        <v/>
      </c>
      <c r="M126" s="27">
        <f>(J126/D126-1)</f>
        <v/>
      </c>
      <c r="N126" t="n">
        <v>39</v>
      </c>
      <c r="O126" s="28">
        <f>(N126+F126)/2</f>
        <v/>
      </c>
      <c r="P126">
        <f>IF(O126="計算不能","計算不能",IF(O126&gt;=80,5,IF(O126&gt;=60,4,IF(O126&gt;=40,3,IF(O126&gt;=28,2,1)))))</f>
        <v/>
      </c>
      <c r="Q126" t="n">
        <v>639</v>
      </c>
      <c r="R126" t="n">
        <v>0</v>
      </c>
      <c r="S126" s="27">
        <f>R126/Q126</f>
        <v/>
      </c>
      <c r="T126" t="inlineStr">
        <is>
          <t>清里町は2045年までに人口が約35.3%減と急激な過疎・超高齢化が進行。若年労働世代の流出と自然減が重なり、賃貸事業としての持続性は極めて限定的。</t>
        </is>
      </c>
      <c r="U126" t="inlineStr">
        <is>
          <t>清里町は人口密度9人/km²と過疎的水準で、民間賃貸の新規需要は薄い。実需に裏付けられた格安戸建ての指値取得のみが現実的。 借家の空室率は約0%と需給は比較的引き締まっている。</t>
        </is>
      </c>
      <c r="V126" t="inlineStr">
        <is>
          <t>清里町（北海道）：冬期の豪雪・着雪荷重と路面凍結が最大の運営リスク。石狩・十勝・天塩川水系の河川氾濫、太平洋沿岸の津波・千島海溝地震、火山周辺の降灰に留意。</t>
        </is>
      </c>
    </row>
    <row r="127">
      <c r="A127" t="inlineStr">
        <is>
          <t>北海道</t>
        </is>
      </c>
      <c r="B127" t="inlineStr">
        <is>
          <t>小清水町</t>
        </is>
      </c>
      <c r="C127" t="n">
        <v>2037</v>
      </c>
      <c r="D127" t="n">
        <v>4217</v>
      </c>
      <c r="E127" s="6" t="n">
        <v>14.6</v>
      </c>
      <c r="F127" s="7" t="n">
        <v>11.5</v>
      </c>
      <c r="G127" t="n">
        <v>4623</v>
      </c>
      <c r="H127" t="n">
        <v>4217</v>
      </c>
      <c r="I127" t="n">
        <v>3837</v>
      </c>
      <c r="J127" t="n">
        <v>2817</v>
      </c>
      <c r="K127" s="27">
        <f>(H127/D127-1)</f>
        <v/>
      </c>
      <c r="L127" s="27">
        <f>(I127/D127-1)</f>
        <v/>
      </c>
      <c r="M127" s="27">
        <f>(J127/D127-1)</f>
        <v/>
      </c>
      <c r="N127" t="n">
        <v>40.8</v>
      </c>
      <c r="O127" s="28">
        <f>(N127+F127)/2</f>
        <v/>
      </c>
      <c r="P127">
        <f>IF(O127="計算不能","計算不能",IF(O127&gt;=80,5,IF(O127&gt;=60,4,IF(O127&gt;=40,3,IF(O127&gt;=28,2,1)))))</f>
        <v/>
      </c>
      <c r="Q127" t="n">
        <v>779</v>
      </c>
      <c r="R127" t="n">
        <v>0</v>
      </c>
      <c r="S127" s="27">
        <f>R127/Q127</f>
        <v/>
      </c>
      <c r="T127" t="inlineStr">
        <is>
          <t>小清水町は2045年までに人口が約33.2%減と急激な過疎・超高齢化が進行。若年労働世代の流出と自然減が重なり、賃貸事業としての持続性は極めて限定的。</t>
        </is>
      </c>
      <c r="U127" t="inlineStr">
        <is>
          <t>小清水町は人口密度15人/km²と過疎的水準で、民間賃貸の新規需要は薄い。実需に裏付けられた格安戸建ての指値取得のみが現実的。 借家の空室率は約0%と需給は比較的引き締まっている。</t>
        </is>
      </c>
      <c r="V127" t="inlineStr">
        <is>
          <t>小清水町（北海道）：冬期の豪雪・着雪荷重と路面凍結が最大の運営リスク。石狩・十勝・天塩川水系の河川氾濫、太平洋沿岸の津波・千島海溝地震、火山周辺の降灰に留意。</t>
        </is>
      </c>
    </row>
    <row r="128">
      <c r="A128" t="inlineStr">
        <is>
          <t>北海道</t>
        </is>
      </c>
      <c r="B128" t="inlineStr">
        <is>
          <t>訓子府町</t>
        </is>
      </c>
      <c r="C128" t="n">
        <v>2090</v>
      </c>
      <c r="D128" t="n">
        <v>4213</v>
      </c>
      <c r="E128" s="6" t="n">
        <v>22.2</v>
      </c>
      <c r="F128" s="7" t="n">
        <v>12.2</v>
      </c>
      <c r="G128" t="n">
        <v>4677</v>
      </c>
      <c r="H128" t="n">
        <v>4213</v>
      </c>
      <c r="I128" t="n">
        <v>3790</v>
      </c>
      <c r="J128" t="n">
        <v>2626</v>
      </c>
      <c r="K128" s="27">
        <f>(H128/D128-1)</f>
        <v/>
      </c>
      <c r="L128" s="27">
        <f>(I128/D128-1)</f>
        <v/>
      </c>
      <c r="M128" s="27">
        <f>(J128/D128-1)</f>
        <v/>
      </c>
      <c r="N128" t="n">
        <v>38.4</v>
      </c>
      <c r="O128" s="28">
        <f>(N128+F128)/2</f>
        <v/>
      </c>
      <c r="P128">
        <f>IF(O128="計算不能","計算不能",IF(O128&gt;=80,5,IF(O128&gt;=60,4,IF(O128&gt;=40,3,IF(O128&gt;=28,2,1)))))</f>
        <v/>
      </c>
      <c r="Q128" t="n">
        <v>799</v>
      </c>
      <c r="R128" t="n">
        <v>0</v>
      </c>
      <c r="S128" s="27">
        <f>R128/Q128</f>
        <v/>
      </c>
      <c r="T128" t="inlineStr">
        <is>
          <t>訓子府町は2045年までに人口が約37.7%減と急激な過疎・超高齢化が進行。若年労働世代の流出と自然減が重なり、賃貸事業としての持続性は極めて限定的。</t>
        </is>
      </c>
      <c r="U128" t="inlineStr">
        <is>
          <t>訓子府町は人口密度22人/km²と過疎的水準で、民間賃貸の新規需要は薄い。実需に裏付けられた格安戸建ての指値取得のみが現実的。 借家の空室率は約0%と需給は比較的引き締まっている。</t>
        </is>
      </c>
      <c r="V128" t="inlineStr">
        <is>
          <t>訓子府町（北海道）：冬期の豪雪・着雪荷重と路面凍結が最大の運営リスク。石狩・十勝・天塩川水系の河川氾濫、太平洋沿岸の津波・千島海溝地震、火山周辺の降灰に留意。</t>
        </is>
      </c>
    </row>
    <row r="129">
      <c r="A129" t="inlineStr">
        <is>
          <t>北海道</t>
        </is>
      </c>
      <c r="B129" t="inlineStr">
        <is>
          <t>置戸町</t>
        </is>
      </c>
      <c r="C129" t="n">
        <v>1351</v>
      </c>
      <c r="D129" t="n">
        <v>2467</v>
      </c>
      <c r="E129" s="6" t="n">
        <v>4.7</v>
      </c>
      <c r="F129" s="7" t="n">
        <v>10.5</v>
      </c>
      <c r="G129" t="n">
        <v>2775</v>
      </c>
      <c r="H129" t="n">
        <v>2467</v>
      </c>
      <c r="I129" t="n">
        <v>2210</v>
      </c>
      <c r="J129" t="n">
        <v>1557</v>
      </c>
      <c r="K129" s="27">
        <f>(H129/D129-1)</f>
        <v/>
      </c>
      <c r="L129" s="27">
        <f>(I129/D129-1)</f>
        <v/>
      </c>
      <c r="M129" s="27">
        <f>(J129/D129-1)</f>
        <v/>
      </c>
      <c r="N129" t="n">
        <v>37.5</v>
      </c>
      <c r="O129" s="28">
        <f>(N129+F129)/2</f>
        <v/>
      </c>
      <c r="P129">
        <f>IF(O129="計算不能","計算不能",IF(O129&gt;=80,5,IF(O129&gt;=60,4,IF(O129&gt;=40,3,IF(O129&gt;=28,2,1)))))</f>
        <v/>
      </c>
      <c r="Q129" t="n">
        <v>517</v>
      </c>
      <c r="R129" t="n">
        <v>0</v>
      </c>
      <c r="S129" s="27">
        <f>R129/Q129</f>
        <v/>
      </c>
      <c r="T129" t="inlineStr">
        <is>
          <t>置戸町は2045年までに人口が約36.9%減と急激な過疎・超高齢化が進行。若年労働世代の流出と自然減が重なり、賃貸事業としての持続性は極めて限定的。</t>
        </is>
      </c>
      <c r="U129" t="inlineStr">
        <is>
          <t>置戸町は人口密度5人/km²と過疎的水準で、民間賃貸の新規需要は薄い。実需に裏付けられた格安戸建ての指値取得のみが現実的。 借家の空室率は約0%と需給は比較的引き締まっている。</t>
        </is>
      </c>
      <c r="V129" t="inlineStr">
        <is>
          <t>置戸町（北海道）：冬期の豪雪・着雪荷重と路面凍結が最大の運営リスク。石狩・十勝・天塩川水系の河川氾濫、太平洋沿岸の津波・千島海溝地震、火山周辺の降灰に留意。</t>
        </is>
      </c>
    </row>
    <row r="130">
      <c r="A130" t="inlineStr">
        <is>
          <t>北海道</t>
        </is>
      </c>
      <c r="B130" t="inlineStr">
        <is>
          <t>佐呂間町</t>
        </is>
      </c>
      <c r="C130" t="n">
        <v>2460</v>
      </c>
      <c r="D130" t="n">
        <v>4369</v>
      </c>
      <c r="E130" s="6" t="n">
        <v>10.7</v>
      </c>
      <c r="F130" s="7" t="n">
        <v>11.1</v>
      </c>
      <c r="G130" t="n">
        <v>4875</v>
      </c>
      <c r="H130" t="n">
        <v>4369</v>
      </c>
      <c r="I130" t="n">
        <v>3929</v>
      </c>
      <c r="J130" t="n">
        <v>2804</v>
      </c>
      <c r="K130" s="27">
        <f>(H130/D130-1)</f>
        <v/>
      </c>
      <c r="L130" s="27">
        <f>(I130/D130-1)</f>
        <v/>
      </c>
      <c r="M130" s="27">
        <f>(J130/D130-1)</f>
        <v/>
      </c>
      <c r="N130" t="n">
        <v>38.4</v>
      </c>
      <c r="O130" s="28">
        <f>(N130+F130)/2</f>
        <v/>
      </c>
      <c r="P130">
        <f>IF(O130="計算不能","計算不能",IF(O130&gt;=80,5,IF(O130&gt;=60,4,IF(O130&gt;=40,3,IF(O130&gt;=28,2,1)))))</f>
        <v/>
      </c>
      <c r="Q130" t="n">
        <v>941</v>
      </c>
      <c r="R130" t="n">
        <v>0</v>
      </c>
      <c r="S130" s="27">
        <f>R130/Q130</f>
        <v/>
      </c>
      <c r="T130" t="inlineStr">
        <is>
          <t>佐呂間町は2045年までに人口が約35.8%減と急激な過疎・超高齢化が進行。若年労働世代の流出と自然減が重なり、賃貸事業としての持続性は極めて限定的。</t>
        </is>
      </c>
      <c r="U130" t="inlineStr">
        <is>
          <t>佐呂間町は人口密度11人/km²と過疎的水準で、民間賃貸の新規需要は薄い。実需に裏付けられた格安戸建ての指値取得のみが現実的。 借家の空室率は約0%と需給は比較的引き締まっている。</t>
        </is>
      </c>
      <c r="V130" t="inlineStr">
        <is>
          <t>佐呂間町（北海道）：冬期の豪雪・着雪荷重と路面凍結が最大の運営リスク。石狩・十勝・天塩川水系の河川氾濫、太平洋沿岸の津波・千島海溝地震、火山周辺の降灰に留意。</t>
        </is>
      </c>
    </row>
    <row r="131">
      <c r="A131" t="inlineStr">
        <is>
          <t>北海道</t>
        </is>
      </c>
      <c r="B131" t="inlineStr">
        <is>
          <t>遠軽町</t>
        </is>
      </c>
      <c r="C131" t="n">
        <v>8680</v>
      </c>
      <c r="D131" t="n">
        <v>17688</v>
      </c>
      <c r="E131" s="6" t="n">
        <v>12.8</v>
      </c>
      <c r="F131" s="7" t="n">
        <v>11.3</v>
      </c>
      <c r="G131" t="n">
        <v>19241</v>
      </c>
      <c r="H131" t="n">
        <v>17688</v>
      </c>
      <c r="I131" t="n">
        <v>16166</v>
      </c>
      <c r="J131" t="n">
        <v>12023</v>
      </c>
      <c r="K131" s="27">
        <f>(H131/D131-1)</f>
        <v/>
      </c>
      <c r="L131" s="27">
        <f>(I131/D131-1)</f>
        <v/>
      </c>
      <c r="M131" s="27">
        <f>(J131/D131-1)</f>
        <v/>
      </c>
      <c r="N131" t="n">
        <v>41.8</v>
      </c>
      <c r="O131" s="28">
        <f>(N131+F131)/2</f>
        <v/>
      </c>
      <c r="P131">
        <f>IF(O131="計算不能","計算不能",IF(O131&gt;=80,5,IF(O131&gt;=60,4,IF(O131&gt;=40,3,IF(O131&gt;=28,2,1)))))</f>
        <v/>
      </c>
      <c r="Q131" t="n">
        <v>3321</v>
      </c>
      <c r="R131" t="n">
        <v>650</v>
      </c>
      <c r="S131" s="27">
        <f>R131/Q131</f>
        <v/>
      </c>
      <c r="T131" t="inlineStr">
        <is>
          <t>遠軽町は2045年までに人口が約32.0%減と急激な過疎・超高齢化が進行。若年労働世代の流出と自然減が重なり、賃貸事業としての持続性は極めて限定的。</t>
        </is>
      </c>
      <c r="U131" t="inlineStr">
        <is>
          <t>遠軽町は人口密度13人/km²と過疎的水準で、民間賃貸の新規需要は薄い。実需に裏付けられた格安戸建ての指値取得のみが現実的。 借家の空室率は約20%とやや高めで、競合との差別化が必要。</t>
        </is>
      </c>
      <c r="V131" t="inlineStr">
        <is>
          <t>遠軽町（北海道）：冬期の豪雪・着雪荷重と路面凍結が最大の運営リスク。石狩・十勝・天塩川水系の河川氾濫、太平洋沿岸の津波・千島海溝地震、火山周辺の降灰に留意。</t>
        </is>
      </c>
    </row>
    <row r="132">
      <c r="A132" t="inlineStr">
        <is>
          <t>北海道</t>
        </is>
      </c>
      <c r="B132" t="inlineStr">
        <is>
          <t>湧別町</t>
        </is>
      </c>
      <c r="C132" t="n">
        <v>4042</v>
      </c>
      <c r="D132" t="n">
        <v>7445</v>
      </c>
      <c r="E132" s="6" t="n">
        <v>14.9</v>
      </c>
      <c r="F132" s="7" t="n">
        <v>11.5</v>
      </c>
      <c r="G132" t="n">
        <v>8270</v>
      </c>
      <c r="H132" t="n">
        <v>7445</v>
      </c>
      <c r="I132" t="n">
        <v>6735</v>
      </c>
      <c r="J132" t="n">
        <v>4782</v>
      </c>
      <c r="K132" s="27">
        <f>(H132/D132-1)</f>
        <v/>
      </c>
      <c r="L132" s="27">
        <f>(I132/D132-1)</f>
        <v/>
      </c>
      <c r="M132" s="27">
        <f>(J132/D132-1)</f>
        <v/>
      </c>
      <c r="N132" t="n">
        <v>39</v>
      </c>
      <c r="O132" s="28">
        <f>(N132+F132)/2</f>
        <v/>
      </c>
      <c r="P132">
        <f>IF(O132="計算不能","計算不能",IF(O132&gt;=80,5,IF(O132&gt;=60,4,IF(O132&gt;=40,3,IF(O132&gt;=28,2,1)))))</f>
        <v/>
      </c>
      <c r="Q132" t="n">
        <v>1546</v>
      </c>
      <c r="R132" t="n">
        <v>0</v>
      </c>
      <c r="S132" s="27">
        <f>R132/Q132</f>
        <v/>
      </c>
      <c r="T132" t="inlineStr">
        <is>
          <t>湧別町は2045年までに人口が約35.8%減と急激な過疎・超高齢化が進行。若年労働世代の流出と自然減が重なり、賃貸事業としての持続性は極めて限定的。</t>
        </is>
      </c>
      <c r="U132" t="inlineStr">
        <is>
          <t>湧別町は人口密度15人/km²と過疎的水準で、民間賃貸の新規需要は薄い。実需に裏付けられた格安戸建ての指値取得のみが現実的。 借家の空室率は約0%と需給は比較的引き締まっている。</t>
        </is>
      </c>
      <c r="V132" t="inlineStr">
        <is>
          <t>湧別町（北海道）：冬期の豪雪・着雪荷重と路面凍結が最大の運営リスク。石狩・十勝・天塩川水系の河川氾濫、太平洋沿岸の津波・千島海溝地震、火山周辺の降灰に留意。</t>
        </is>
      </c>
    </row>
    <row r="133">
      <c r="A133" t="inlineStr">
        <is>
          <t>北海道</t>
        </is>
      </c>
      <c r="B133" t="inlineStr">
        <is>
          <t>滝上町</t>
        </is>
      </c>
      <c r="C133" t="n">
        <v>1275</v>
      </c>
      <c r="D133" t="n">
        <v>2138</v>
      </c>
      <c r="E133" s="6" t="n">
        <v>2.7</v>
      </c>
      <c r="F133" s="7" t="n">
        <v>10.3</v>
      </c>
      <c r="G133" t="n">
        <v>2421</v>
      </c>
      <c r="H133" t="n">
        <v>2138</v>
      </c>
      <c r="I133" t="n">
        <v>1890</v>
      </c>
      <c r="J133" t="n">
        <v>1301</v>
      </c>
      <c r="K133" s="27">
        <f>(H133/D133-1)</f>
        <v/>
      </c>
      <c r="L133" s="27">
        <f>(I133/D133-1)</f>
        <v/>
      </c>
      <c r="M133" s="27">
        <f>(J133/D133-1)</f>
        <v/>
      </c>
      <c r="N133" t="n">
        <v>36.1</v>
      </c>
      <c r="O133" s="28">
        <f>(N133+F133)/2</f>
        <v/>
      </c>
      <c r="P133">
        <f>IF(O133="計算不能","計算不能",IF(O133&gt;=80,5,IF(O133&gt;=60,4,IF(O133&gt;=40,3,IF(O133&gt;=28,2,1)))))</f>
        <v/>
      </c>
      <c r="Q133" t="n">
        <v>487</v>
      </c>
      <c r="R133" t="n">
        <v>0</v>
      </c>
      <c r="S133" s="27">
        <f>R133/Q133</f>
        <v/>
      </c>
      <c r="T133" t="inlineStr">
        <is>
          <t>滝上町は2045年までに人口が約39.1%減と急激な過疎・超高齢化が進行。若年労働世代の流出と自然減が重なり、賃貸事業としての持続性は極めて限定的。</t>
        </is>
      </c>
      <c r="U133" t="inlineStr">
        <is>
          <t>滝上町は人口密度3人/km²と過疎的水準で、民間賃貸の新規需要は薄い。実需に裏付けられた格安戸建ての指値取得のみが現実的。 借家の空室率は約0%と需給は比較的引き締まっている。</t>
        </is>
      </c>
      <c r="V133" t="inlineStr">
        <is>
          <t>滝上町（北海道）：冬期の豪雪・着雪荷重と路面凍結が最大の運営リスク。石狩・十勝・天塩川水系の河川氾濫、太平洋沿岸の津波・千島海溝地震、火山周辺の降灰に留意。</t>
        </is>
      </c>
    </row>
    <row r="134">
      <c r="A134" t="inlineStr">
        <is>
          <t>北海道</t>
        </is>
      </c>
      <c r="B134" t="inlineStr">
        <is>
          <t>興部町</t>
        </is>
      </c>
      <c r="C134" t="n">
        <v>1830</v>
      </c>
      <c r="D134" t="n">
        <v>3339</v>
      </c>
      <c r="E134" s="6" t="n">
        <v>9.300000000000001</v>
      </c>
      <c r="F134" s="7" t="n">
        <v>10.9</v>
      </c>
      <c r="G134" t="n">
        <v>3628</v>
      </c>
      <c r="H134" t="n">
        <v>3339</v>
      </c>
      <c r="I134" t="n">
        <v>3072</v>
      </c>
      <c r="J134" t="n">
        <v>2346</v>
      </c>
      <c r="K134" s="27">
        <f>(H134/D134-1)</f>
        <v/>
      </c>
      <c r="L134" s="27">
        <f>(I134/D134-1)</f>
        <v/>
      </c>
      <c r="M134" s="27">
        <f>(J134/D134-1)</f>
        <v/>
      </c>
      <c r="N134" t="n">
        <v>42.6</v>
      </c>
      <c r="O134" s="28">
        <f>(N134+F134)/2</f>
        <v/>
      </c>
      <c r="P134">
        <f>IF(O134="計算不能","計算不能",IF(O134&gt;=80,5,IF(O134&gt;=60,4,IF(O134&gt;=40,3,IF(O134&gt;=28,2,1)))))</f>
        <v/>
      </c>
      <c r="Q134" t="n">
        <v>700</v>
      </c>
      <c r="R134" t="n">
        <v>0</v>
      </c>
      <c r="S134" s="27">
        <f>R134/Q134</f>
        <v/>
      </c>
      <c r="T134" t="inlineStr">
        <is>
          <t>興部町は2045年までに人口が約29.7%減と明確な減少トレンド。高齢化の進行と世帯数の縮小により、中長期では賃貸需要の構造的縮小に警戒が必要。</t>
        </is>
      </c>
      <c r="U134" t="inlineStr">
        <is>
          <t>興部町は人口密度9人/km²と過疎的水準で、民間賃貸の新規需要は薄い。実需に裏付けられた格安戸建ての指値取得のみが現実的。 借家の空室率は約0%と需給は比較的引き締まっている。</t>
        </is>
      </c>
      <c r="V134" t="inlineStr">
        <is>
          <t>興部町（北海道）：冬期の豪雪・着雪荷重と路面凍結が最大の運営リスク。石狩・十勝・天塩川水系の河川氾濫、太平洋沿岸の津波・千島海溝地震、火山周辺の降灰に留意。</t>
        </is>
      </c>
    </row>
    <row r="135">
      <c r="A135" t="inlineStr">
        <is>
          <t>北海道</t>
        </is>
      </c>
      <c r="B135" t="inlineStr">
        <is>
          <t>西興部村</t>
        </is>
      </c>
      <c r="C135" t="n">
        <v>639</v>
      </c>
      <c r="D135" t="n">
        <v>979</v>
      </c>
      <c r="E135" s="6" t="n">
        <v>3</v>
      </c>
      <c r="F135" s="7" t="n">
        <v>10.3</v>
      </c>
      <c r="G135" t="n">
        <v>1053</v>
      </c>
      <c r="H135" t="n">
        <v>979</v>
      </c>
      <c r="I135" t="n">
        <v>931</v>
      </c>
      <c r="J135" t="n">
        <v>798</v>
      </c>
      <c r="K135" s="27">
        <f>(H135/D135-1)</f>
        <v/>
      </c>
      <c r="L135" s="27">
        <f>(I135/D135-1)</f>
        <v/>
      </c>
      <c r="M135" s="27">
        <f>(J135/D135-1)</f>
        <v/>
      </c>
      <c r="N135" t="n">
        <v>49.2</v>
      </c>
      <c r="O135" s="28">
        <f>(N135+F135)/2</f>
        <v/>
      </c>
      <c r="P135">
        <f>IF(O135="計算不能","計算不能",IF(O135&gt;=80,5,IF(O135&gt;=60,4,IF(O135&gt;=40,3,IF(O135&gt;=28,2,1)))))</f>
        <v/>
      </c>
      <c r="Q135" t="n">
        <v>244</v>
      </c>
      <c r="R135" t="n">
        <v>0</v>
      </c>
      <c r="S135" s="27">
        <f>R135/Q135</f>
        <v/>
      </c>
      <c r="T135" t="inlineStr">
        <is>
          <t>西興部村は2045年までに人口が約18.5%減と明確な減少トレンド。高齢化の進行と世帯数の縮小により、中長期では賃貸需要の構造的縮小に警戒が必要。</t>
        </is>
      </c>
      <c r="U135" t="inlineStr">
        <is>
          <t>西興部村は人口密度3人/km²と過疎的水準で、民間賃貸の新規需要は薄い。実需に裏付けられた格安戸建ての指値取得のみが現実的。 借家の空室率は約0%と需給は比較的引き締まっている。</t>
        </is>
      </c>
      <c r="V135" t="inlineStr">
        <is>
          <t>西興部村（北海道）：冬期の豪雪・着雪荷重と路面凍結が最大の運営リスク。石狩・十勝・天塩川水系の河川氾濫、太平洋沿岸の津波・千島海溝地震、火山周辺の降灰に留意。</t>
        </is>
      </c>
    </row>
    <row r="136">
      <c r="A136" t="inlineStr">
        <is>
          <t>北海道</t>
        </is>
      </c>
      <c r="B136" t="inlineStr">
        <is>
          <t>雄武町</t>
        </is>
      </c>
      <c r="C136" t="n">
        <v>2224</v>
      </c>
      <c r="D136" t="n">
        <v>3812</v>
      </c>
      <c r="E136" s="6" t="n">
        <v>6.1</v>
      </c>
      <c r="F136" s="7" t="n">
        <v>10.6</v>
      </c>
      <c r="G136" t="n">
        <v>4199</v>
      </c>
      <c r="H136" t="n">
        <v>3812</v>
      </c>
      <c r="I136" t="n">
        <v>3473</v>
      </c>
      <c r="J136" t="n">
        <v>2572</v>
      </c>
      <c r="K136" s="27">
        <f>(H136/D136-1)</f>
        <v/>
      </c>
      <c r="L136" s="27">
        <f>(I136/D136-1)</f>
        <v/>
      </c>
      <c r="M136" s="27">
        <f>(J136/D136-1)</f>
        <v/>
      </c>
      <c r="N136" t="n">
        <v>40.6</v>
      </c>
      <c r="O136" s="28">
        <f>(N136+F136)/2</f>
        <v/>
      </c>
      <c r="P136">
        <f>IF(O136="計算不能","計算不能",IF(O136&gt;=80,5,IF(O136&gt;=60,4,IF(O136&gt;=40,3,IF(O136&gt;=28,2,1)))))</f>
        <v/>
      </c>
      <c r="Q136" t="n">
        <v>851</v>
      </c>
      <c r="R136" t="n">
        <v>0</v>
      </c>
      <c r="S136" s="27">
        <f>R136/Q136</f>
        <v/>
      </c>
      <c r="T136" t="inlineStr">
        <is>
          <t>雄武町は2045年までに人口が約32.5%減と急激な過疎・超高齢化が進行。若年労働世代の流出と自然減が重なり、賃貸事業としての持続性は極めて限定的。</t>
        </is>
      </c>
      <c r="U136" t="inlineStr">
        <is>
          <t>雄武町は人口密度6人/km²と過疎的水準で、民間賃貸の新規需要は薄い。実需に裏付けられた格安戸建ての指値取得のみが現実的。 借家の空室率は約0%と需給は比較的引き締まっている。</t>
        </is>
      </c>
      <c r="V136" t="inlineStr">
        <is>
          <t>雄武町（北海道）：冬期の豪雪・着雪荷重と路面凍結が最大の運営リスク。石狩・十勝・天塩川水系の河川氾濫、太平洋沿岸の津波・千島海溝地震、火山周辺の降灰に留意。</t>
        </is>
      </c>
    </row>
    <row r="137">
      <c r="A137" t="inlineStr">
        <is>
          <t>北海道</t>
        </is>
      </c>
      <c r="B137" t="inlineStr">
        <is>
          <t>大空町</t>
        </is>
      </c>
      <c r="C137" t="n">
        <v>2979</v>
      </c>
      <c r="D137" t="n">
        <v>6181</v>
      </c>
      <c r="E137" s="6" t="n">
        <v>18</v>
      </c>
      <c r="F137" s="7" t="n">
        <v>11.8</v>
      </c>
      <c r="G137" t="n">
        <v>6775</v>
      </c>
      <c r="H137" t="n">
        <v>6181</v>
      </c>
      <c r="I137" t="n">
        <v>5648</v>
      </c>
      <c r="J137" t="n">
        <v>4156</v>
      </c>
      <c r="K137" s="27">
        <f>(H137/D137-1)</f>
        <v/>
      </c>
      <c r="L137" s="27">
        <f>(I137/D137-1)</f>
        <v/>
      </c>
      <c r="M137" s="27">
        <f>(J137/D137-1)</f>
        <v/>
      </c>
      <c r="N137" t="n">
        <v>41</v>
      </c>
      <c r="O137" s="28">
        <f>(N137+F137)/2</f>
        <v/>
      </c>
      <c r="P137">
        <f>IF(O137="計算不能","計算不能",IF(O137&gt;=80,5,IF(O137&gt;=60,4,IF(O137&gt;=40,3,IF(O137&gt;=28,2,1)))))</f>
        <v/>
      </c>
      <c r="Q137" t="n">
        <v>1140</v>
      </c>
      <c r="R137" t="n">
        <v>0</v>
      </c>
      <c r="S137" s="27">
        <f>R137/Q137</f>
        <v/>
      </c>
      <c r="T137" t="inlineStr">
        <is>
          <t>大空町は2045年までに人口が約32.8%減と急激な過疎・超高齢化が進行。若年労働世代の流出と自然減が重なり、賃貸事業としての持続性は極めて限定的。</t>
        </is>
      </c>
      <c r="U137" t="inlineStr">
        <is>
          <t>大空町は人口密度18人/km²と過疎的水準で、民間賃貸の新規需要は薄い。実需に裏付けられた格安戸建ての指値取得のみが現実的。 借家の空室率は約0%と需給は比較的引き締まっている。</t>
        </is>
      </c>
      <c r="V137" t="inlineStr">
        <is>
          <t>大空町（北海道）：冬期の豪雪・着雪荷重と路面凍結が最大の運営リスク。石狩・十勝・天塩川水系の河川氾濫、太平洋沿岸の津波・千島海溝地震、火山周辺の降灰に留意。</t>
        </is>
      </c>
    </row>
    <row r="138">
      <c r="A138" t="inlineStr">
        <is>
          <t>北海道</t>
        </is>
      </c>
      <c r="B138" t="inlineStr">
        <is>
          <t>豊浦町</t>
        </is>
      </c>
      <c r="C138" t="n">
        <v>2021</v>
      </c>
      <c r="D138" t="n">
        <v>3553</v>
      </c>
      <c r="E138" s="6" t="n">
        <v>14.6</v>
      </c>
      <c r="F138" s="7" t="n">
        <v>11.5</v>
      </c>
      <c r="G138" t="n">
        <v>3821</v>
      </c>
      <c r="H138" t="n">
        <v>3553</v>
      </c>
      <c r="I138" t="n">
        <v>3286</v>
      </c>
      <c r="J138" t="n">
        <v>2542</v>
      </c>
      <c r="K138" s="27">
        <f>(H138/D138-1)</f>
        <v/>
      </c>
      <c r="L138" s="27">
        <f>(I138/D138-1)</f>
        <v/>
      </c>
      <c r="M138" s="27">
        <f>(J138/D138-1)</f>
        <v/>
      </c>
      <c r="N138" t="n">
        <v>43.9</v>
      </c>
      <c r="O138" s="28">
        <f>(N138+F138)/2</f>
        <v/>
      </c>
      <c r="P138">
        <f>IF(O138="計算不能","計算不能",IF(O138&gt;=80,5,IF(O138&gt;=60,4,IF(O138&gt;=40,3,IF(O138&gt;=28,2,1)))))</f>
        <v/>
      </c>
      <c r="Q138" t="n">
        <v>773</v>
      </c>
      <c r="R138" t="n">
        <v>0</v>
      </c>
      <c r="S138" s="27">
        <f>R138/Q138</f>
        <v/>
      </c>
      <c r="T138" t="inlineStr">
        <is>
          <t>豊浦町は2045年までに人口が約28.5%減と明確な減少トレンド。高齢化の進行と世帯数の縮小により、中長期では賃貸需要の構造的縮小に警戒が必要。</t>
        </is>
      </c>
      <c r="U138" t="inlineStr">
        <is>
          <t>豊浦町は人口密度15人/km²と過疎的水準で、民間賃貸の新規需要は薄い。実需に裏付けられた格安戸建ての指値取得のみが現実的。 借家の空室率は約0%と需給は比較的引き締まっている。</t>
        </is>
      </c>
      <c r="V138" t="inlineStr">
        <is>
          <t>豊浦町（北海道）：冬期の豪雪・着雪荷重と路面凍結が最大の運営リスク。石狩・十勝・天塩川水系の河川氾濫、太平洋沿岸の津波・千島海溝地震、火山周辺の降灰に留意。</t>
        </is>
      </c>
    </row>
    <row r="139">
      <c r="A139" t="inlineStr">
        <is>
          <t>北海道</t>
        </is>
      </c>
      <c r="B139" t="inlineStr">
        <is>
          <t>壮瞥町</t>
        </is>
      </c>
      <c r="C139" t="n">
        <v>1312</v>
      </c>
      <c r="D139" t="n">
        <v>2495</v>
      </c>
      <c r="E139" s="6" t="n">
        <v>11.5</v>
      </c>
      <c r="F139" s="7" t="n">
        <v>11.2</v>
      </c>
      <c r="G139" t="n">
        <v>2743</v>
      </c>
      <c r="H139" t="n">
        <v>2495</v>
      </c>
      <c r="I139" t="n">
        <v>2300</v>
      </c>
      <c r="J139" t="n">
        <v>1744</v>
      </c>
      <c r="K139" s="27">
        <f>(H139/D139-1)</f>
        <v/>
      </c>
      <c r="L139" s="27">
        <f>(I139/D139-1)</f>
        <v/>
      </c>
      <c r="M139" s="27">
        <f>(J139/D139-1)</f>
        <v/>
      </c>
      <c r="N139" t="n">
        <v>41.6</v>
      </c>
      <c r="O139" s="28">
        <f>(N139+F139)/2</f>
        <v/>
      </c>
      <c r="P139">
        <f>IF(O139="計算不能","計算不能",IF(O139&gt;=80,5,IF(O139&gt;=60,4,IF(O139&gt;=40,3,IF(O139&gt;=28,2,1)))))</f>
        <v/>
      </c>
      <c r="Q139" t="n">
        <v>502</v>
      </c>
      <c r="R139" t="n">
        <v>0</v>
      </c>
      <c r="S139" s="27">
        <f>R139/Q139</f>
        <v/>
      </c>
      <c r="T139" t="inlineStr">
        <is>
          <t>壮瞥町は2045年までに人口が約30.1%減と急激な過疎・超高齢化が進行。若年労働世代の流出と自然減が重なり、賃貸事業としての持続性は極めて限定的。</t>
        </is>
      </c>
      <c r="U139" t="inlineStr">
        <is>
          <t>壮瞥町は人口密度12人/km²と過疎的水準で、民間賃貸の新規需要は薄い。実需に裏付けられた格安戸建ての指値取得のみが現実的。 借家の空室率は約0%と需給は比較的引き締まっている。</t>
        </is>
      </c>
      <c r="V139" t="inlineStr">
        <is>
          <t>壮瞥町（北海道）：冬期の豪雪・着雪荷重と路面凍結が最大の運営リスク。石狩・十勝・天塩川水系の河川氾濫、太平洋沿岸の津波・千島海溝地震、火山周辺の降灰に留意。</t>
        </is>
      </c>
    </row>
    <row r="140">
      <c r="A140" t="inlineStr">
        <is>
          <t>北海道</t>
        </is>
      </c>
      <c r="B140" t="inlineStr">
        <is>
          <t>白老町</t>
        </is>
      </c>
      <c r="C140" t="n">
        <v>7610</v>
      </c>
      <c r="D140" t="n">
        <v>14686</v>
      </c>
      <c r="E140" s="6" t="n">
        <v>34.3</v>
      </c>
      <c r="F140" s="7" t="n">
        <v>13.4</v>
      </c>
      <c r="G140" t="n">
        <v>16212</v>
      </c>
      <c r="H140" t="n">
        <v>14686</v>
      </c>
      <c r="I140" t="n">
        <v>13157</v>
      </c>
      <c r="J140" t="n">
        <v>8884</v>
      </c>
      <c r="K140" s="27">
        <f>(H140/D140-1)</f>
        <v/>
      </c>
      <c r="L140" s="27">
        <f>(I140/D140-1)</f>
        <v/>
      </c>
      <c r="M140" s="27">
        <f>(J140/D140-1)</f>
        <v/>
      </c>
      <c r="N140" t="n">
        <v>38.3</v>
      </c>
      <c r="O140" s="28">
        <f>(N140+F140)/2</f>
        <v/>
      </c>
      <c r="P140">
        <f>IF(O140="計算不能","計算不能",IF(O140&gt;=80,5,IF(O140&gt;=60,4,IF(O140&gt;=40,3,IF(O140&gt;=28,2,1)))))</f>
        <v/>
      </c>
      <c r="Q140" t="n">
        <v>2912</v>
      </c>
      <c r="R140" t="n">
        <v>750</v>
      </c>
      <c r="S140" s="27">
        <f>R140/Q140</f>
        <v/>
      </c>
      <c r="T140" t="inlineStr">
        <is>
          <t>白老町は2045年までに人口が約39.5%減と急激な過疎・超高齢化が進行。若年労働世代の流出と自然減が重なり、賃貸事業としての持続性は極めて限定的。</t>
        </is>
      </c>
      <c r="U140" t="inlineStr">
        <is>
          <t>白老町は人口密度34人/km²と過疎的水準で、民間賃貸の新規需要は薄い。実需に裏付けられた格安戸建ての指値取得のみが現実的。 借家の空室率は約26%と供給過多気味で、空室長期化リスクに要警戒。</t>
        </is>
      </c>
      <c r="V140" t="inlineStr">
        <is>
          <t>白老町（北海道）：冬期の豪雪・着雪荷重と路面凍結が最大の運営リスク。石狩・十勝・天塩川水系の河川氾濫、太平洋沿岸の津波・千島海溝地震、火山周辺の降灰に留意。</t>
        </is>
      </c>
    </row>
    <row r="141">
      <c r="A141" t="inlineStr">
        <is>
          <t>北海道</t>
        </is>
      </c>
      <c r="B141" t="inlineStr">
        <is>
          <t>厚真町</t>
        </is>
      </c>
      <c r="C141" t="n">
        <v>2101</v>
      </c>
      <c r="D141" t="n">
        <v>4159</v>
      </c>
      <c r="E141" s="6" t="n">
        <v>10.3</v>
      </c>
      <c r="F141" s="7" t="n">
        <v>11</v>
      </c>
      <c r="G141" t="n">
        <v>4432</v>
      </c>
      <c r="H141" t="n">
        <v>4159</v>
      </c>
      <c r="I141" t="n">
        <v>3871</v>
      </c>
      <c r="J141" t="n">
        <v>3136</v>
      </c>
      <c r="K141" s="27">
        <f>(H141/D141-1)</f>
        <v/>
      </c>
      <c r="L141" s="27">
        <f>(I141/D141-1)</f>
        <v/>
      </c>
      <c r="M141" s="27">
        <f>(J141/D141-1)</f>
        <v/>
      </c>
      <c r="N141" t="n">
        <v>46.6</v>
      </c>
      <c r="O141" s="28">
        <f>(N141+F141)/2</f>
        <v/>
      </c>
      <c r="P141">
        <f>IF(O141="計算不能","計算不能",IF(O141&gt;=80,5,IF(O141&gt;=60,4,IF(O141&gt;=40,3,IF(O141&gt;=28,2,1)))))</f>
        <v/>
      </c>
      <c r="Q141" t="n">
        <v>804</v>
      </c>
      <c r="R141" t="n">
        <v>0</v>
      </c>
      <c r="S141" s="27">
        <f>R141/Q141</f>
        <v/>
      </c>
      <c r="T141" t="inlineStr">
        <is>
          <t>厚真町は2045年までに人口が約24.6%減と明確な減少トレンド。高齢化の進行と世帯数の縮小により、中長期では賃貸需要の構造的縮小に警戒が必要。</t>
        </is>
      </c>
      <c r="U141" t="inlineStr">
        <is>
          <t>厚真町は人口密度10人/km²と過疎的水準で、民間賃貸の新規需要は薄い。実需に裏付けられた格安戸建ての指値取得のみが現実的。 借家の空室率は約0%と需給は比較的引き締まっている。</t>
        </is>
      </c>
      <c r="V141" t="inlineStr">
        <is>
          <t>厚真町（北海道）：冬期の豪雪・着雪荷重と路面凍結が最大の運営リスク。石狩・十勝・天塩川水系の河川氾濫、太平洋沿岸の津波・千島海溝地震、火山周辺の降灰に留意。</t>
        </is>
      </c>
    </row>
    <row r="142">
      <c r="A142" t="inlineStr">
        <is>
          <t>北海道</t>
        </is>
      </c>
      <c r="B142" t="inlineStr">
        <is>
          <t>洞爺湖町</t>
        </is>
      </c>
      <c r="C142" t="n">
        <v>4742</v>
      </c>
      <c r="D142" t="n">
        <v>7646</v>
      </c>
      <c r="E142" s="6" t="n">
        <v>43.3</v>
      </c>
      <c r="F142" s="7" t="n">
        <v>14.3</v>
      </c>
      <c r="G142" t="n">
        <v>8442</v>
      </c>
      <c r="H142" t="n">
        <v>7646</v>
      </c>
      <c r="I142" t="n">
        <v>6859</v>
      </c>
      <c r="J142" t="n">
        <v>4716</v>
      </c>
      <c r="K142" s="27">
        <f>(H142/D142-1)</f>
        <v/>
      </c>
      <c r="L142" s="27">
        <f>(I142/D142-1)</f>
        <v/>
      </c>
      <c r="M142" s="27">
        <f>(J142/D142-1)</f>
        <v/>
      </c>
      <c r="N142" t="n">
        <v>38.6</v>
      </c>
      <c r="O142" s="28">
        <f>(N142+F142)/2</f>
        <v/>
      </c>
      <c r="P142">
        <f>IF(O142="計算不能","計算不能",IF(O142&gt;=80,5,IF(O142&gt;=60,4,IF(O142&gt;=40,3,IF(O142&gt;=28,2,1)))))</f>
        <v/>
      </c>
      <c r="Q142" t="n">
        <v>1814</v>
      </c>
      <c r="R142" t="n">
        <v>0</v>
      </c>
      <c r="S142" s="27">
        <f>R142/Q142</f>
        <v/>
      </c>
      <c r="T142" t="inlineStr">
        <is>
          <t>洞爺湖町は2045年までに人口が約38.3%減と急激な過疎・超高齢化が進行。若年労働世代の流出と自然減が重なり、賃貸事業としての持続性は極めて限定的。</t>
        </is>
      </c>
      <c r="U142" t="inlineStr">
        <is>
          <t>洞爺湖町は人口密度43人/km²と過疎的水準で、民間賃貸の新規需要は薄い。実需に裏付けられた格安戸建ての指値取得のみが現実的。 借家の空室率は約0%と需給は比較的引き締まっている。</t>
        </is>
      </c>
      <c r="V142" t="inlineStr">
        <is>
          <t>洞爺湖町（北海道）：冬期の豪雪・着雪荷重と路面凍結が最大の運営リスク。石狩・十勝・天塩川水系の河川氾濫、太平洋沿岸の津波・千島海溝地震、火山周辺の降灰に留意。</t>
        </is>
      </c>
    </row>
    <row r="143">
      <c r="A143" t="inlineStr">
        <is>
          <t>北海道</t>
        </is>
      </c>
      <c r="B143" t="inlineStr">
        <is>
          <t>安平町</t>
        </is>
      </c>
      <c r="C143" t="n">
        <v>3982</v>
      </c>
      <c r="D143" t="n">
        <v>6748</v>
      </c>
      <c r="E143" s="6" t="n">
        <v>29.3</v>
      </c>
      <c r="F143" s="7" t="n">
        <v>12.9</v>
      </c>
      <c r="G143" t="n">
        <v>7340</v>
      </c>
      <c r="H143" t="n">
        <v>6748</v>
      </c>
      <c r="I143" t="n">
        <v>6174</v>
      </c>
      <c r="J143" t="n">
        <v>4660</v>
      </c>
      <c r="K143" s="27">
        <f>(H143/D143-1)</f>
        <v/>
      </c>
      <c r="L143" s="27">
        <f>(I143/D143-1)</f>
        <v/>
      </c>
      <c r="M143" s="27">
        <f>(J143/D143-1)</f>
        <v/>
      </c>
      <c r="N143" t="n">
        <v>42.1</v>
      </c>
      <c r="O143" s="28">
        <f>(N143+F143)/2</f>
        <v/>
      </c>
      <c r="P143">
        <f>IF(O143="計算不能","計算不能",IF(O143&gt;=80,5,IF(O143&gt;=60,4,IF(O143&gt;=40,3,IF(O143&gt;=28,2,1)))))</f>
        <v/>
      </c>
      <c r="Q143" t="n">
        <v>1523</v>
      </c>
      <c r="R143" t="n">
        <v>0</v>
      </c>
      <c r="S143" s="27">
        <f>R143/Q143</f>
        <v/>
      </c>
      <c r="T143" t="inlineStr">
        <is>
          <t>安平町は2045年までに人口が約30.9%減と急激な過疎・超高齢化が進行。若年労働世代の流出と自然減が重なり、賃貸事業としての持続性は極めて限定的。</t>
        </is>
      </c>
      <c r="U143" t="inlineStr">
        <is>
          <t>安平町は人口密度29人/km²と過疎的水準で、民間賃貸の新規需要は薄い。実需に裏付けられた格安戸建ての指値取得のみが現実的。 借家の空室率は約0%と需給は比較的引き締まっている。</t>
        </is>
      </c>
      <c r="V143" t="inlineStr">
        <is>
          <t>安平町（北海道）：冬期の豪雪・着雪荷重と路面凍結が最大の運営リスク。石狩・十勝・天塩川水系の河川氾濫、太平洋沿岸の津波・千島海溝地震、火山周辺の降灰に留意。</t>
        </is>
      </c>
    </row>
    <row r="144">
      <c r="A144" t="inlineStr">
        <is>
          <t>北海道</t>
        </is>
      </c>
      <c r="B144" t="inlineStr">
        <is>
          <t>むかわ町</t>
        </is>
      </c>
      <c r="C144" t="n">
        <v>4038</v>
      </c>
      <c r="D144" t="n">
        <v>6873</v>
      </c>
      <c r="E144" s="6" t="n">
        <v>10.1</v>
      </c>
      <c r="F144" s="7" t="n">
        <v>11</v>
      </c>
      <c r="G144" t="n">
        <v>7651</v>
      </c>
      <c r="H144" t="n">
        <v>6873</v>
      </c>
      <c r="I144" t="n">
        <v>6127</v>
      </c>
      <c r="J144" t="n">
        <v>4110</v>
      </c>
      <c r="K144" s="27">
        <f>(H144/D144-1)</f>
        <v/>
      </c>
      <c r="L144" s="27">
        <f>(I144/D144-1)</f>
        <v/>
      </c>
      <c r="M144" s="27">
        <f>(J144/D144-1)</f>
        <v/>
      </c>
      <c r="N144" t="n">
        <v>37.4</v>
      </c>
      <c r="O144" s="28">
        <f>(N144+F144)/2</f>
        <v/>
      </c>
      <c r="P144">
        <f>IF(O144="計算不能","計算不能",IF(O144&gt;=80,5,IF(O144&gt;=60,4,IF(O144&gt;=40,3,IF(O144&gt;=28,2,1)))))</f>
        <v/>
      </c>
      <c r="Q144" t="n">
        <v>1545</v>
      </c>
      <c r="R144" t="n">
        <v>0</v>
      </c>
      <c r="S144" s="27">
        <f>R144/Q144</f>
        <v/>
      </c>
      <c r="T144" t="inlineStr">
        <is>
          <t>むかわ町は2045年までに人口が約40.2%減と急激な過疎・超高齢化が進行。若年労働世代の流出と自然減が重なり、賃貸事業としての持続性は極めて限定的。</t>
        </is>
      </c>
      <c r="U144" t="inlineStr">
        <is>
          <t>むかわ町は人口密度10人/km²と過疎的水準で、民間賃貸の新規需要は薄い。実需に裏付けられた格安戸建ての指値取得のみが現実的。 借家の空室率は約0%と需給は比較的引き締まっている。</t>
        </is>
      </c>
      <c r="V144" t="inlineStr">
        <is>
          <t>むかわ町（北海道）：冬期の豪雪・着雪荷重と路面凍結が最大の運営リスク。石狩・十勝・天塩川水系の河川氾濫、太平洋沿岸の津波・千島海溝地震、火山周辺の降灰に留意。</t>
        </is>
      </c>
    </row>
    <row r="145">
      <c r="A145" t="inlineStr">
        <is>
          <t>北海道</t>
        </is>
      </c>
      <c r="B145" t="inlineStr">
        <is>
          <t>日高町</t>
        </is>
      </c>
      <c r="C145" t="n">
        <v>3356</v>
      </c>
      <c r="D145" t="n">
        <v>10245</v>
      </c>
      <c r="E145" s="6" t="n">
        <v>166.1</v>
      </c>
      <c r="F145" s="7" t="n">
        <v>26.6</v>
      </c>
      <c r="G145" t="n">
        <v>11279</v>
      </c>
      <c r="H145" t="n">
        <v>10245</v>
      </c>
      <c r="I145" t="n">
        <v>9277</v>
      </c>
      <c r="J145" t="n">
        <v>6686</v>
      </c>
      <c r="K145" s="27">
        <f>(H145/D145-1)</f>
        <v/>
      </c>
      <c r="L145" s="27">
        <f>(I145/D145-1)</f>
        <v/>
      </c>
      <c r="M145" s="27">
        <f>(J145/D145-1)</f>
        <v/>
      </c>
      <c r="N145" t="n">
        <v>39.9</v>
      </c>
      <c r="O145" s="28">
        <f>(N145+F145)/2</f>
        <v/>
      </c>
      <c r="P145">
        <f>IF(O145="計算不能","計算不能",IF(O145&gt;=80,5,IF(O145&gt;=60,4,IF(O145&gt;=40,3,IF(O145&gt;=28,2,1)))))</f>
        <v/>
      </c>
      <c r="Q145" t="n">
        <v>1284</v>
      </c>
      <c r="R145" t="n">
        <v>0</v>
      </c>
      <c r="S145" s="27">
        <f>R145/Q145</f>
        <v/>
      </c>
      <c r="T145" t="inlineStr">
        <is>
          <t>日高町は2045年までに人口が約34.7%減と急激な過疎・超高齢化が進行。若年労働世代の流出と自然減が重なり、賃貸事業としての持続性は極めて限定的。</t>
        </is>
      </c>
      <c r="U145" t="inlineStr">
        <is>
          <t>日高町は人口密度166人/km²と過疎的水準で、民間賃貸の新規需要は薄い。実需に裏付けられた格安戸建ての指値取得のみが現実的。 借家の空室率は約0%と需給は比較的引き締まっている。</t>
        </is>
      </c>
      <c r="V145" t="inlineStr">
        <is>
          <t>日高町（北海道）：冬期の豪雪・着雪荷重と路面凍結が最大の運営リスク。石狩・十勝・天塩川水系の河川氾濫、太平洋沿岸の津波・千島海溝地震、火山周辺の降灰に留意。</t>
        </is>
      </c>
    </row>
    <row r="146">
      <c r="A146" t="inlineStr">
        <is>
          <t>北海道</t>
        </is>
      </c>
      <c r="B146" t="inlineStr">
        <is>
          <t>平取町</t>
        </is>
      </c>
      <c r="C146" t="n">
        <v>2377</v>
      </c>
      <c r="D146" t="n">
        <v>4313</v>
      </c>
      <c r="E146" s="6" t="n">
        <v>5.8</v>
      </c>
      <c r="F146" s="7" t="n">
        <v>10.6</v>
      </c>
      <c r="G146" t="n">
        <v>4776</v>
      </c>
      <c r="H146" t="n">
        <v>4313</v>
      </c>
      <c r="I146" t="n">
        <v>3879</v>
      </c>
      <c r="J146" t="n">
        <v>2739</v>
      </c>
      <c r="K146" s="27">
        <f>(H146/D146-1)</f>
        <v/>
      </c>
      <c r="L146" s="27">
        <f>(I146/D146-1)</f>
        <v/>
      </c>
      <c r="M146" s="27">
        <f>(J146/D146-1)</f>
        <v/>
      </c>
      <c r="N146" t="n">
        <v>38.9</v>
      </c>
      <c r="O146" s="28">
        <f>(N146+F146)/2</f>
        <v/>
      </c>
      <c r="P146">
        <f>IF(O146="計算不能","計算不能",IF(O146&gt;=80,5,IF(O146&gt;=60,4,IF(O146&gt;=40,3,IF(O146&gt;=28,2,1)))))</f>
        <v/>
      </c>
      <c r="Q146" t="n">
        <v>909</v>
      </c>
      <c r="R146" t="n">
        <v>0</v>
      </c>
      <c r="S146" s="27">
        <f>R146/Q146</f>
        <v/>
      </c>
      <c r="T146" t="inlineStr">
        <is>
          <t>平取町は2045年までに人口が約36.5%減と急激な過疎・超高齢化が進行。若年労働世代の流出と自然減が重なり、賃貸事業としての持続性は極めて限定的。</t>
        </is>
      </c>
      <c r="U146" t="inlineStr">
        <is>
          <t>平取町は人口密度6人/km²と過疎的水準で、民間賃貸の新規需要は薄い。実需に裏付けられた格安戸建ての指値取得のみが現実的。 借家の空室率は約0%と需給は比較的引き締まっている。</t>
        </is>
      </c>
      <c r="V146" t="inlineStr">
        <is>
          <t>平取町（北海道）：冬期の豪雪・着雪荷重と路面凍結が最大の運営リスク。石狩・十勝・天塩川水系の河川氾濫、太平洋沿岸の津波・千島海溝地震、火山周辺の降灰に留意。</t>
        </is>
      </c>
    </row>
    <row r="147">
      <c r="A147" t="inlineStr">
        <is>
          <t>北海道</t>
        </is>
      </c>
      <c r="B147" t="inlineStr">
        <is>
          <t>新冠町</t>
        </is>
      </c>
      <c r="C147" t="n">
        <v>2797</v>
      </c>
      <c r="D147" t="n">
        <v>4993</v>
      </c>
      <c r="E147" s="6" t="n">
        <v>8.1</v>
      </c>
      <c r="F147" s="7" t="n">
        <v>10.8</v>
      </c>
      <c r="G147" t="n">
        <v>5309</v>
      </c>
      <c r="H147" t="n">
        <v>4993</v>
      </c>
      <c r="I147" t="n">
        <v>4747</v>
      </c>
      <c r="J147" t="n">
        <v>3988</v>
      </c>
      <c r="K147" s="27">
        <f>(H147/D147-1)</f>
        <v/>
      </c>
      <c r="L147" s="27">
        <f>(I147/D147-1)</f>
        <v/>
      </c>
      <c r="M147" s="27">
        <f>(J147/D147-1)</f>
        <v/>
      </c>
      <c r="N147" t="n">
        <v>50.4</v>
      </c>
      <c r="O147" s="28">
        <f>(N147+F147)/2</f>
        <v/>
      </c>
      <c r="P147">
        <f>IF(O147="計算不能","計算不能",IF(O147&gt;=80,5,IF(O147&gt;=60,4,IF(O147&gt;=40,3,IF(O147&gt;=28,2,1)))))</f>
        <v/>
      </c>
      <c r="Q147" t="n">
        <v>1070</v>
      </c>
      <c r="R147" t="n">
        <v>0</v>
      </c>
      <c r="S147" s="27">
        <f>R147/Q147</f>
        <v/>
      </c>
      <c r="T147" t="inlineStr">
        <is>
          <t>新冠町は2045年までに人口が約20.1%減と明確な減少トレンド。高齢化の進行と世帯数の縮小により、中長期では賃貸需要の構造的縮小に警戒が必要。</t>
        </is>
      </c>
      <c r="U147" t="inlineStr">
        <is>
          <t>新冠町は人口密度8人/km²と過疎的水準で、民間賃貸の新規需要は薄い。実需に裏付けられた格安戸建ての指値取得のみが現実的。 借家の空室率は約0%と需給は比較的引き締まっている。</t>
        </is>
      </c>
      <c r="V147" t="inlineStr">
        <is>
          <t>新冠町（北海道）：冬期の豪雪・着雪荷重と路面凍結が最大の運営リスク。石狩・十勝・天塩川水系の河川氾濫、太平洋沿岸の津波・千島海溝地震、火山周辺の降灰に留意。</t>
        </is>
      </c>
    </row>
    <row r="148">
      <c r="A148" t="inlineStr">
        <is>
          <t>北海道</t>
        </is>
      </c>
      <c r="B148" t="inlineStr">
        <is>
          <t>浦河町</t>
        </is>
      </c>
      <c r="C148" t="n">
        <v>6642</v>
      </c>
      <c r="D148" t="n">
        <v>11049</v>
      </c>
      <c r="E148" s="6" t="n">
        <v>16</v>
      </c>
      <c r="F148" s="7" t="n">
        <v>11.6</v>
      </c>
      <c r="G148" t="n">
        <v>12074</v>
      </c>
      <c r="H148" t="n">
        <v>11049</v>
      </c>
      <c r="I148" t="n">
        <v>10067</v>
      </c>
      <c r="J148" t="n">
        <v>7354</v>
      </c>
      <c r="K148" s="27">
        <f>(H148/D148-1)</f>
        <v/>
      </c>
      <c r="L148" s="27">
        <f>(I148/D148-1)</f>
        <v/>
      </c>
      <c r="M148" s="27">
        <f>(J148/D148-1)</f>
        <v/>
      </c>
      <c r="N148" t="n">
        <v>41</v>
      </c>
      <c r="O148" s="28">
        <f>(N148+F148)/2</f>
        <v/>
      </c>
      <c r="P148">
        <f>IF(O148="計算不能","計算不能",IF(O148&gt;=80,5,IF(O148&gt;=60,4,IF(O148&gt;=40,3,IF(O148&gt;=28,2,1)))))</f>
        <v/>
      </c>
      <c r="Q148" t="n">
        <v>2541</v>
      </c>
      <c r="R148" t="n">
        <v>0</v>
      </c>
      <c r="S148" s="27">
        <f>R148/Q148</f>
        <v/>
      </c>
      <c r="T148" t="inlineStr">
        <is>
          <t>浦河町は2045年までに人口が約33.4%減と急激な過疎・超高齢化が進行。若年労働世代の流出と自然減が重なり、賃貸事業としての持続性は極めて限定的。</t>
        </is>
      </c>
      <c r="U148" t="inlineStr">
        <is>
          <t>浦河町は人口密度16人/km²と過疎的水準で、民間賃貸の新規需要は薄い。実需に裏付けられた格安戸建ての指値取得のみが現実的。 借家の空室率は約0%と需給は比較的引き締まっている。</t>
        </is>
      </c>
      <c r="V148" t="inlineStr">
        <is>
          <t>浦河町（北海道）：冬期の豪雪・着雪荷重と路面凍結が最大の運営リスク。石狩・十勝・天塩川水系の河川氾濫、太平洋沿岸の津波・千島海溝地震、火山周辺の降灰に留意。</t>
        </is>
      </c>
    </row>
    <row r="149">
      <c r="A149" t="inlineStr">
        <is>
          <t>北海道</t>
        </is>
      </c>
      <c r="B149" t="inlineStr">
        <is>
          <t>様似町</t>
        </is>
      </c>
      <c r="C149" t="n">
        <v>2031</v>
      </c>
      <c r="D149" t="n">
        <v>3562</v>
      </c>
      <c r="E149" s="6" t="n">
        <v>10.1</v>
      </c>
      <c r="F149" s="7" t="n">
        <v>11</v>
      </c>
      <c r="G149" t="n">
        <v>4043</v>
      </c>
      <c r="H149" t="n">
        <v>3562</v>
      </c>
      <c r="I149" t="n">
        <v>3137</v>
      </c>
      <c r="J149" t="n">
        <v>2014</v>
      </c>
      <c r="K149" s="27">
        <f>(H149/D149-1)</f>
        <v/>
      </c>
      <c r="L149" s="27">
        <f>(I149/D149-1)</f>
        <v/>
      </c>
      <c r="M149" s="27">
        <f>(J149/D149-1)</f>
        <v/>
      </c>
      <c r="N149" t="n">
        <v>34.9</v>
      </c>
      <c r="O149" s="28">
        <f>(N149+F149)/2</f>
        <v/>
      </c>
      <c r="P149">
        <f>IF(O149="計算不能","計算不能",IF(O149&gt;=80,5,IF(O149&gt;=60,4,IF(O149&gt;=40,3,IF(O149&gt;=28,2,1)))))</f>
        <v/>
      </c>
      <c r="Q149" t="n">
        <v>777</v>
      </c>
      <c r="R149" t="n">
        <v>0</v>
      </c>
      <c r="S149" s="27">
        <f>R149/Q149</f>
        <v/>
      </c>
      <c r="T149" t="inlineStr">
        <is>
          <t>様似町は2045年までに人口が約43.5%減と急激な過疎・超高齢化が進行。若年労働世代の流出と自然減が重なり、賃貸事業としての持続性は極めて限定的。</t>
        </is>
      </c>
      <c r="U149" t="inlineStr">
        <is>
          <t>様似町は人口密度10人/km²と過疎的水準で、民間賃貸の新規需要は薄い。実需に裏付けられた格安戸建ての指値取得のみが現実的。 借家の空室率は約0%と需給は比較的引き締まっている。</t>
        </is>
      </c>
      <c r="V149" t="inlineStr">
        <is>
          <t>様似町（北海道）：冬期の豪雪・着雪荷重と路面凍結が最大の運営リスク。石狩・十勝・天塩川水系の河川氾濫、太平洋沿岸の津波・千島海溝地震、火山周辺の降灰に留意。</t>
        </is>
      </c>
    </row>
    <row r="150">
      <c r="A150" t="inlineStr">
        <is>
          <t>北海道</t>
        </is>
      </c>
      <c r="B150" t="inlineStr">
        <is>
          <t>えりも町</t>
        </is>
      </c>
      <c r="C150" t="n">
        <v>1989</v>
      </c>
      <c r="D150" t="n">
        <v>3918</v>
      </c>
      <c r="E150" s="6" t="n">
        <v>13.2</v>
      </c>
      <c r="F150" s="7" t="n">
        <v>11.3</v>
      </c>
      <c r="G150" t="n">
        <v>4374</v>
      </c>
      <c r="H150" t="n">
        <v>3918</v>
      </c>
      <c r="I150" t="n">
        <v>3555</v>
      </c>
      <c r="J150" t="n">
        <v>2534</v>
      </c>
      <c r="K150" s="27">
        <f>(H150/D150-1)</f>
        <v/>
      </c>
      <c r="L150" s="27">
        <f>(I150/D150-1)</f>
        <v/>
      </c>
      <c r="M150" s="27">
        <f>(J150/D150-1)</f>
        <v/>
      </c>
      <c r="N150" t="n">
        <v>38.8</v>
      </c>
      <c r="O150" s="28">
        <f>(N150+F150)/2</f>
        <v/>
      </c>
      <c r="P150">
        <f>IF(O150="計算不能","計算不能",IF(O150&gt;=80,5,IF(O150&gt;=60,4,IF(O150&gt;=40,3,IF(O150&gt;=28,2,1)))))</f>
        <v/>
      </c>
      <c r="Q150" t="n">
        <v>761</v>
      </c>
      <c r="R150" t="n">
        <v>0</v>
      </c>
      <c r="S150" s="27">
        <f>R150/Q150</f>
        <v/>
      </c>
      <c r="T150" t="inlineStr">
        <is>
          <t>えりも町は2045年までに人口が約35.3%減と急激な過疎・超高齢化が進行。若年労働世代の流出と自然減が重なり、賃貸事業としての持続性は極めて限定的。</t>
        </is>
      </c>
      <c r="U150" t="inlineStr">
        <is>
          <t>えりも町は人口密度13人/km²と過疎的水準で、民間賃貸の新規需要は薄い。実需に裏付けられた格安戸建ての指値取得のみが現実的。 借家の空室率は約0%と需給は比較的引き締まっている。</t>
        </is>
      </c>
      <c r="V150" t="inlineStr">
        <is>
          <t>えりも町（北海道）：冬期の豪雪・着雪荷重と路面凍結が最大の運営リスク。石狩・十勝・天塩川水系の河川氾濫、太平洋沿岸の津波・千島海溝地震、火山周辺の降灰に留意。</t>
        </is>
      </c>
    </row>
    <row r="151">
      <c r="A151" t="inlineStr">
        <is>
          <t>北海道</t>
        </is>
      </c>
      <c r="B151" t="inlineStr">
        <is>
          <t>新ひだか町</t>
        </is>
      </c>
      <c r="C151" t="n">
        <v>10310</v>
      </c>
      <c r="D151" t="n">
        <v>19789</v>
      </c>
      <c r="E151" s="6" t="n">
        <v>17.1</v>
      </c>
      <c r="F151" s="7" t="n">
        <v>11.7</v>
      </c>
      <c r="G151" t="n">
        <v>21517</v>
      </c>
      <c r="H151" t="n">
        <v>19789</v>
      </c>
      <c r="I151" t="n">
        <v>18069</v>
      </c>
      <c r="J151" t="n">
        <v>13367</v>
      </c>
      <c r="K151" s="27">
        <f>(H151/D151-1)</f>
        <v/>
      </c>
      <c r="L151" s="27">
        <f>(I151/D151-1)</f>
        <v/>
      </c>
      <c r="M151" s="27">
        <f>(J151/D151-1)</f>
        <v/>
      </c>
      <c r="N151" t="n">
        <v>41.7</v>
      </c>
      <c r="O151" s="28">
        <f>(N151+F151)/2</f>
        <v/>
      </c>
      <c r="P151">
        <f>IF(O151="計算不能","計算不能",IF(O151&gt;=80,5,IF(O151&gt;=60,4,IF(O151&gt;=40,3,IF(O151&gt;=28,2,1)))))</f>
        <v/>
      </c>
      <c r="Q151" t="n">
        <v>3945</v>
      </c>
      <c r="R151" t="n">
        <v>1350</v>
      </c>
      <c r="S151" s="27">
        <f>R151/Q151</f>
        <v/>
      </c>
      <c r="T151" t="inlineStr">
        <is>
          <t>新ひだか町は2045年までに人口が約32.5%減と急激な過疎・超高齢化が進行。若年労働世代の流出と自然減が重なり、賃貸事業としての持続性は極めて限定的。</t>
        </is>
      </c>
      <c r="U151" t="inlineStr">
        <is>
          <t>新ひだか町は人口密度17人/km²と過疎的水準で、民間賃貸の新規需要は薄い。実需に裏付けられた格安戸建ての指値取得のみが現実的。 借家の空室率は約34%と供給過多気味で、空室長期化リスクに要警戒。</t>
        </is>
      </c>
      <c r="V151" t="inlineStr">
        <is>
          <t>新ひだか町（北海道）：冬期の豪雪・着雪荷重と路面凍結が最大の運営リスク。石狩・十勝・天塩川水系の河川氾濫、太平洋沿岸の津波・千島海溝地震、火山周辺の降灰に留意。</t>
        </is>
      </c>
    </row>
    <row r="152">
      <c r="A152" t="inlineStr">
        <is>
          <t>北海道</t>
        </is>
      </c>
      <c r="B152" t="inlineStr">
        <is>
          <t>音更町</t>
        </is>
      </c>
      <c r="C152" t="n">
        <v>18430</v>
      </c>
      <c r="D152" t="n">
        <v>41130</v>
      </c>
      <c r="E152" s="6" t="n">
        <v>90.09999999999999</v>
      </c>
      <c r="F152" s="7" t="n">
        <v>19</v>
      </c>
      <c r="G152" t="n">
        <v>43576</v>
      </c>
      <c r="H152" t="n">
        <v>41130</v>
      </c>
      <c r="I152" t="n">
        <v>39901</v>
      </c>
      <c r="J152" t="n">
        <v>35521</v>
      </c>
      <c r="K152" s="27">
        <f>(H152/D152-1)</f>
        <v/>
      </c>
      <c r="L152" s="27">
        <f>(I152/D152-1)</f>
        <v/>
      </c>
      <c r="M152" s="27">
        <f>(J152/D152-1)</f>
        <v/>
      </c>
      <c r="N152" t="n">
        <v>55.4</v>
      </c>
      <c r="O152" s="28">
        <f>(N152+F152)/2</f>
        <v/>
      </c>
      <c r="P152">
        <f>IF(O152="計算不能","計算不能",IF(O152&gt;=80,5,IF(O152&gt;=60,4,IF(O152&gt;=40,3,IF(O152&gt;=28,2,1)))))</f>
        <v/>
      </c>
      <c r="Q152" t="n">
        <v>7052</v>
      </c>
      <c r="R152" t="n">
        <v>1130</v>
      </c>
      <c r="S152" s="27">
        <f>R152/Q152</f>
        <v/>
      </c>
      <c r="T152" t="inlineStr">
        <is>
          <t>音更町は2045年までに人口が約13.6%減と緩やかな減少局面。若年層の都市部流出と高齢化が進むが、当面の賃貸稼働は一定程度維持される見通し。</t>
        </is>
      </c>
      <c r="U152" t="inlineStr">
        <is>
          <t>音更町は人口密度90人/km²と過疎的水準で、民間賃貸の新規需要は薄い。実需に裏付けられた格安戸建ての指値取得のみが現実的。 借家の空室率は約16%と需給は比較的引き締まっている。</t>
        </is>
      </c>
      <c r="V152" t="inlineStr">
        <is>
          <t>音更町（北海道）：冬期の豪雪・着雪荷重と路面凍結が最大の運営リスク。石狩・十勝・天塩川水系の河川氾濫、太平洋沿岸の津波・千島海溝地震、火山周辺の降灰に留意。</t>
        </is>
      </c>
    </row>
    <row r="153">
      <c r="A153" t="inlineStr">
        <is>
          <t>北海道</t>
        </is>
      </c>
      <c r="B153" t="inlineStr">
        <is>
          <t>士幌町</t>
        </is>
      </c>
      <c r="C153" t="n">
        <v>2737</v>
      </c>
      <c r="D153" t="n">
        <v>5471</v>
      </c>
      <c r="E153" s="6" t="n">
        <v>20.8</v>
      </c>
      <c r="F153" s="7" t="n">
        <v>12.1</v>
      </c>
      <c r="G153" t="n">
        <v>5848</v>
      </c>
      <c r="H153" t="n">
        <v>5471</v>
      </c>
      <c r="I153" t="n">
        <v>5111</v>
      </c>
      <c r="J153" t="n">
        <v>4081</v>
      </c>
      <c r="K153" s="27">
        <f>(H153/D153-1)</f>
        <v/>
      </c>
      <c r="L153" s="27">
        <f>(I153/D153-1)</f>
        <v/>
      </c>
      <c r="M153" s="27">
        <f>(J153/D153-1)</f>
        <v/>
      </c>
      <c r="N153" t="n">
        <v>45.9</v>
      </c>
      <c r="O153" s="28">
        <f>(N153+F153)/2</f>
        <v/>
      </c>
      <c r="P153">
        <f>IF(O153="計算不能","計算不能",IF(O153&gt;=80,5,IF(O153&gt;=60,4,IF(O153&gt;=40,3,IF(O153&gt;=28,2,1)))))</f>
        <v/>
      </c>
      <c r="Q153" t="n">
        <v>1047</v>
      </c>
      <c r="R153" t="n">
        <v>0</v>
      </c>
      <c r="S153" s="27">
        <f>R153/Q153</f>
        <v/>
      </c>
      <c r="T153" t="inlineStr">
        <is>
          <t>士幌町は2045年までに人口が約25.4%減と明確な減少トレンド。高齢化の進行と世帯数の縮小により、中長期では賃貸需要の構造的縮小に警戒が必要。</t>
        </is>
      </c>
      <c r="U153" t="inlineStr">
        <is>
          <t>士幌町は人口密度21人/km²と過疎的水準で、民間賃貸の新規需要は薄い。実需に裏付けられた格安戸建ての指値取得のみが現実的。 借家の空室率は約0%と需給は比較的引き締まっている。</t>
        </is>
      </c>
      <c r="V153" t="inlineStr">
        <is>
          <t>士幌町（北海道）：冬期の豪雪・着雪荷重と路面凍結が最大の運営リスク。石狩・十勝・天塩川水系の河川氾濫、太平洋沿岸の津波・千島海溝地震、火山周辺の降灰に留意。</t>
        </is>
      </c>
    </row>
    <row r="154">
      <c r="A154" t="inlineStr">
        <is>
          <t>北海道</t>
        </is>
      </c>
      <c r="B154" t="inlineStr">
        <is>
          <t>上士幌町</t>
        </is>
      </c>
      <c r="C154" t="n">
        <v>2587</v>
      </c>
      <c r="D154" t="n">
        <v>4519</v>
      </c>
      <c r="E154" s="6" t="n">
        <v>6.4</v>
      </c>
      <c r="F154" s="7" t="n">
        <v>10.6</v>
      </c>
      <c r="G154" t="n">
        <v>4778</v>
      </c>
      <c r="H154" t="n">
        <v>4519</v>
      </c>
      <c r="I154" t="n">
        <v>4289</v>
      </c>
      <c r="J154" t="n">
        <v>3718</v>
      </c>
      <c r="K154" s="27">
        <f>(H154/D154-1)</f>
        <v/>
      </c>
      <c r="L154" s="27">
        <f>(I154/D154-1)</f>
        <v/>
      </c>
      <c r="M154" s="27">
        <f>(J154/D154-1)</f>
        <v/>
      </c>
      <c r="N154" t="n">
        <v>52.4</v>
      </c>
      <c r="O154" s="28">
        <f>(N154+F154)/2</f>
        <v/>
      </c>
      <c r="P154">
        <f>IF(O154="計算不能","計算不能",IF(O154&gt;=80,5,IF(O154&gt;=60,4,IF(O154&gt;=40,3,IF(O154&gt;=28,2,1)))))</f>
        <v/>
      </c>
      <c r="Q154" t="n">
        <v>989</v>
      </c>
      <c r="R154" t="n">
        <v>0</v>
      </c>
      <c r="S154" s="27">
        <f>R154/Q154</f>
        <v/>
      </c>
      <c r="T154" t="inlineStr">
        <is>
          <t>上士幌町は2045年までに人口が約17.7%減と明確な減少トレンド。高齢化の進行と世帯数の縮小により、中長期では賃貸需要の構造的縮小に警戒が必要。</t>
        </is>
      </c>
      <c r="U154" t="inlineStr">
        <is>
          <t>上士幌町は人口密度6人/km²と過疎的水準で、民間賃貸の新規需要は薄い。実需に裏付けられた格安戸建ての指値取得のみが現実的。 借家の空室率は約0%と需給は比較的引き締まっている。</t>
        </is>
      </c>
      <c r="V154" t="inlineStr">
        <is>
          <t>上士幌町（北海道）：冬期の豪雪・着雪荷重と路面凍結が最大の運営リスク。石狩・十勝・天塩川水系の河川氾濫、太平洋沿岸の津波・千島海溝地震、火山周辺の降灰に留意。</t>
        </is>
      </c>
    </row>
    <row r="155">
      <c r="A155" t="inlineStr">
        <is>
          <t>北海道</t>
        </is>
      </c>
      <c r="B155" t="inlineStr">
        <is>
          <t>鹿追町</t>
        </is>
      </c>
      <c r="C155" t="n">
        <v>2460</v>
      </c>
      <c r="D155" t="n">
        <v>4975</v>
      </c>
      <c r="E155" s="6" t="n">
        <v>12.1</v>
      </c>
      <c r="F155" s="7" t="n">
        <v>11.2</v>
      </c>
      <c r="G155" t="n">
        <v>5266</v>
      </c>
      <c r="H155" t="n">
        <v>4975</v>
      </c>
      <c r="I155" t="n">
        <v>4716</v>
      </c>
      <c r="J155" t="n">
        <v>4036</v>
      </c>
      <c r="K155" s="27">
        <f>(H155/D155-1)</f>
        <v/>
      </c>
      <c r="L155" s="27">
        <f>(I155/D155-1)</f>
        <v/>
      </c>
      <c r="M155" s="27">
        <f>(J155/D155-1)</f>
        <v/>
      </c>
      <c r="N155" t="n">
        <v>51.6</v>
      </c>
      <c r="O155" s="28">
        <f>(N155+F155)/2</f>
        <v/>
      </c>
      <c r="P155">
        <f>IF(O155="計算不能","計算不能",IF(O155&gt;=80,5,IF(O155&gt;=60,4,IF(O155&gt;=40,3,IF(O155&gt;=28,2,1)))))</f>
        <v/>
      </c>
      <c r="Q155" t="n">
        <v>941</v>
      </c>
      <c r="R155" t="n">
        <v>0</v>
      </c>
      <c r="S155" s="27">
        <f>R155/Q155</f>
        <v/>
      </c>
      <c r="T155" t="inlineStr">
        <is>
          <t>鹿追町は2045年までに人口が約18.9%減と明確な減少トレンド。高齢化の進行と世帯数の縮小により、中長期では賃貸需要の構造的縮小に警戒が必要。</t>
        </is>
      </c>
      <c r="U155" t="inlineStr">
        <is>
          <t>鹿追町は人口密度12人/km²と過疎的水準で、民間賃貸の新規需要は薄い。実需に裏付けられた格安戸建ての指値取得のみが現実的。 借家の空室率は約0%と需給は比較的引き締まっている。</t>
        </is>
      </c>
      <c r="V155" t="inlineStr">
        <is>
          <t>鹿追町（北海道）：冬期の豪雪・着雪荷重と路面凍結が最大の運営リスク。石狩・十勝・天塩川水系の河川氾濫、太平洋沿岸の津波・千島海溝地震、火山周辺の降灰に留意。</t>
        </is>
      </c>
    </row>
    <row r="156">
      <c r="A156" t="inlineStr">
        <is>
          <t>北海道</t>
        </is>
      </c>
      <c r="B156" t="inlineStr">
        <is>
          <t>新得町</t>
        </is>
      </c>
      <c r="C156" t="n">
        <v>3294</v>
      </c>
      <c r="D156" t="n">
        <v>5353</v>
      </c>
      <c r="E156" s="6" t="n">
        <v>4.9</v>
      </c>
      <c r="F156" s="7" t="n">
        <v>10.5</v>
      </c>
      <c r="G156" t="n">
        <v>5817</v>
      </c>
      <c r="H156" t="n">
        <v>5353</v>
      </c>
      <c r="I156" t="n">
        <v>4928</v>
      </c>
      <c r="J156" t="n">
        <v>3768</v>
      </c>
      <c r="K156" s="27">
        <f>(H156/D156-1)</f>
        <v/>
      </c>
      <c r="L156" s="27">
        <f>(I156/D156-1)</f>
        <v/>
      </c>
      <c r="M156" s="27">
        <f>(J156/D156-1)</f>
        <v/>
      </c>
      <c r="N156" t="n">
        <v>42.7</v>
      </c>
      <c r="O156" s="28">
        <f>(N156+F156)/2</f>
        <v/>
      </c>
      <c r="P156">
        <f>IF(O156="計算不能","計算不能",IF(O156&gt;=80,5,IF(O156&gt;=60,4,IF(O156&gt;=40,3,IF(O156&gt;=28,2,1)))))</f>
        <v/>
      </c>
      <c r="Q156" t="n">
        <v>1260</v>
      </c>
      <c r="R156" t="n">
        <v>0</v>
      </c>
      <c r="S156" s="27">
        <f>R156/Q156</f>
        <v/>
      </c>
      <c r="T156" t="inlineStr">
        <is>
          <t>新得町は2045年までに人口が約29.6%減と明確な減少トレンド。高齢化の進行と世帯数の縮小により、中長期では賃貸需要の構造的縮小に警戒が必要。</t>
        </is>
      </c>
      <c r="U156" t="inlineStr">
        <is>
          <t>新得町は人口密度5人/km²と過疎的水準で、民間賃貸の新規需要は薄い。実需に裏付けられた格安戸建ての指値取得のみが現実的。 借家の空室率は約0%と需給は比較的引き締まっている。</t>
        </is>
      </c>
      <c r="V156" t="inlineStr">
        <is>
          <t>新得町（北海道）：冬期の豪雪・着雪荷重と路面凍結が最大の運営リスク。石狩・十勝・天塩川水系の河川氾濫、太平洋沿岸の津波・千島海溝地震、火山周辺の降灰に留意。</t>
        </is>
      </c>
    </row>
    <row r="157">
      <c r="A157" t="inlineStr">
        <is>
          <t>北海道</t>
        </is>
      </c>
      <c r="B157" t="inlineStr">
        <is>
          <t>清水町</t>
        </is>
      </c>
      <c r="C157" t="n">
        <v>14652</v>
      </c>
      <c r="D157" t="n">
        <v>8480</v>
      </c>
      <c r="E157" s="6" t="n">
        <v>3529.4</v>
      </c>
      <c r="F157" s="7" t="n">
        <v>80</v>
      </c>
      <c r="G157" t="n">
        <v>9094</v>
      </c>
      <c r="H157" t="n">
        <v>8480</v>
      </c>
      <c r="I157" t="n">
        <v>7880</v>
      </c>
      <c r="J157" t="n">
        <v>6200</v>
      </c>
      <c r="K157" s="27">
        <f>(H157/D157-1)</f>
        <v/>
      </c>
      <c r="L157" s="27">
        <f>(I157/D157-1)</f>
        <v/>
      </c>
      <c r="M157" s="27">
        <f>(J157/D157-1)</f>
        <v/>
      </c>
      <c r="N157" t="n">
        <v>44.7</v>
      </c>
      <c r="O157" s="28">
        <f>(N157+F157)/2</f>
        <v/>
      </c>
      <c r="P157">
        <f>IF(O157="計算不能","計算不能",IF(O157&gt;=80,5,IF(O157&gt;=60,4,IF(O157&gt;=40,3,IF(O157&gt;=28,2,1)))))</f>
        <v/>
      </c>
      <c r="Q157" t="n">
        <v>5607</v>
      </c>
      <c r="R157" t="n">
        <v>0</v>
      </c>
      <c r="S157" s="27">
        <f>R157/Q157</f>
        <v/>
      </c>
      <c r="T157" t="inlineStr">
        <is>
          <t>清水町は2045年までに人口が約26.9%減と明確な減少トレンド。高齢化の進行と世帯数の縮小により、中長期では賃貸需要の構造的縮小に警戒が必要。</t>
        </is>
      </c>
      <c r="U157" t="inlineStr">
        <is>
          <t>清水町は人口密度3,529人/km²の都市部で、駅周辺や生活利便施設沿いに安定した賃貸需要がある。適切な家賃設定で高稼働を期待できる。 借家の空室率は約0%と需給は比較的引き締まっている。</t>
        </is>
      </c>
      <c r="V157" t="inlineStr">
        <is>
          <t>清水町（北海道）：冬期の豪雪・着雪荷重と路面凍結が最大の運営リスク。石狩・十勝・天塩川水系の河川氾濫、太平洋沿岸の津波・千島海溝地震、火山周辺の降灰に留意。</t>
        </is>
      </c>
    </row>
    <row r="158">
      <c r="A158" t="inlineStr">
        <is>
          <t>北海道</t>
        </is>
      </c>
      <c r="B158" t="inlineStr">
        <is>
          <t>芽室町</t>
        </is>
      </c>
      <c r="C158" t="n">
        <v>7660</v>
      </c>
      <c r="D158" t="n">
        <v>17357</v>
      </c>
      <c r="E158" s="6" t="n">
        <v>33.6</v>
      </c>
      <c r="F158" s="7" t="n">
        <v>13.4</v>
      </c>
      <c r="G158" t="n">
        <v>18048</v>
      </c>
      <c r="H158" t="n">
        <v>17357</v>
      </c>
      <c r="I158" t="n">
        <v>16624</v>
      </c>
      <c r="J158" t="n">
        <v>14494</v>
      </c>
      <c r="K158" s="27">
        <f>(H158/D158-1)</f>
        <v/>
      </c>
      <c r="L158" s="27">
        <f>(I158/D158-1)</f>
        <v/>
      </c>
      <c r="M158" s="27">
        <f>(J158/D158-1)</f>
        <v/>
      </c>
      <c r="N158" t="n">
        <v>56.6</v>
      </c>
      <c r="O158" s="28">
        <f>(N158+F158)/2</f>
        <v/>
      </c>
      <c r="P158">
        <f>IF(O158="計算不能","計算不能",IF(O158&gt;=80,5,IF(O158&gt;=60,4,IF(O158&gt;=40,3,IF(O158&gt;=28,2,1)))))</f>
        <v/>
      </c>
      <c r="Q158" t="n">
        <v>2931</v>
      </c>
      <c r="R158" t="n">
        <v>570</v>
      </c>
      <c r="S158" s="27">
        <f>R158/Q158</f>
        <v/>
      </c>
      <c r="T158" t="inlineStr">
        <is>
          <t>芽室町は2045年までに人口が約16.5%減と明確な減少トレンド。高齢化の進行と世帯数の縮小により、中長期では賃貸需要の構造的縮小に警戒が必要。</t>
        </is>
      </c>
      <c r="U158" t="inlineStr">
        <is>
          <t>芽室町は人口密度34人/km²と過疎的水準で、民間賃貸の新規需要は薄い。実需に裏付けられた格安戸建ての指値取得のみが現実的。 借家の空室率は約19%とやや高めで、競合との差別化が必要。</t>
        </is>
      </c>
      <c r="V158" t="inlineStr">
        <is>
          <t>芽室町（北海道）：冬期の豪雪・着雪荷重と路面凍結が最大の運営リスク。石狩・十勝・天塩川水系の河川氾濫、太平洋沿岸の津波・千島海溝地震、火山周辺の降灰に留意。</t>
        </is>
      </c>
    </row>
    <row r="159">
      <c r="A159" t="inlineStr">
        <is>
          <t>北海道</t>
        </is>
      </c>
      <c r="B159" t="inlineStr">
        <is>
          <t>中札内村</t>
        </is>
      </c>
      <c r="C159" t="n">
        <v>1917</v>
      </c>
      <c r="D159" t="n">
        <v>3795</v>
      </c>
      <c r="E159" s="6" t="n">
        <v>13</v>
      </c>
      <c r="F159" s="7" t="n">
        <v>11.3</v>
      </c>
      <c r="G159" t="n">
        <v>3884</v>
      </c>
      <c r="H159" t="n">
        <v>3795</v>
      </c>
      <c r="I159" t="n">
        <v>3664</v>
      </c>
      <c r="J159" t="n">
        <v>3261</v>
      </c>
      <c r="K159" s="27">
        <f>(H159/D159-1)</f>
        <v/>
      </c>
      <c r="L159" s="27">
        <f>(I159/D159-1)</f>
        <v/>
      </c>
      <c r="M159" s="27">
        <f>(J159/D159-1)</f>
        <v/>
      </c>
      <c r="N159" t="n">
        <v>61.2</v>
      </c>
      <c r="O159" s="28">
        <f>(N159+F159)/2</f>
        <v/>
      </c>
      <c r="P159">
        <f>IF(O159="計算不能","計算不能",IF(O159&gt;=80,5,IF(O159&gt;=60,4,IF(O159&gt;=40,3,IF(O159&gt;=28,2,1)))))</f>
        <v/>
      </c>
      <c r="Q159" t="n">
        <v>733</v>
      </c>
      <c r="R159" t="n">
        <v>0</v>
      </c>
      <c r="S159" s="27">
        <f>R159/Q159</f>
        <v/>
      </c>
      <c r="T159" t="inlineStr">
        <is>
          <t>中札内村は2045年までに人口が約14.1%減と緩やかな減少局面。若年層の都市部流出と高齢化が進むが、当面の賃貸稼働は一定程度維持される見通し。</t>
        </is>
      </c>
      <c r="U159" t="inlineStr">
        <is>
          <t>中札内村は人口密度13人/km²と過疎的水準で、民間賃貸の新規需要は薄い。実需に裏付けられた格安戸建ての指値取得のみが現実的。 借家の空室率は約0%と需給は比較的引き締まっている。</t>
        </is>
      </c>
      <c r="V159" t="inlineStr">
        <is>
          <t>中札内村（北海道）：冬期の豪雪・着雪荷重と路面凍結が最大の運営リスク。石狩・十勝・天塩川水系の河川氾濫、太平洋沿岸の津波・千島海溝地震、火山周辺の降灰に留意。</t>
        </is>
      </c>
    </row>
    <row r="160">
      <c r="A160" t="inlineStr">
        <is>
          <t>北海道</t>
        </is>
      </c>
      <c r="B160" t="inlineStr">
        <is>
          <t>更別村</t>
        </is>
      </c>
      <c r="C160" t="n">
        <v>1362</v>
      </c>
      <c r="D160" t="n">
        <v>2931</v>
      </c>
      <c r="E160" s="6" t="n">
        <v>17</v>
      </c>
      <c r="F160" s="7" t="n">
        <v>11.7</v>
      </c>
      <c r="G160" t="n">
        <v>3080</v>
      </c>
      <c r="H160" t="n">
        <v>2931</v>
      </c>
      <c r="I160" t="n">
        <v>2795</v>
      </c>
      <c r="J160" t="n">
        <v>2385</v>
      </c>
      <c r="K160" s="27">
        <f>(H160/D160-1)</f>
        <v/>
      </c>
      <c r="L160" s="27">
        <f>(I160/D160-1)</f>
        <v/>
      </c>
      <c r="M160" s="27">
        <f>(J160/D160-1)</f>
        <v/>
      </c>
      <c r="N160" t="n">
        <v>53.4</v>
      </c>
      <c r="O160" s="28">
        <f>(N160+F160)/2</f>
        <v/>
      </c>
      <c r="P160">
        <f>IF(O160="計算不能","計算不能",IF(O160&gt;=80,5,IF(O160&gt;=60,4,IF(O160&gt;=40,3,IF(O160&gt;=28,2,1)))))</f>
        <v/>
      </c>
      <c r="Q160" t="n">
        <v>521</v>
      </c>
      <c r="R160" t="n">
        <v>0</v>
      </c>
      <c r="S160" s="27">
        <f>R160/Q160</f>
        <v/>
      </c>
      <c r="T160" t="inlineStr">
        <is>
          <t>更別村は2045年までに人口が約18.6%減と明確な減少トレンド。高齢化の進行と世帯数の縮小により、中長期では賃貸需要の構造的縮小に警戒が必要。</t>
        </is>
      </c>
      <c r="U160" t="inlineStr">
        <is>
          <t>更別村は人口密度17人/km²と過疎的水準で、民間賃貸の新規需要は薄い。実需に裏付けられた格安戸建ての指値取得のみが現実的。 借家の空室率は約0%と需給は比較的引き締まっている。</t>
        </is>
      </c>
      <c r="V160" t="inlineStr">
        <is>
          <t>更別村（北海道）：冬期の豪雪・着雪荷重と路面凍結が最大の運営リスク。石狩・十勝・天塩川水系の河川氾濫、太平洋沿岸の津波・千島海溝地震、火山周辺の降灰に留意。</t>
        </is>
      </c>
    </row>
    <row r="161">
      <c r="A161" t="inlineStr">
        <is>
          <t>北海道</t>
        </is>
      </c>
      <c r="B161" t="inlineStr">
        <is>
          <t>大樹町</t>
        </is>
      </c>
      <c r="C161" t="n">
        <v>2805</v>
      </c>
      <c r="D161" t="n">
        <v>4999</v>
      </c>
      <c r="E161" s="6" t="n">
        <v>6.3</v>
      </c>
      <c r="F161" s="7" t="n">
        <v>10.6</v>
      </c>
      <c r="G161" t="n">
        <v>5420</v>
      </c>
      <c r="H161" t="n">
        <v>4999</v>
      </c>
      <c r="I161" t="n">
        <v>4612</v>
      </c>
      <c r="J161" t="n">
        <v>3611</v>
      </c>
      <c r="K161" s="27">
        <f>(H161/D161-1)</f>
        <v/>
      </c>
      <c r="L161" s="27">
        <f>(I161/D161-1)</f>
        <v/>
      </c>
      <c r="M161" s="27">
        <f>(J161/D161-1)</f>
        <v/>
      </c>
      <c r="N161" t="n">
        <v>43.3</v>
      </c>
      <c r="O161" s="28">
        <f>(N161+F161)/2</f>
        <v/>
      </c>
      <c r="P161">
        <f>IF(O161="計算不能","計算不能",IF(O161&gt;=80,5,IF(O161&gt;=60,4,IF(O161&gt;=40,3,IF(O161&gt;=28,2,1)))))</f>
        <v/>
      </c>
      <c r="Q161" t="n">
        <v>1073</v>
      </c>
      <c r="R161" t="n">
        <v>0</v>
      </c>
      <c r="S161" s="27">
        <f>R161/Q161</f>
        <v/>
      </c>
      <c r="T161" t="inlineStr">
        <is>
          <t>大樹町は2045年までに人口が約27.8%減と明確な減少トレンド。高齢化の進行と世帯数の縮小により、中長期では賃貸需要の構造的縮小に警戒が必要。</t>
        </is>
      </c>
      <c r="U161" t="inlineStr">
        <is>
          <t>大樹町は人口密度6人/km²と過疎的水準で、民間賃貸の新規需要は薄い。実需に裏付けられた格安戸建ての指値取得のみが現実的。 借家の空室率は約0%と需給は比較的引き締まっている。</t>
        </is>
      </c>
      <c r="V161" t="inlineStr">
        <is>
          <t>大樹町（北海道）：冬期の豪雪・着雪荷重と路面凍結が最大の運営リスク。石狩・十勝・天塩川水系の河川氾濫、太平洋沿岸の津波・千島海溝地震、火山周辺の降灰に留意。</t>
        </is>
      </c>
    </row>
    <row r="162">
      <c r="A162" t="inlineStr">
        <is>
          <t>北海道</t>
        </is>
      </c>
      <c r="B162" t="inlineStr">
        <is>
          <t>広尾町</t>
        </is>
      </c>
      <c r="C162" t="n">
        <v>3123</v>
      </c>
      <c r="D162" t="n">
        <v>5771</v>
      </c>
      <c r="E162" s="6" t="n">
        <v>9.199999999999999</v>
      </c>
      <c r="F162" s="7" t="n">
        <v>10.9</v>
      </c>
      <c r="G162" t="n">
        <v>6387</v>
      </c>
      <c r="H162" t="n">
        <v>5771</v>
      </c>
      <c r="I162" t="n">
        <v>5205</v>
      </c>
      <c r="J162" t="n">
        <v>3627</v>
      </c>
      <c r="K162" s="27">
        <f>(H162/D162-1)</f>
        <v/>
      </c>
      <c r="L162" s="27">
        <f>(I162/D162-1)</f>
        <v/>
      </c>
      <c r="M162" s="27">
        <f>(J162/D162-1)</f>
        <v/>
      </c>
      <c r="N162" t="n">
        <v>38.9</v>
      </c>
      <c r="O162" s="28">
        <f>(N162+F162)/2</f>
        <v/>
      </c>
      <c r="P162">
        <f>IF(O162="計算不能","計算不能",IF(O162&gt;=80,5,IF(O162&gt;=60,4,IF(O162&gt;=40,3,IF(O162&gt;=28,2,1)))))</f>
        <v/>
      </c>
      <c r="Q162" t="n">
        <v>1195</v>
      </c>
      <c r="R162" t="n">
        <v>0</v>
      </c>
      <c r="S162" s="27">
        <f>R162/Q162</f>
        <v/>
      </c>
      <c r="T162" t="inlineStr">
        <is>
          <t>広尾町は2045年までに人口が約37.2%減と急激な過疎・超高齢化が進行。若年労働世代の流出と自然減が重なり、賃貸事業としての持続性は極めて限定的。</t>
        </is>
      </c>
      <c r="U162" t="inlineStr">
        <is>
          <t>広尾町は人口密度9人/km²と過疎的水準で、民間賃貸の新規需要は薄い。実需に裏付けられた格安戸建ての指値取得のみが現実的。 借家の空室率は約0%と需給は比較的引き締まっている。</t>
        </is>
      </c>
      <c r="V162" t="inlineStr">
        <is>
          <t>広尾町（北海道）：冬期の豪雪・着雪荷重と路面凍結が最大の運営リスク。石狩・十勝・天塩川水系の河川氾濫、太平洋沿岸の津波・千島海溝地震、火山周辺の降灰に留意。</t>
        </is>
      </c>
    </row>
    <row r="163">
      <c r="A163" t="inlineStr">
        <is>
          <t>北海道</t>
        </is>
      </c>
      <c r="B163" t="inlineStr">
        <is>
          <t>幕別町</t>
        </is>
      </c>
      <c r="C163" t="n">
        <v>11010</v>
      </c>
      <c r="D163" t="n">
        <v>24738</v>
      </c>
      <c r="E163" s="6" t="n">
        <v>50.7</v>
      </c>
      <c r="F163" s="7" t="n">
        <v>15.1</v>
      </c>
      <c r="G163" t="n">
        <v>25766</v>
      </c>
      <c r="H163" t="n">
        <v>24738</v>
      </c>
      <c r="I163" t="n">
        <v>23625</v>
      </c>
      <c r="J163" t="n">
        <v>19783</v>
      </c>
      <c r="K163" s="27">
        <f>(H163/D163-1)</f>
        <v/>
      </c>
      <c r="L163" s="27">
        <f>(I163/D163-1)</f>
        <v/>
      </c>
      <c r="M163" s="27">
        <f>(J163/D163-1)</f>
        <v/>
      </c>
      <c r="N163" t="n">
        <v>54.4</v>
      </c>
      <c r="O163" s="28">
        <f>(N163+F163)/2</f>
        <v/>
      </c>
      <c r="P163">
        <f>IF(O163="計算不能","計算不能",IF(O163&gt;=80,5,IF(O163&gt;=60,4,IF(O163&gt;=40,3,IF(O163&gt;=28,2,1)))))</f>
        <v/>
      </c>
      <c r="Q163" t="n">
        <v>4213</v>
      </c>
      <c r="R163" t="n">
        <v>500</v>
      </c>
      <c r="S163" s="27">
        <f>R163/Q163</f>
        <v/>
      </c>
      <c r="T163" t="inlineStr">
        <is>
          <t>幕別町は2045年までに人口が約20.0%減と明確な減少トレンド。高齢化の進行と世帯数の縮小により、中長期では賃貸需要の構造的縮小に警戒が必要。</t>
        </is>
      </c>
      <c r="U163" t="inlineStr">
        <is>
          <t>幕別町は人口密度51人/km²と過疎的水準で、民間賃貸の新規需要は薄い。実需に裏付けられた格安戸建ての指値取得のみが現実的。 借家の空室率は約12%と需給は比較的引き締まっている。</t>
        </is>
      </c>
      <c r="V163" t="inlineStr">
        <is>
          <t>幕別町（北海道）：冬期の豪雪・着雪荷重と路面凍結が最大の運営リスク。石狩・十勝・天塩川水系の河川氾濫、太平洋沿岸の津波・千島海溝地震、火山周辺の降灰に留意。</t>
        </is>
      </c>
    </row>
    <row r="164">
      <c r="A164" t="inlineStr">
        <is>
          <t>北海道</t>
        </is>
      </c>
      <c r="B164" t="inlineStr">
        <is>
          <t>池田町</t>
        </is>
      </c>
      <c r="C164" t="n">
        <v>8724</v>
      </c>
      <c r="D164" t="n">
        <v>5658</v>
      </c>
      <c r="E164" s="6" t="n">
        <v>555.7</v>
      </c>
      <c r="F164" s="7" t="n">
        <v>46.1</v>
      </c>
      <c r="G164" t="n">
        <v>6294</v>
      </c>
      <c r="H164" t="n">
        <v>5658</v>
      </c>
      <c r="I164" t="n">
        <v>5087</v>
      </c>
      <c r="J164" t="n">
        <v>3545</v>
      </c>
      <c r="K164" s="27">
        <f>(H164/D164-1)</f>
        <v/>
      </c>
      <c r="L164" s="27">
        <f>(I164/D164-1)</f>
        <v/>
      </c>
      <c r="M164" s="27">
        <f>(J164/D164-1)</f>
        <v/>
      </c>
      <c r="N164" t="n">
        <v>38.3</v>
      </c>
      <c r="O164" s="28">
        <f>(N164+F164)/2</f>
        <v/>
      </c>
      <c r="P164">
        <f>IF(O164="計算不能","計算不能",IF(O164&gt;=80,5,IF(O164&gt;=60,4,IF(O164&gt;=40,3,IF(O164&gt;=28,2,1)))))</f>
        <v/>
      </c>
      <c r="Q164" t="n">
        <v>3338</v>
      </c>
      <c r="R164" t="n">
        <v>0</v>
      </c>
      <c r="S164" s="27">
        <f>R164/Q164</f>
        <v/>
      </c>
      <c r="T164" t="inlineStr">
        <is>
          <t>池田町は2045年までに人口が約37.3%減と急激な過疎・超高齢化が進行。若年労働世代の流出と自然減が重なり、賃貸事業としての持続性は極めて限定的。</t>
        </is>
      </c>
      <c r="U164" t="inlineStr">
        <is>
          <t>池田町は人口密度556人/km²で、主要道路沿いや中心市街地に一定の賃貸需要が局在。立地選別が稼働を左右する。 借家の空室率は約0%と需給は比較的引き締まっている。</t>
        </is>
      </c>
      <c r="V164" t="inlineStr">
        <is>
          <t>池田町（北海道）：冬期の豪雪・着雪荷重と路面凍結が最大の運営リスク。石狩・十勝・天塩川水系の河川氾濫、太平洋沿岸の津波・千島海溝地震、火山周辺の降灰に留意。</t>
        </is>
      </c>
    </row>
    <row r="165">
      <c r="A165" t="inlineStr">
        <is>
          <t>北海道</t>
        </is>
      </c>
      <c r="B165" t="inlineStr">
        <is>
          <t>豊頃町</t>
        </is>
      </c>
      <c r="C165" t="n">
        <v>1463</v>
      </c>
      <c r="D165" t="n">
        <v>2767</v>
      </c>
      <c r="E165" s="6" t="n">
        <v>5</v>
      </c>
      <c r="F165" s="7" t="n">
        <v>10.5</v>
      </c>
      <c r="G165" t="n">
        <v>3022</v>
      </c>
      <c r="H165" t="n">
        <v>2767</v>
      </c>
      <c r="I165" t="n">
        <v>2539</v>
      </c>
      <c r="J165" t="n">
        <v>1915</v>
      </c>
      <c r="K165" s="27">
        <f>(H165/D165-1)</f>
        <v/>
      </c>
      <c r="L165" s="27">
        <f>(I165/D165-1)</f>
        <v/>
      </c>
      <c r="M165" s="27">
        <f>(J165/D165-1)</f>
        <v/>
      </c>
      <c r="N165" t="n">
        <v>41.9</v>
      </c>
      <c r="O165" s="28">
        <f>(N165+F165)/2</f>
        <v/>
      </c>
      <c r="P165">
        <f>IF(O165="計算不能","計算不能",IF(O165&gt;=80,5,IF(O165&gt;=60,4,IF(O165&gt;=40,3,IF(O165&gt;=28,2,1)))))</f>
        <v/>
      </c>
      <c r="Q165" t="n">
        <v>559</v>
      </c>
      <c r="R165" t="n">
        <v>0</v>
      </c>
      <c r="S165" s="27">
        <f>R165/Q165</f>
        <v/>
      </c>
      <c r="T165" t="inlineStr">
        <is>
          <t>豊頃町は2045年までに人口が約30.8%減と急激な過疎・超高齢化が進行。若年労働世代の流出と自然減が重なり、賃貸事業としての持続性は極めて限定的。</t>
        </is>
      </c>
      <c r="U165" t="inlineStr">
        <is>
          <t>豊頃町は人口密度5人/km²と過疎的水準で、民間賃貸の新規需要は薄い。実需に裏付けられた格安戸建ての指値取得のみが現実的。 借家の空室率は約0%と需給は比較的引き締まっている。</t>
        </is>
      </c>
      <c r="V165" t="inlineStr">
        <is>
          <t>豊頃町（北海道）：冬期の豪雪・着雪荷重と路面凍結が最大の運営リスク。石狩・十勝・天塩川水系の河川氾濫、太平洋沿岸の津波・千島海溝地震、火山周辺の降灰に留意。</t>
        </is>
      </c>
    </row>
    <row r="166">
      <c r="A166" t="inlineStr">
        <is>
          <t>北海道</t>
        </is>
      </c>
      <c r="B166" t="inlineStr">
        <is>
          <t>本別町</t>
        </is>
      </c>
      <c r="C166" t="n">
        <v>3328</v>
      </c>
      <c r="D166" t="n">
        <v>5886</v>
      </c>
      <c r="E166" s="6" t="n">
        <v>14.5</v>
      </c>
      <c r="F166" s="7" t="n">
        <v>11.4</v>
      </c>
      <c r="G166" t="n">
        <v>6618</v>
      </c>
      <c r="H166" t="n">
        <v>5886</v>
      </c>
      <c r="I166" t="n">
        <v>5270</v>
      </c>
      <c r="J166" t="n">
        <v>3646</v>
      </c>
      <c r="K166" s="27">
        <f>(H166/D166-1)</f>
        <v/>
      </c>
      <c r="L166" s="27">
        <f>(I166/D166-1)</f>
        <v/>
      </c>
      <c r="M166" s="27">
        <f>(J166/D166-1)</f>
        <v/>
      </c>
      <c r="N166" t="n">
        <v>37.2</v>
      </c>
      <c r="O166" s="28">
        <f>(N166+F166)/2</f>
        <v/>
      </c>
      <c r="P166">
        <f>IF(O166="計算不能","計算不能",IF(O166&gt;=80,5,IF(O166&gt;=60,4,IF(O166&gt;=40,3,IF(O166&gt;=28,2,1)))))</f>
        <v/>
      </c>
      <c r="Q166" t="n">
        <v>1273</v>
      </c>
      <c r="R166" t="n">
        <v>0</v>
      </c>
      <c r="S166" s="27">
        <f>R166/Q166</f>
        <v/>
      </c>
      <c r="T166" t="inlineStr">
        <is>
          <t>本別町は2045年までに人口が約38.1%減と急激な過疎・超高齢化が進行。若年労働世代の流出と自然減が重なり、賃貸事業としての持続性は極めて限定的。</t>
        </is>
      </c>
      <c r="U166" t="inlineStr">
        <is>
          <t>本別町は人口密度14人/km²と過疎的水準で、民間賃貸の新規需要は薄い。実需に裏付けられた格安戸建ての指値取得のみが現実的。 借家の空室率は約0%と需給は比較的引き締まっている。</t>
        </is>
      </c>
      <c r="V166" t="inlineStr">
        <is>
          <t>本別町（北海道）：冬期の豪雪・着雪荷重と路面凍結が最大の運営リスク。石狩・十勝・天塩川水系の河川氾濫、太平洋沿岸の津波・千島海溝地震、火山周辺の降灰に留意。</t>
        </is>
      </c>
    </row>
    <row r="167">
      <c r="A167" t="inlineStr">
        <is>
          <t>北海道</t>
        </is>
      </c>
      <c r="B167" t="inlineStr">
        <is>
          <t>足寄町</t>
        </is>
      </c>
      <c r="C167" t="n">
        <v>3198</v>
      </c>
      <c r="D167" t="n">
        <v>5939</v>
      </c>
      <c r="E167" s="6" t="n">
        <v>4</v>
      </c>
      <c r="F167" s="7" t="n">
        <v>10.4</v>
      </c>
      <c r="G167" t="n">
        <v>6563</v>
      </c>
      <c r="H167" t="n">
        <v>5939</v>
      </c>
      <c r="I167" t="n">
        <v>5410</v>
      </c>
      <c r="J167" t="n">
        <v>4112</v>
      </c>
      <c r="K167" s="27">
        <f>(H167/D167-1)</f>
        <v/>
      </c>
      <c r="L167" s="27">
        <f>(I167/D167-1)</f>
        <v/>
      </c>
      <c r="M167" s="27">
        <f>(J167/D167-1)</f>
        <v/>
      </c>
      <c r="N167" t="n">
        <v>40.7</v>
      </c>
      <c r="O167" s="28">
        <f>(N167+F167)/2</f>
        <v/>
      </c>
      <c r="P167">
        <f>IF(O167="計算不能","計算不能",IF(O167&gt;=80,5,IF(O167&gt;=60,4,IF(O167&gt;=40,3,IF(O167&gt;=28,2,1)))))</f>
        <v/>
      </c>
      <c r="Q167" t="n">
        <v>1223</v>
      </c>
      <c r="R167" t="n">
        <v>0</v>
      </c>
      <c r="S167" s="27">
        <f>R167/Q167</f>
        <v/>
      </c>
      <c r="T167" t="inlineStr">
        <is>
          <t>足寄町は2045年までに人口が約30.8%減と急激な過疎・超高齢化が進行。若年労働世代の流出と自然減が重なり、賃貸事業としての持続性は極めて限定的。</t>
        </is>
      </c>
      <c r="U167" t="inlineStr">
        <is>
          <t>足寄町は人口密度4人/km²と過疎的水準で、民間賃貸の新規需要は薄い。実需に裏付けられた格安戸建ての指値取得のみが現実的。 借家の空室率は約0%と需給は比較的引き締まっている。</t>
        </is>
      </c>
      <c r="V167" t="inlineStr">
        <is>
          <t>足寄町（北海道）：冬期の豪雪・着雪荷重と路面凍結が最大の運営リスク。石狩・十勝・天塩川水系の河川氾濫、太平洋沿岸の津波・千島海溝地震、火山周辺の降灰に留意。</t>
        </is>
      </c>
    </row>
    <row r="168">
      <c r="A168" t="inlineStr">
        <is>
          <t>北海道</t>
        </is>
      </c>
      <c r="B168" t="inlineStr">
        <is>
          <t>陸別町</t>
        </is>
      </c>
      <c r="C168" t="n">
        <v>1248</v>
      </c>
      <c r="D168" t="n">
        <v>2058</v>
      </c>
      <c r="E168" s="6" t="n">
        <v>3.3</v>
      </c>
      <c r="F168" s="7" t="n">
        <v>10.3</v>
      </c>
      <c r="G168" t="n">
        <v>2264</v>
      </c>
      <c r="H168" t="n">
        <v>2058</v>
      </c>
      <c r="I168" t="n">
        <v>1877</v>
      </c>
      <c r="J168" t="n">
        <v>1416</v>
      </c>
      <c r="K168" s="27">
        <f>(H168/D168-1)</f>
        <v/>
      </c>
      <c r="L168" s="27">
        <f>(I168/D168-1)</f>
        <v/>
      </c>
      <c r="M168" s="27">
        <f>(J168/D168-1)</f>
        <v/>
      </c>
      <c r="N168" t="n">
        <v>41</v>
      </c>
      <c r="O168" s="28">
        <f>(N168+F168)/2</f>
        <v/>
      </c>
      <c r="P168">
        <f>IF(O168="計算不能","計算不能",IF(O168&gt;=80,5,IF(O168&gt;=60,4,IF(O168&gt;=40,3,IF(O168&gt;=28,2,1)))))</f>
        <v/>
      </c>
      <c r="Q168" t="n">
        <v>477</v>
      </c>
      <c r="R168" t="n">
        <v>0</v>
      </c>
      <c r="S168" s="27">
        <f>R168/Q168</f>
        <v/>
      </c>
      <c r="T168" t="inlineStr">
        <is>
          <t>陸別町は2045年までに人口が約31.2%減と急激な過疎・超高齢化が進行。若年労働世代の流出と自然減が重なり、賃貸事業としての持続性は極めて限定的。</t>
        </is>
      </c>
      <c r="U168" t="inlineStr">
        <is>
          <t>陸別町は人口密度3人/km²と過疎的水準で、民間賃貸の新規需要は薄い。実需に裏付けられた格安戸建ての指値取得のみが現実的。 借家の空室率は約0%と需給は比較的引き締まっている。</t>
        </is>
      </c>
      <c r="V168" t="inlineStr">
        <is>
          <t>陸別町（北海道）：冬期の豪雪・着雪荷重と路面凍結が最大の運営リスク。石狩・十勝・天塩川水系の河川氾濫、太平洋沿岸の津波・千島海溝地震、火山周辺の降灰に留意。</t>
        </is>
      </c>
    </row>
    <row r="169">
      <c r="A169" t="inlineStr">
        <is>
          <t>北海道</t>
        </is>
      </c>
      <c r="B169" t="inlineStr">
        <is>
          <t>浦幌町</t>
        </is>
      </c>
      <c r="C169" t="n">
        <v>2163</v>
      </c>
      <c r="D169" t="n">
        <v>3903</v>
      </c>
      <c r="E169" s="6" t="n">
        <v>5.3</v>
      </c>
      <c r="F169" s="7" t="n">
        <v>10.5</v>
      </c>
      <c r="G169" t="n">
        <v>4387</v>
      </c>
      <c r="H169" t="n">
        <v>3903</v>
      </c>
      <c r="I169" t="n">
        <v>3454</v>
      </c>
      <c r="J169" t="n">
        <v>2320</v>
      </c>
      <c r="K169" s="27">
        <f>(H169/D169-1)</f>
        <v/>
      </c>
      <c r="L169" s="27">
        <f>(I169/D169-1)</f>
        <v/>
      </c>
      <c r="M169" s="27">
        <f>(J169/D169-1)</f>
        <v/>
      </c>
      <c r="N169" t="n">
        <v>36.4</v>
      </c>
      <c r="O169" s="28">
        <f>(N169+F169)/2</f>
        <v/>
      </c>
      <c r="P169">
        <f>IF(O169="計算不能","計算不能",IF(O169&gt;=80,5,IF(O169&gt;=60,4,IF(O169&gt;=40,3,IF(O169&gt;=28,2,1)))))</f>
        <v/>
      </c>
      <c r="Q169" t="n">
        <v>827</v>
      </c>
      <c r="R169" t="n">
        <v>0</v>
      </c>
      <c r="S169" s="27">
        <f>R169/Q169</f>
        <v/>
      </c>
      <c r="T169" t="inlineStr">
        <is>
          <t>浦幌町は2045年までに人口が約40.6%減と急激な過疎・超高齢化が進行。若年労働世代の流出と自然減が重なり、賃貸事業としての持続性は極めて限定的。</t>
        </is>
      </c>
      <c r="U169" t="inlineStr">
        <is>
          <t>浦幌町は人口密度5人/km²と過疎的水準で、民間賃貸の新規需要は薄い。実需に裏付けられた格安戸建ての指値取得のみが現実的。 借家の空室率は約0%と需給は比較的引き締まっている。</t>
        </is>
      </c>
      <c r="V169" t="inlineStr">
        <is>
          <t>浦幌町（北海道）：冬期の豪雪・着雪荷重と路面凍結が最大の運営リスク。石狩・十勝・天塩川水系の河川氾濫、太平洋沿岸の津波・千島海溝地震、火山周辺の降灰に留意。</t>
        </is>
      </c>
    </row>
    <row r="170">
      <c r="A170" t="inlineStr">
        <is>
          <t>北海道</t>
        </is>
      </c>
      <c r="B170" t="inlineStr">
        <is>
          <t>釧路町</t>
        </is>
      </c>
      <c r="C170" t="n">
        <v>8600</v>
      </c>
      <c r="D170" t="n">
        <v>17778</v>
      </c>
      <c r="E170" s="6" t="n">
        <v>70.59999999999999</v>
      </c>
      <c r="F170" s="7" t="n">
        <v>17.1</v>
      </c>
      <c r="G170" t="n">
        <v>19105</v>
      </c>
      <c r="H170" t="n">
        <v>17778</v>
      </c>
      <c r="I170" t="n">
        <v>16518</v>
      </c>
      <c r="J170" t="n">
        <v>12138</v>
      </c>
      <c r="K170" s="27">
        <f>(H170/D170-1)</f>
        <v/>
      </c>
      <c r="L170" s="27">
        <f>(I170/D170-1)</f>
        <v/>
      </c>
      <c r="M170" s="27">
        <f>(J170/D170-1)</f>
        <v/>
      </c>
      <c r="N170" t="n">
        <v>43.4</v>
      </c>
      <c r="O170" s="28">
        <f>(N170+F170)/2</f>
        <v/>
      </c>
      <c r="P170">
        <f>IF(O170="計算不能","計算不能",IF(O170&gt;=80,5,IF(O170&gt;=60,4,IF(O170&gt;=40,3,IF(O170&gt;=28,2,1)))))</f>
        <v/>
      </c>
      <c r="Q170" t="n">
        <v>3291</v>
      </c>
      <c r="R170" t="n">
        <v>790</v>
      </c>
      <c r="S170" s="27">
        <f>R170/Q170</f>
        <v/>
      </c>
      <c r="T170" t="inlineStr">
        <is>
          <t>釧路町は2045年までに人口が約31.7%減と急激な過疎・超高齢化が進行。若年労働世代の流出と自然減が重なり、賃貸事業としての持続性は極めて限定的。</t>
        </is>
      </c>
      <c r="U170" t="inlineStr">
        <is>
          <t>釧路町は人口密度71人/km²と過疎的水準で、民間賃貸の新規需要は薄い。実需に裏付けられた格安戸建ての指値取得のみが現実的。 借家の空室率は約24%とやや高めで、競合との差別化が必要。</t>
        </is>
      </c>
      <c r="V170" t="inlineStr">
        <is>
          <t>釧路町（北海道）：冬期の豪雪・着雪荷重と路面凍結が最大の運営リスク。石狩・十勝・天塩川水系の河川氾濫、太平洋沿岸の津波・千島海溝地震、火山周辺の降灰に留意。</t>
        </is>
      </c>
    </row>
    <row r="171">
      <c r="A171" t="inlineStr">
        <is>
          <t>北海道</t>
        </is>
      </c>
      <c r="B171" t="inlineStr">
        <is>
          <t>厚岸町</t>
        </is>
      </c>
      <c r="C171" t="n">
        <v>4210</v>
      </c>
      <c r="D171" t="n">
        <v>8014</v>
      </c>
      <c r="E171" s="6" t="n">
        <v>10.6</v>
      </c>
      <c r="F171" s="7" t="n">
        <v>11.1</v>
      </c>
      <c r="G171" t="n">
        <v>8892</v>
      </c>
      <c r="H171" t="n">
        <v>8014</v>
      </c>
      <c r="I171" t="n">
        <v>7202</v>
      </c>
      <c r="J171" t="n">
        <v>5000</v>
      </c>
      <c r="K171" s="27">
        <f>(H171/D171-1)</f>
        <v/>
      </c>
      <c r="L171" s="27">
        <f>(I171/D171-1)</f>
        <v/>
      </c>
      <c r="M171" s="27">
        <f>(J171/D171-1)</f>
        <v/>
      </c>
      <c r="N171" t="n">
        <v>38.5</v>
      </c>
      <c r="O171" s="28">
        <f>(N171+F171)/2</f>
        <v/>
      </c>
      <c r="P171">
        <f>IF(O171="計算不能","計算不能",IF(O171&gt;=80,5,IF(O171&gt;=60,4,IF(O171&gt;=40,3,IF(O171&gt;=28,2,1)))))</f>
        <v/>
      </c>
      <c r="Q171" t="n">
        <v>1611</v>
      </c>
      <c r="R171" t="n">
        <v>0</v>
      </c>
      <c r="S171" s="27">
        <f>R171/Q171</f>
        <v/>
      </c>
      <c r="T171" t="inlineStr">
        <is>
          <t>厚岸町は2045年までに人口が約37.6%減と急激な過疎・超高齢化が進行。若年労働世代の流出と自然減が重なり、賃貸事業としての持続性は極めて限定的。</t>
        </is>
      </c>
      <c r="U171" t="inlineStr">
        <is>
          <t>厚岸町は人口密度11人/km²と過疎的水準で、民間賃貸の新規需要は薄い。実需に裏付けられた格安戸建ての指値取得のみが現実的。 借家の空室率は約0%と需給は比較的引き締まっている。</t>
        </is>
      </c>
      <c r="V171" t="inlineStr">
        <is>
          <t>厚岸町（北海道）：冬期の豪雪・着雪荷重と路面凍結が最大の運営リスク。石狩・十勝・天塩川水系の河川氾濫、太平洋沿岸の津波・千島海溝地震、火山周辺の降灰に留意。</t>
        </is>
      </c>
    </row>
    <row r="172">
      <c r="A172" t="inlineStr">
        <is>
          <t>北海道</t>
        </is>
      </c>
      <c r="B172" t="inlineStr">
        <is>
          <t>浜中町</t>
        </is>
      </c>
      <c r="C172" t="n">
        <v>2546</v>
      </c>
      <c r="D172" t="n">
        <v>5069</v>
      </c>
      <c r="E172" s="6" t="n">
        <v>12.2</v>
      </c>
      <c r="F172" s="7" t="n">
        <v>11.2</v>
      </c>
      <c r="G172" t="n">
        <v>5507</v>
      </c>
      <c r="H172" t="n">
        <v>5069</v>
      </c>
      <c r="I172" t="n">
        <v>4696</v>
      </c>
      <c r="J172" t="n">
        <v>3534</v>
      </c>
      <c r="K172" s="27">
        <f>(H172/D172-1)</f>
        <v/>
      </c>
      <c r="L172" s="27">
        <f>(I172/D172-1)</f>
        <v/>
      </c>
      <c r="M172" s="27">
        <f>(J172/D172-1)</f>
        <v/>
      </c>
      <c r="N172" t="n">
        <v>42.7</v>
      </c>
      <c r="O172" s="28">
        <f>(N172+F172)/2</f>
        <v/>
      </c>
      <c r="P172">
        <f>IF(O172="計算不能","計算不能",IF(O172&gt;=80,5,IF(O172&gt;=60,4,IF(O172&gt;=40,3,IF(O172&gt;=28,2,1)))))</f>
        <v/>
      </c>
      <c r="Q172" t="n">
        <v>974</v>
      </c>
      <c r="R172" t="n">
        <v>0</v>
      </c>
      <c r="S172" s="27">
        <f>R172/Q172</f>
        <v/>
      </c>
      <c r="T172" t="inlineStr">
        <is>
          <t>浜中町は2045年までに人口が約30.3%減と急激な過疎・超高齢化が進行。若年労働世代の流出と自然減が重なり、賃貸事業としての持続性は極めて限定的。</t>
        </is>
      </c>
      <c r="U172" t="inlineStr">
        <is>
          <t>浜中町は人口密度12人/km²と過疎的水準で、民間賃貸の新規需要は薄い。実需に裏付けられた格安戸建ての指値取得のみが現実的。 借家の空室率は約0%と需給は比較的引き締まっている。</t>
        </is>
      </c>
      <c r="V172" t="inlineStr">
        <is>
          <t>浜中町（北海道）：冬期の豪雪・着雪荷重と路面凍結が最大の運営リスク。石狩・十勝・天塩川水系の河川氾濫、太平洋沿岸の津波・千島海溝地震、火山周辺の降灰に留意。</t>
        </is>
      </c>
    </row>
    <row r="173">
      <c r="A173" t="inlineStr">
        <is>
          <t>北海道</t>
        </is>
      </c>
      <c r="B173" t="inlineStr">
        <is>
          <t>標茶町</t>
        </is>
      </c>
      <c r="C173" t="n">
        <v>3583</v>
      </c>
      <c r="D173" t="n">
        <v>6656</v>
      </c>
      <c r="E173" s="6" t="n">
        <v>5.9</v>
      </c>
      <c r="F173" s="7" t="n">
        <v>10.6</v>
      </c>
      <c r="G173" t="n">
        <v>7230</v>
      </c>
      <c r="H173" t="n">
        <v>6656</v>
      </c>
      <c r="I173" t="n">
        <v>6108</v>
      </c>
      <c r="J173" t="n">
        <v>4584</v>
      </c>
      <c r="K173" s="27">
        <f>(H173/D173-1)</f>
        <v/>
      </c>
      <c r="L173" s="27">
        <f>(I173/D173-1)</f>
        <v/>
      </c>
      <c r="M173" s="27">
        <f>(J173/D173-1)</f>
        <v/>
      </c>
      <c r="N173" t="n">
        <v>42.2</v>
      </c>
      <c r="O173" s="28">
        <f>(N173+F173)/2</f>
        <v/>
      </c>
      <c r="P173">
        <f>IF(O173="計算不能","計算不能",IF(O173&gt;=80,5,IF(O173&gt;=60,4,IF(O173&gt;=40,3,IF(O173&gt;=28,2,1)))))</f>
        <v/>
      </c>
      <c r="Q173" t="n">
        <v>1371</v>
      </c>
      <c r="R173" t="n">
        <v>0</v>
      </c>
      <c r="S173" s="27">
        <f>R173/Q173</f>
        <v/>
      </c>
      <c r="T173" t="inlineStr">
        <is>
          <t>標茶町は2045年までに人口が約31.1%減と急激な過疎・超高齢化が進行。若年労働世代の流出と自然減が重なり、賃貸事業としての持続性は極めて限定的。</t>
        </is>
      </c>
      <c r="U173" t="inlineStr">
        <is>
          <t>標茶町は人口密度6人/km²と過疎的水準で、民間賃貸の新規需要は薄い。実需に裏付けられた格安戸建ての指値取得のみが現実的。 借家の空室率は約0%と需給は比較的引き締まっている。</t>
        </is>
      </c>
      <c r="V173" t="inlineStr">
        <is>
          <t>標茶町（北海道）：冬期の豪雪・着雪荷重と路面凍結が最大の運営リスク。石狩・十勝・天塩川水系の河川氾濫、太平洋沿岸の津波・千島海溝地震、火山周辺の降灰に留意。</t>
        </is>
      </c>
    </row>
    <row r="174">
      <c r="A174" t="inlineStr">
        <is>
          <t>北海道</t>
        </is>
      </c>
      <c r="B174" t="inlineStr">
        <is>
          <t>弟子屈町</t>
        </is>
      </c>
      <c r="C174" t="n">
        <v>3696</v>
      </c>
      <c r="D174" t="n">
        <v>6272</v>
      </c>
      <c r="E174" s="6" t="n">
        <v>8.1</v>
      </c>
      <c r="F174" s="7" t="n">
        <v>10.8</v>
      </c>
      <c r="G174" t="n">
        <v>6955</v>
      </c>
      <c r="H174" t="n">
        <v>6272</v>
      </c>
      <c r="I174" t="n">
        <v>5636</v>
      </c>
      <c r="J174" t="n">
        <v>3867</v>
      </c>
      <c r="K174" s="27">
        <f>(H174/D174-1)</f>
        <v/>
      </c>
      <c r="L174" s="27">
        <f>(I174/D174-1)</f>
        <v/>
      </c>
      <c r="M174" s="27">
        <f>(J174/D174-1)</f>
        <v/>
      </c>
      <c r="N174" t="n">
        <v>38.3</v>
      </c>
      <c r="O174" s="28">
        <f>(N174+F174)/2</f>
        <v/>
      </c>
      <c r="P174">
        <f>IF(O174="計算不能","計算不能",IF(O174&gt;=80,5,IF(O174&gt;=60,4,IF(O174&gt;=40,3,IF(O174&gt;=28,2,1)))))</f>
        <v/>
      </c>
      <c r="Q174" t="n">
        <v>1414</v>
      </c>
      <c r="R174" t="n">
        <v>0</v>
      </c>
      <c r="S174" s="27">
        <f>R174/Q174</f>
        <v/>
      </c>
      <c r="T174" t="inlineStr">
        <is>
          <t>弟子屈町は2045年までに人口が約38.3%減と急激な過疎・超高齢化が進行。若年労働世代の流出と自然減が重なり、賃貸事業としての持続性は極めて限定的。</t>
        </is>
      </c>
      <c r="U174" t="inlineStr">
        <is>
          <t>弟子屈町は人口密度8人/km²と過疎的水準で、民間賃貸の新規需要は薄い。実需に裏付けられた格安戸建ての指値取得のみが現実的。 借家の空室率は約0%と需給は比較的引き締まっている。</t>
        </is>
      </c>
      <c r="V174" t="inlineStr">
        <is>
          <t>弟子屈町（北海道）：冬期の豪雪・着雪荷重と路面凍結が最大の運営リスク。石狩・十勝・天塩川水系の河川氾濫、太平洋沿岸の津波・千島海溝地震、火山周辺の降灰に留意。</t>
        </is>
      </c>
    </row>
    <row r="175">
      <c r="A175" t="inlineStr">
        <is>
          <t>北海道</t>
        </is>
      </c>
      <c r="B175" t="inlineStr">
        <is>
          <t>鶴居村</t>
        </is>
      </c>
      <c r="C175" t="n">
        <v>1187</v>
      </c>
      <c r="D175" t="n">
        <v>2424</v>
      </c>
      <c r="E175" s="6" t="n">
        <v>4.2</v>
      </c>
      <c r="F175" s="7" t="n">
        <v>10.4</v>
      </c>
      <c r="G175" t="n">
        <v>2558</v>
      </c>
      <c r="H175" t="n">
        <v>2424</v>
      </c>
      <c r="I175" t="n">
        <v>2295</v>
      </c>
      <c r="J175" t="n">
        <v>1932</v>
      </c>
      <c r="K175" s="27">
        <f>(H175/D175-1)</f>
        <v/>
      </c>
      <c r="L175" s="27">
        <f>(I175/D175-1)</f>
        <v/>
      </c>
      <c r="M175" s="27">
        <f>(J175/D175-1)</f>
        <v/>
      </c>
      <c r="N175" t="n">
        <v>51.4</v>
      </c>
      <c r="O175" s="28">
        <f>(N175+F175)/2</f>
        <v/>
      </c>
      <c r="P175">
        <f>IF(O175="計算不能","計算不能",IF(O175&gt;=80,5,IF(O175&gt;=60,4,IF(O175&gt;=40,3,IF(O175&gt;=28,2,1)))))</f>
        <v/>
      </c>
      <c r="Q175" t="n">
        <v>454</v>
      </c>
      <c r="R175" t="n">
        <v>0</v>
      </c>
      <c r="S175" s="27">
        <f>R175/Q175</f>
        <v/>
      </c>
      <c r="T175" t="inlineStr">
        <is>
          <t>鶴居村は2045年までに人口が約20.3%減と明確な減少トレンド。高齢化の進行と世帯数の縮小により、中長期では賃貸需要の構造的縮小に警戒が必要。</t>
        </is>
      </c>
      <c r="U175" t="inlineStr">
        <is>
          <t>鶴居村は人口密度4人/km²と過疎的水準で、民間賃貸の新規需要は薄い。実需に裏付けられた格安戸建ての指値取得のみが現実的。 借家の空室率は約0%と需給は比較的引き締まっている。</t>
        </is>
      </c>
      <c r="V175" t="inlineStr">
        <is>
          <t>鶴居村（北海道）：冬期の豪雪・着雪荷重と路面凍結が最大の運営リスク。石狩・十勝・天塩川水系の河川氾濫、太平洋沿岸の津波・千島海溝地震、火山周辺の降灰に留意。</t>
        </is>
      </c>
    </row>
    <row r="176">
      <c r="A176" t="inlineStr">
        <is>
          <t>北海道</t>
        </is>
      </c>
      <c r="B176" t="inlineStr">
        <is>
          <t>白糠町</t>
        </is>
      </c>
      <c r="C176" t="n">
        <v>3942</v>
      </c>
      <c r="D176" t="n">
        <v>6402</v>
      </c>
      <c r="E176" s="6" t="n">
        <v>8.6</v>
      </c>
      <c r="F176" s="7" t="n">
        <v>10.9</v>
      </c>
      <c r="G176" t="n">
        <v>7289</v>
      </c>
      <c r="H176" t="n">
        <v>6402</v>
      </c>
      <c r="I176" t="n">
        <v>5553</v>
      </c>
      <c r="J176" t="n">
        <v>3413</v>
      </c>
      <c r="K176" s="27">
        <f>(H176/D176-1)</f>
        <v/>
      </c>
      <c r="L176" s="27">
        <f>(I176/D176-1)</f>
        <v/>
      </c>
      <c r="M176" s="27">
        <f>(J176/D176-1)</f>
        <v/>
      </c>
      <c r="N176" t="n">
        <v>33.5</v>
      </c>
      <c r="O176" s="28">
        <f>(N176+F176)/2</f>
        <v/>
      </c>
      <c r="P176">
        <f>IF(O176="計算不能","計算不能",IF(O176&gt;=80,5,IF(O176&gt;=60,4,IF(O176&gt;=40,3,IF(O176&gt;=28,2,1)))))</f>
        <v/>
      </c>
      <c r="Q176" t="n">
        <v>1508</v>
      </c>
      <c r="R176" t="n">
        <v>0</v>
      </c>
      <c r="S176" s="27">
        <f>R176/Q176</f>
        <v/>
      </c>
      <c r="T176" t="inlineStr">
        <is>
          <t>白糠町は2045年までに人口が約46.7%減と急激な過疎・超高齢化が進行。若年労働世代の流出と自然減が重なり、賃貸事業としての持続性は極めて限定的。</t>
        </is>
      </c>
      <c r="U176" t="inlineStr">
        <is>
          <t>白糠町は人口密度9人/km²と過疎的水準で、民間賃貸の新規需要は薄い。実需に裏付けられた格安戸建ての指値取得のみが現実的。 借家の空室率は約0%と需給は比較的引き締まっている。</t>
        </is>
      </c>
      <c r="V176" t="inlineStr">
        <is>
          <t>白糠町（北海道）：冬期の豪雪・着雪荷重と路面凍結が最大の運営リスク。石狩・十勝・天塩川水系の河川氾濫、太平洋沿岸の津波・千島海溝地震、火山周辺の降灰に留意。</t>
        </is>
      </c>
    </row>
    <row r="177">
      <c r="A177" t="inlineStr">
        <is>
          <t>北海道</t>
        </is>
      </c>
      <c r="B177" t="inlineStr">
        <is>
          <t>別海町</t>
        </is>
      </c>
      <c r="C177" t="n">
        <v>6822</v>
      </c>
      <c r="D177" t="n">
        <v>13496</v>
      </c>
      <c r="E177" s="6" t="n">
        <v>10.1</v>
      </c>
      <c r="F177" s="7" t="n">
        <v>11</v>
      </c>
      <c r="G177" t="n">
        <v>14380</v>
      </c>
      <c r="H177" t="n">
        <v>13496</v>
      </c>
      <c r="I177" t="n">
        <v>12663</v>
      </c>
      <c r="J177" t="n">
        <v>10129</v>
      </c>
      <c r="K177" s="27">
        <f>(H177/D177-1)</f>
        <v/>
      </c>
      <c r="L177" s="27">
        <f>(I177/D177-1)</f>
        <v/>
      </c>
      <c r="M177" s="27">
        <f>(J177/D177-1)</f>
        <v/>
      </c>
      <c r="N177" t="n">
        <v>46.9</v>
      </c>
      <c r="O177" s="28">
        <f>(N177+F177)/2</f>
        <v/>
      </c>
      <c r="P177">
        <f>IF(O177="計算不能","計算不能",IF(O177&gt;=80,5,IF(O177&gt;=60,4,IF(O177&gt;=40,3,IF(O177&gt;=28,2,1)))))</f>
        <v/>
      </c>
      <c r="Q177" t="n">
        <v>2610</v>
      </c>
      <c r="R177" t="n">
        <v>0</v>
      </c>
      <c r="S177" s="27">
        <f>R177/Q177</f>
        <v/>
      </c>
      <c r="T177" t="inlineStr">
        <is>
          <t>別海町は2045年までに人口が約24.9%減と明確な減少トレンド。高齢化の進行と世帯数の縮小により、中長期では賃貸需要の構造的縮小に警戒が必要。</t>
        </is>
      </c>
      <c r="U177" t="inlineStr">
        <is>
          <t>別海町は人口密度10人/km²と過疎的水準で、民間賃貸の新規需要は薄い。実需に裏付けられた格安戸建ての指値取得のみが現実的。 借家の空室率は約0%と需給は比較的引き締まっている。</t>
        </is>
      </c>
      <c r="V177" t="inlineStr">
        <is>
          <t>別海町（北海道）：冬期の豪雪・着雪荷重と路面凍結が最大の運営リスク。石狩・十勝・天塩川水系の河川氾濫、太平洋沿岸の津波・千島海溝地震、火山周辺の降灰に留意。</t>
        </is>
      </c>
    </row>
    <row r="178">
      <c r="A178" t="inlineStr">
        <is>
          <t>北海道</t>
        </is>
      </c>
      <c r="B178" t="inlineStr">
        <is>
          <t>中標津町</t>
        </is>
      </c>
      <c r="C178" t="n">
        <v>10370</v>
      </c>
      <c r="D178" t="n">
        <v>21838</v>
      </c>
      <c r="E178" s="6" t="n">
        <v>31.8</v>
      </c>
      <c r="F178" s="7" t="n">
        <v>13.2</v>
      </c>
      <c r="G178" t="n">
        <v>23010</v>
      </c>
      <c r="H178" t="n">
        <v>21838</v>
      </c>
      <c r="I178" t="n">
        <v>20948</v>
      </c>
      <c r="J178" t="n">
        <v>17817</v>
      </c>
      <c r="K178" s="27">
        <f>(H178/D178-1)</f>
        <v/>
      </c>
      <c r="L178" s="27">
        <f>(I178/D178-1)</f>
        <v/>
      </c>
      <c r="M178" s="27">
        <f>(J178/D178-1)</f>
        <v/>
      </c>
      <c r="N178" t="n">
        <v>53.4</v>
      </c>
      <c r="O178" s="28">
        <f>(N178+F178)/2</f>
        <v/>
      </c>
      <c r="P178">
        <f>IF(O178="計算不能","計算不能",IF(O178&gt;=80,5,IF(O178&gt;=60,4,IF(O178&gt;=40,3,IF(O178&gt;=28,2,1)))))</f>
        <v/>
      </c>
      <c r="Q178" t="n">
        <v>3968</v>
      </c>
      <c r="R178" t="n">
        <v>1190</v>
      </c>
      <c r="S178" s="27">
        <f>R178/Q178</f>
        <v/>
      </c>
      <c r="T178" t="inlineStr">
        <is>
          <t>中標津町は2045年までに人口が約18.4%減と明確な減少トレンド。高齢化の進行と世帯数の縮小により、中長期では賃貸需要の構造的縮小に警戒が必要。</t>
        </is>
      </c>
      <c r="U178" t="inlineStr">
        <is>
          <t>中標津町は人口密度32人/km²と過疎的水準で、民間賃貸の新規需要は薄い。実需に裏付けられた格安戸建ての指値取得のみが現実的。 借家の空室率は約30%と供給過多気味で、空室長期化リスクに要警戒。</t>
        </is>
      </c>
      <c r="V178" t="inlineStr">
        <is>
          <t>中標津町（北海道）：冬期の豪雪・着雪荷重と路面凍結が最大の運営リスク。石狩・十勝・天塩川水系の河川氾濫、太平洋沿岸の津波・千島海溝地震、火山周辺の降灰に留意。</t>
        </is>
      </c>
    </row>
    <row r="179">
      <c r="A179" t="inlineStr">
        <is>
          <t>北海道</t>
        </is>
      </c>
      <c r="B179" t="inlineStr">
        <is>
          <t>標津町</t>
        </is>
      </c>
      <c r="C179" t="n">
        <v>2369</v>
      </c>
      <c r="D179" t="n">
        <v>4724</v>
      </c>
      <c r="E179" s="6" t="n">
        <v>7.4</v>
      </c>
      <c r="F179" s="7" t="n">
        <v>10.7</v>
      </c>
      <c r="G179" t="n">
        <v>5023</v>
      </c>
      <c r="H179" t="n">
        <v>4724</v>
      </c>
      <c r="I179" t="n">
        <v>4419</v>
      </c>
      <c r="J179" t="n">
        <v>3518</v>
      </c>
      <c r="K179" s="27">
        <f>(H179/D179-1)</f>
        <v/>
      </c>
      <c r="L179" s="27">
        <f>(I179/D179-1)</f>
        <v/>
      </c>
      <c r="M179" s="27">
        <f>(J179/D179-1)</f>
        <v/>
      </c>
      <c r="N179" t="n">
        <v>46.8</v>
      </c>
      <c r="O179" s="28">
        <f>(N179+F179)/2</f>
        <v/>
      </c>
      <c r="P179">
        <f>IF(O179="計算不能","計算不能",IF(O179&gt;=80,5,IF(O179&gt;=60,4,IF(O179&gt;=40,3,IF(O179&gt;=28,2,1)))))</f>
        <v/>
      </c>
      <c r="Q179" t="n">
        <v>906</v>
      </c>
      <c r="R179" t="n">
        <v>0</v>
      </c>
      <c r="S179" s="27">
        <f>R179/Q179</f>
        <v/>
      </c>
      <c r="T179" t="inlineStr">
        <is>
          <t>標津町は2045年までに人口が約25.5%減と明確な減少トレンド。高齢化の進行と世帯数の縮小により、中長期では賃貸需要の構造的縮小に警戒が必要。</t>
        </is>
      </c>
      <c r="U179" t="inlineStr">
        <is>
          <t>標津町は人口密度7人/km²と過疎的水準で、民間賃貸の新規需要は薄い。実需に裏付けられた格安戸建ての指値取得のみが現実的。 借家の空室率は約0%と需給は比較的引き締まっている。</t>
        </is>
      </c>
      <c r="V179" t="inlineStr">
        <is>
          <t>標津町（北海道）：冬期の豪雪・着雪荷重と路面凍結が最大の運営リスク。石狩・十勝・天塩川水系の河川氾濫、太平洋沿岸の津波・千島海溝地震、火山周辺の降灰に留意。</t>
        </is>
      </c>
    </row>
    <row r="180">
      <c r="A180" t="inlineStr">
        <is>
          <t>北海道</t>
        </is>
      </c>
      <c r="B180" t="inlineStr">
        <is>
          <t>羅臼町</t>
        </is>
      </c>
      <c r="C180" t="n">
        <v>2003</v>
      </c>
      <c r="D180" t="n">
        <v>4191</v>
      </c>
      <c r="E180" s="6" t="n">
        <v>10.1</v>
      </c>
      <c r="F180" s="7" t="n">
        <v>11</v>
      </c>
      <c r="G180" t="n">
        <v>4722</v>
      </c>
      <c r="H180" t="n">
        <v>4191</v>
      </c>
      <c r="I180" t="n">
        <v>3706</v>
      </c>
      <c r="J180" t="n">
        <v>2411</v>
      </c>
      <c r="K180" s="27">
        <f>(H180/D180-1)</f>
        <v/>
      </c>
      <c r="L180" s="27">
        <f>(I180/D180-1)</f>
        <v/>
      </c>
      <c r="M180" s="27">
        <f>(J180/D180-1)</f>
        <v/>
      </c>
      <c r="N180" t="n">
        <v>35.7</v>
      </c>
      <c r="O180" s="28">
        <f>(N180+F180)/2</f>
        <v/>
      </c>
      <c r="P180">
        <f>IF(O180="計算不能","計算不能",IF(O180&gt;=80,5,IF(O180&gt;=60,4,IF(O180&gt;=40,3,IF(O180&gt;=28,2,1)))))</f>
        <v/>
      </c>
      <c r="Q180" t="n">
        <v>766</v>
      </c>
      <c r="R180" t="n">
        <v>0</v>
      </c>
      <c r="S180" s="27">
        <f>R180/Q180</f>
        <v/>
      </c>
      <c r="T180" t="inlineStr">
        <is>
          <t>羅臼町は2045年までに人口が約42.5%減と急激な過疎・超高齢化が進行。若年労働世代の流出と自然減が重なり、賃貸事業としての持続性は極めて限定的。</t>
        </is>
      </c>
      <c r="U180" t="inlineStr">
        <is>
          <t>羅臼町は人口密度10人/km²と過疎的水準で、民間賃貸の新規需要は薄い。実需に裏付けられた格安戸建ての指値取得のみが現実的。 借家の空室率は約0%と需給は比較的引き締まっている。</t>
        </is>
      </c>
      <c r="V180" t="inlineStr">
        <is>
          <t>羅臼町（北海道）：冬期の豪雪・着雪荷重と路面凍結が最大の運営リスク。石狩・十勝・天塩川水系の河川氾濫、太平洋沿岸の津波・千島海溝地震、火山周辺の降灰に留意。</t>
        </is>
      </c>
    </row>
    <row r="181">
      <c r="A181" t="inlineStr">
        <is>
          <t>青森県</t>
        </is>
      </c>
      <c r="B181" t="inlineStr">
        <is>
          <t>青森市</t>
        </is>
      </c>
      <c r="C181" t="n">
        <v>114600</v>
      </c>
      <c r="D181" t="n">
        <v>260035</v>
      </c>
      <c r="E181" s="6" t="n">
        <v>310.7</v>
      </c>
      <c r="F181" s="7" t="n">
        <v>35.5</v>
      </c>
      <c r="G181" t="n">
        <v>275192</v>
      </c>
      <c r="H181" t="n">
        <v>260035</v>
      </c>
      <c r="I181" t="n">
        <v>243430</v>
      </c>
      <c r="J181" t="n">
        <v>191322</v>
      </c>
      <c r="K181" s="27">
        <f>(H181/D181-1)</f>
        <v/>
      </c>
      <c r="L181" s="27">
        <f>(I181/D181-1)</f>
        <v/>
      </c>
      <c r="M181" s="27">
        <f>(J181/D181-1)</f>
        <v/>
      </c>
      <c r="N181" t="n">
        <v>47.3</v>
      </c>
      <c r="O181" s="28">
        <f>(N181+F181)/2</f>
        <v/>
      </c>
      <c r="P181">
        <f>IF(O181="計算不能","計算不能",IF(O181&gt;=80,5,IF(O181&gt;=60,4,IF(O181&gt;=40,3,IF(O181&gt;=28,2,1)))))</f>
        <v/>
      </c>
      <c r="Q181" t="n">
        <v>28267</v>
      </c>
      <c r="R181" t="n">
        <v>11040</v>
      </c>
      <c r="S181" s="27">
        <f>R181/Q181</f>
        <v/>
      </c>
      <c r="T181" t="inlineStr">
        <is>
          <t>青森市は2045年までに人口が約26.4%減と明確な減少トレンド。高齢化の進行と世帯数の縮小により、中長期では賃貸需要の構造的縮小に警戒が必要。</t>
        </is>
      </c>
      <c r="U181" t="inlineStr">
        <is>
          <t>青森市は人口密度311人/km²と低密度で、賃貸需要は限定的。持ち家比率が高く、駐車場完備の戸建て賃貸が有利。 借家の空室率は約39%と供給過多気味で、空室長期化リスクに要警戒。</t>
        </is>
      </c>
      <c r="V181" t="inlineStr">
        <is>
          <t>青森市（青森県）：豪雪地帯で除排雪コストが重い。日本海・太平洋沿岸の津波、岩木川・馬淵川の氾濫、八甲田山系の土砂災害に注意。</t>
        </is>
      </c>
    </row>
    <row r="182">
      <c r="A182" t="inlineStr">
        <is>
          <t>青森県</t>
        </is>
      </c>
      <c r="B182" t="inlineStr">
        <is>
          <t>弘前市</t>
        </is>
      </c>
      <c r="C182" t="n">
        <v>67670</v>
      </c>
      <c r="D182" t="n">
        <v>157226</v>
      </c>
      <c r="E182" s="6" t="n">
        <v>297.5</v>
      </c>
      <c r="F182" s="7" t="n">
        <v>34.9</v>
      </c>
      <c r="G182" t="n">
        <v>168466</v>
      </c>
      <c r="H182" t="n">
        <v>157226</v>
      </c>
      <c r="I182" t="n">
        <v>147904</v>
      </c>
      <c r="J182" t="n">
        <v>118428</v>
      </c>
      <c r="K182" s="27">
        <f>(H182/D182-1)</f>
        <v/>
      </c>
      <c r="L182" s="27">
        <f>(I182/D182-1)</f>
        <v/>
      </c>
      <c r="M182" s="27">
        <f>(J182/D182-1)</f>
        <v/>
      </c>
      <c r="N182" t="n">
        <v>46.3</v>
      </c>
      <c r="O182" s="28">
        <f>(N182+F182)/2</f>
        <v/>
      </c>
      <c r="P182">
        <f>IF(O182="計算不能","計算不能",IF(O182&gt;=80,5,IF(O182&gt;=60,4,IF(O182&gt;=40,3,IF(O182&gt;=28,2,1)))))</f>
        <v/>
      </c>
      <c r="Q182" t="n">
        <v>16691</v>
      </c>
      <c r="R182" t="n">
        <v>6490</v>
      </c>
      <c r="S182" s="27">
        <f>R182/Q182</f>
        <v/>
      </c>
      <c r="T182" t="inlineStr">
        <is>
          <t>弘前市は2045年までに人口が約24.7%減と明確な減少トレンド。高齢化の進行と世帯数の縮小により、中長期では賃貸需要の構造的縮小に警戒が必要。</t>
        </is>
      </c>
      <c r="U182" t="inlineStr">
        <is>
          <t>弘前市は人口密度298人/km²と低密度で、賃貸需要は限定的。持ち家比率が高く、駐車場完備の戸建て賃貸が有利。 借家の空室率は約39%と供給過多気味で、空室長期化リスクに要警戒。</t>
        </is>
      </c>
      <c r="V182" t="inlineStr">
        <is>
          <t>弘前市（青森県）：豪雪地帯で除排雪コストが重い。日本海・太平洋沿岸の津波、岩木川・馬淵川の氾濫、八甲田山系の土砂災害に注意。</t>
        </is>
      </c>
    </row>
    <row r="183">
      <c r="A183" t="inlineStr">
        <is>
          <t>青森県</t>
        </is>
      </c>
      <c r="B183" t="inlineStr">
        <is>
          <t>八戸市</t>
        </is>
      </c>
      <c r="C183" t="n">
        <v>93130</v>
      </c>
      <c r="D183" t="n">
        <v>213173</v>
      </c>
      <c r="E183" s="6" t="n">
        <v>671.3</v>
      </c>
      <c r="F183" s="7" t="n">
        <v>48.4</v>
      </c>
      <c r="G183" t="n">
        <v>223415</v>
      </c>
      <c r="H183" t="n">
        <v>213173</v>
      </c>
      <c r="I183" t="n">
        <v>201707</v>
      </c>
      <c r="J183" t="n">
        <v>163879</v>
      </c>
      <c r="K183" s="27">
        <f>(H183/D183-1)</f>
        <v/>
      </c>
      <c r="L183" s="27">
        <f>(I183/D183-1)</f>
        <v/>
      </c>
      <c r="M183" s="27">
        <f>(J183/D183-1)</f>
        <v/>
      </c>
      <c r="N183" t="n">
        <v>51.2</v>
      </c>
      <c r="O183" s="28">
        <f>(N183+F183)/2</f>
        <v/>
      </c>
      <c r="P183">
        <f>IF(O183="計算不能","計算不能",IF(O183&gt;=80,5,IF(O183&gt;=60,4,IF(O183&gt;=40,3,IF(O183&gt;=28,2,1)))))</f>
        <v/>
      </c>
      <c r="Q183" t="n">
        <v>22971</v>
      </c>
      <c r="R183" t="n">
        <v>10490</v>
      </c>
      <c r="S183" s="27">
        <f>R183/Q183</f>
        <v/>
      </c>
      <c r="T183" t="inlineStr">
        <is>
          <t>八戸市は2045年までに人口が約23.1%減と明確な減少トレンド。高齢化の進行と世帯数の縮小により、中長期では賃貸需要の構造的縮小に警戒が必要。</t>
        </is>
      </c>
      <c r="U183" t="inlineStr">
        <is>
          <t>八戸市は人口密度671人/km²で、主要道路沿いや中心市街地に一定の賃貸需要が局在。立地選別が稼働を左右する。 借家の空室率は約46%と供給過多気味で、空室長期化リスクに要警戒。</t>
        </is>
      </c>
      <c r="V183" t="inlineStr">
        <is>
          <t>八戸市（青森県）：豪雪地帯で除排雪コストが重い。日本海・太平洋沿岸の津波、岩木川・馬淵川の氾濫、八甲田山系の土砂災害に注意。</t>
        </is>
      </c>
    </row>
    <row r="184">
      <c r="A184" t="inlineStr">
        <is>
          <t>青森県</t>
        </is>
      </c>
      <c r="B184" t="inlineStr">
        <is>
          <t>黒石市</t>
        </is>
      </c>
      <c r="C184" t="n">
        <v>11360</v>
      </c>
      <c r="D184" t="n">
        <v>29604</v>
      </c>
      <c r="E184" s="6" t="n">
        <v>133.1</v>
      </c>
      <c r="F184" s="7" t="n">
        <v>23.3</v>
      </c>
      <c r="G184" t="n">
        <v>31946</v>
      </c>
      <c r="H184" t="n">
        <v>29604</v>
      </c>
      <c r="I184" t="n">
        <v>27176</v>
      </c>
      <c r="J184" t="n">
        <v>19883</v>
      </c>
      <c r="K184" s="27">
        <f>(H184/D184-1)</f>
        <v/>
      </c>
      <c r="L184" s="27">
        <f>(I184/D184-1)</f>
        <v/>
      </c>
      <c r="M184" s="27">
        <f>(J184/D184-1)</f>
        <v/>
      </c>
      <c r="N184" t="n">
        <v>42.4</v>
      </c>
      <c r="O184" s="28">
        <f>(N184+F184)/2</f>
        <v/>
      </c>
      <c r="P184">
        <f>IF(O184="計算不能","計算不能",IF(O184&gt;=80,5,IF(O184&gt;=60,4,IF(O184&gt;=40,3,IF(O184&gt;=28,2,1)))))</f>
        <v/>
      </c>
      <c r="Q184" t="n">
        <v>2802</v>
      </c>
      <c r="R184" t="n">
        <v>460</v>
      </c>
      <c r="S184" s="27">
        <f>R184/Q184</f>
        <v/>
      </c>
      <c r="T184" t="inlineStr">
        <is>
          <t>黒石市は2045年までに人口が約32.8%減と急激な過疎・超高齢化が進行。若年労働世代の流出と自然減が重なり、賃貸事業としての持続性は極めて限定的。</t>
        </is>
      </c>
      <c r="U184" t="inlineStr">
        <is>
          <t>黒石市は人口密度133人/km²と過疎的水準で、民間賃貸の新規需要は薄い。実需に裏付けられた格安戸建ての指値取得のみが現実的。 借家の空室率は約16%と需給は比較的引き締まっている。</t>
        </is>
      </c>
      <c r="V184" t="inlineStr">
        <is>
          <t>黒石市（青森県）：豪雪地帯で除排雪コストが重い。日本海・太平洋沿岸の津波、岩木川・馬淵川の氾濫、八甲田山系の土砂災害に注意。</t>
        </is>
      </c>
    </row>
    <row r="185">
      <c r="A185" t="inlineStr">
        <is>
          <t>青森県</t>
        </is>
      </c>
      <c r="B185" t="inlineStr">
        <is>
          <t>五所川原市</t>
        </is>
      </c>
      <c r="C185" t="n">
        <v>20250</v>
      </c>
      <c r="D185" t="n">
        <v>47437</v>
      </c>
      <c r="E185" s="6" t="n">
        <v>117.5</v>
      </c>
      <c r="F185" s="7" t="n">
        <v>21.8</v>
      </c>
      <c r="G185" t="n">
        <v>51415</v>
      </c>
      <c r="H185" t="n">
        <v>47437</v>
      </c>
      <c r="I185" t="n">
        <v>43398</v>
      </c>
      <c r="J185" t="n">
        <v>31740</v>
      </c>
      <c r="K185" s="27">
        <f>(H185/D185-1)</f>
        <v/>
      </c>
      <c r="L185" s="27">
        <f>(I185/D185-1)</f>
        <v/>
      </c>
      <c r="M185" s="27">
        <f>(J185/D185-1)</f>
        <v/>
      </c>
      <c r="N185" t="n">
        <v>41.9</v>
      </c>
      <c r="O185" s="28">
        <f>(N185+F185)/2</f>
        <v/>
      </c>
      <c r="P185">
        <f>IF(O185="計算不能","計算不能",IF(O185&gt;=80,5,IF(O185&gt;=60,4,IF(O185&gt;=40,3,IF(O185&gt;=28,2,1)))))</f>
        <v/>
      </c>
      <c r="Q185" t="n">
        <v>4994</v>
      </c>
      <c r="R185" t="n">
        <v>1660</v>
      </c>
      <c r="S185" s="27">
        <f>R185/Q185</f>
        <v/>
      </c>
      <c r="T185" t="inlineStr">
        <is>
          <t>五所川原市は2045年までに人口が約33.1%減と急激な過疎・超高齢化が進行。若年労働世代の流出と自然減が重なり、賃貸事業としての持続性は極めて限定的。</t>
        </is>
      </c>
      <c r="U185" t="inlineStr">
        <is>
          <t>五所川原市は人口密度118人/km²と過疎的水準で、民間賃貸の新規需要は薄い。実需に裏付けられた格安戸建ての指値取得のみが現実的。 借家の空室率は約33%と供給過多気味で、空室長期化リスクに要警戒。</t>
        </is>
      </c>
      <c r="V185" t="inlineStr">
        <is>
          <t>五所川原市（青森県）：豪雪地帯で除排雪コストが重い。日本海・太平洋沿岸の津波、岩木川・馬淵川の氾濫、八甲田山系の土砂災害に注意。</t>
        </is>
      </c>
    </row>
    <row r="186">
      <c r="A186" t="inlineStr">
        <is>
          <t>青森県</t>
        </is>
      </c>
      <c r="B186" t="inlineStr">
        <is>
          <t>十和田市</t>
        </is>
      </c>
      <c r="C186" t="n">
        <v>24800</v>
      </c>
      <c r="D186" t="n">
        <v>57201</v>
      </c>
      <c r="E186" s="6" t="n">
        <v>78.2</v>
      </c>
      <c r="F186" s="7" t="n">
        <v>17.8</v>
      </c>
      <c r="G186" t="n">
        <v>60378</v>
      </c>
      <c r="H186" t="n">
        <v>57201</v>
      </c>
      <c r="I186" t="n">
        <v>53728</v>
      </c>
      <c r="J186" t="n">
        <v>42673</v>
      </c>
      <c r="K186" s="27">
        <f>(H186/D186-1)</f>
        <v/>
      </c>
      <c r="L186" s="27">
        <f>(I186/D186-1)</f>
        <v/>
      </c>
      <c r="M186" s="27">
        <f>(J186/D186-1)</f>
        <v/>
      </c>
      <c r="N186" t="n">
        <v>48.4</v>
      </c>
      <c r="O186" s="28">
        <f>(N186+F186)/2</f>
        <v/>
      </c>
      <c r="P186">
        <f>IF(O186="計算不能","計算不能",IF(O186&gt;=80,5,IF(O186&gt;=60,4,IF(O186&gt;=40,3,IF(O186&gt;=28,2,1)))))</f>
        <v/>
      </c>
      <c r="Q186" t="n">
        <v>6117</v>
      </c>
      <c r="R186" t="n">
        <v>2340</v>
      </c>
      <c r="S186" s="27">
        <f>R186/Q186</f>
        <v/>
      </c>
      <c r="T186" t="inlineStr">
        <is>
          <t>十和田市は2045年までに人口が約25.4%減と明確な減少トレンド。高齢化の進行と世帯数の縮小により、中長期では賃貸需要の構造的縮小に警戒が必要。</t>
        </is>
      </c>
      <c r="U186" t="inlineStr">
        <is>
          <t>十和田市は人口密度78人/km²と過疎的水準で、民間賃貸の新規需要は薄い。実需に裏付けられた格安戸建ての指値取得のみが現実的。 借家の空室率は約38%と供給過多気味で、空室長期化リスクに要警戒。</t>
        </is>
      </c>
      <c r="V186" t="inlineStr">
        <is>
          <t>十和田市（青森県）：豪雪地帯で除排雪コストが重い。日本海・太平洋沿岸の津波、岩木川・馬淵川の氾濫、八甲田山系の土砂災害に注意。</t>
        </is>
      </c>
    </row>
    <row r="187">
      <c r="A187" t="inlineStr">
        <is>
          <t>青森県</t>
        </is>
      </c>
      <c r="B187" t="inlineStr">
        <is>
          <t>三沢市</t>
        </is>
      </c>
      <c r="C187" t="n">
        <v>17090</v>
      </c>
      <c r="D187" t="n">
        <v>37512</v>
      </c>
      <c r="E187" s="6" t="n">
        <v>310.9</v>
      </c>
      <c r="F187" s="7" t="n">
        <v>35.5</v>
      </c>
      <c r="G187" t="n">
        <v>39152</v>
      </c>
      <c r="H187" t="n">
        <v>37512</v>
      </c>
      <c r="I187" t="n">
        <v>35706</v>
      </c>
      <c r="J187" t="n">
        <v>29970</v>
      </c>
      <c r="K187" s="27">
        <f>(H187/D187-1)</f>
        <v/>
      </c>
      <c r="L187" s="27">
        <f>(I187/D187-1)</f>
        <v/>
      </c>
      <c r="M187" s="27">
        <f>(J187/D187-1)</f>
        <v/>
      </c>
      <c r="N187" t="n">
        <v>53.8</v>
      </c>
      <c r="O187" s="28">
        <f>(N187+F187)/2</f>
        <v/>
      </c>
      <c r="P187">
        <f>IF(O187="計算不能","計算不能",IF(O187&gt;=80,5,IF(O187&gt;=60,4,IF(O187&gt;=40,3,IF(O187&gt;=28,2,1)))))</f>
        <v/>
      </c>
      <c r="Q187" t="n">
        <v>4215</v>
      </c>
      <c r="R187" t="n">
        <v>2220</v>
      </c>
      <c r="S187" s="27">
        <f>R187/Q187</f>
        <v/>
      </c>
      <c r="T187" t="inlineStr">
        <is>
          <t>三沢市は2045年までに人口が約20.1%減と明確な減少トレンド。高齢化の進行と世帯数の縮小により、中長期では賃貸需要の構造的縮小に警戒が必要。</t>
        </is>
      </c>
      <c r="U187" t="inlineStr">
        <is>
          <t>三沢市は人口密度311人/km²と低密度で、賃貸需要は限定的。持ち家比率が高く、駐車場完備の戸建て賃貸が有利。 借家の空室率は約53%と供給過多気味で、空室長期化リスクに要警戒。</t>
        </is>
      </c>
      <c r="V187" t="inlineStr">
        <is>
          <t>三沢市（青森県）：豪雪地帯で除排雪コストが重い。日本海・太平洋沿岸の津波、岩木川・馬淵川の氾濫、八甲田山系の土砂災害に注意。</t>
        </is>
      </c>
    </row>
    <row r="188">
      <c r="A188" t="inlineStr">
        <is>
          <t>青森県</t>
        </is>
      </c>
      <c r="B188" t="inlineStr">
        <is>
          <t>むつ市</t>
        </is>
      </c>
      <c r="C188" t="n">
        <v>22930</v>
      </c>
      <c r="D188" t="n">
        <v>49438</v>
      </c>
      <c r="E188" s="6" t="n">
        <v>57.5</v>
      </c>
      <c r="F188" s="7" t="n">
        <v>15.8</v>
      </c>
      <c r="G188" t="n">
        <v>54103</v>
      </c>
      <c r="H188" t="n">
        <v>49438</v>
      </c>
      <c r="I188" t="n">
        <v>45680</v>
      </c>
      <c r="J188" t="n">
        <v>34221</v>
      </c>
      <c r="K188" s="27">
        <f>(H188/D188-1)</f>
        <v/>
      </c>
      <c r="L188" s="27">
        <f>(I188/D188-1)</f>
        <v/>
      </c>
      <c r="M188" s="27">
        <f>(J188/D188-1)</f>
        <v/>
      </c>
      <c r="N188" t="n">
        <v>41.9</v>
      </c>
      <c r="O188" s="28">
        <f>(N188+F188)/2</f>
        <v/>
      </c>
      <c r="P188">
        <f>IF(O188="計算不能","計算不能",IF(O188&gt;=80,5,IF(O188&gt;=60,4,IF(O188&gt;=40,3,IF(O188&gt;=28,2,1)))))</f>
        <v/>
      </c>
      <c r="Q188" t="n">
        <v>5655</v>
      </c>
      <c r="R188" t="n">
        <v>1690</v>
      </c>
      <c r="S188" s="27">
        <f>R188/Q188</f>
        <v/>
      </c>
      <c r="T188" t="inlineStr">
        <is>
          <t>むつ市は2045年までに人口が約30.8%減と急激な過疎・超高齢化が進行。若年労働世代の流出と自然減が重なり、賃貸事業としての持続性は極めて限定的。</t>
        </is>
      </c>
      <c r="U188" t="inlineStr">
        <is>
          <t>むつ市は人口密度58人/km²と過疎的水準で、民間賃貸の新規需要は薄い。実需に裏付けられた格安戸建ての指値取得のみが現実的。 借家の空室率は約30%と供給過多気味で、空室長期化リスクに要警戒。</t>
        </is>
      </c>
      <c r="V188" t="inlineStr">
        <is>
          <t>むつ市（青森県）：豪雪地帯で除排雪コストが重い。日本海・太平洋沿岸の津波、岩木川・馬淵川の氾濫、八甲田山系の土砂災害に注意。</t>
        </is>
      </c>
    </row>
    <row r="189">
      <c r="A189" t="inlineStr">
        <is>
          <t>青森県</t>
        </is>
      </c>
      <c r="B189" t="inlineStr">
        <is>
          <t>つがる市</t>
        </is>
      </c>
      <c r="C189" t="n">
        <v>10380</v>
      </c>
      <c r="D189" t="n">
        <v>28046</v>
      </c>
      <c r="E189" s="6" t="n">
        <v>106.8</v>
      </c>
      <c r="F189" s="7" t="n">
        <v>20.7</v>
      </c>
      <c r="G189" t="n">
        <v>30934</v>
      </c>
      <c r="H189" t="n">
        <v>28046</v>
      </c>
      <c r="I189" t="n">
        <v>25202</v>
      </c>
      <c r="J189" t="n">
        <v>17557</v>
      </c>
      <c r="K189" s="27">
        <f>(H189/D189-1)</f>
        <v/>
      </c>
      <c r="L189" s="27">
        <f>(I189/D189-1)</f>
        <v/>
      </c>
      <c r="M189" s="27">
        <f>(J189/D189-1)</f>
        <v/>
      </c>
      <c r="N189" t="n">
        <v>39</v>
      </c>
      <c r="O189" s="28">
        <f>(N189+F189)/2</f>
        <v/>
      </c>
      <c r="P189">
        <f>IF(O189="計算不能","計算不能",IF(O189&gt;=80,5,IF(O189&gt;=60,4,IF(O189&gt;=40,3,IF(O189&gt;=28,2,1)))))</f>
        <v/>
      </c>
      <c r="Q189" t="n">
        <v>2560</v>
      </c>
      <c r="R189" t="n">
        <v>240</v>
      </c>
      <c r="S189" s="27">
        <f>R189/Q189</f>
        <v/>
      </c>
      <c r="T189" t="inlineStr">
        <is>
          <t>つがる市は2045年までに人口が約37.4%減と急激な過疎・超高齢化が進行。若年労働世代の流出と自然減が重なり、賃貸事業としての持続性は極めて限定的。</t>
        </is>
      </c>
      <c r="U189" t="inlineStr">
        <is>
          <t>つがる市は人口密度107人/km²と過疎的水準で、民間賃貸の新規需要は薄い。実需に裏付けられた格安戸建ての指値取得のみが現実的。 借家の空室率は約9%と需給は比較的引き締まっている。</t>
        </is>
      </c>
      <c r="V189" t="inlineStr">
        <is>
          <t>つがる市（青森県）：豪雪地帯で除排雪コストが重い。日本海・太平洋沿岸の津波、岩木川・馬淵川の氾濫、八甲田山系の土砂災害に注意。</t>
        </is>
      </c>
    </row>
    <row r="190">
      <c r="A190" t="inlineStr">
        <is>
          <t>青森県</t>
        </is>
      </c>
      <c r="B190" t="inlineStr">
        <is>
          <t>平川市</t>
        </is>
      </c>
      <c r="C190" t="n">
        <v>10430</v>
      </c>
      <c r="D190" t="n">
        <v>28640</v>
      </c>
      <c r="E190" s="6" t="n">
        <v>83.2</v>
      </c>
      <c r="F190" s="7" t="n">
        <v>18.3</v>
      </c>
      <c r="G190" t="n">
        <v>30567</v>
      </c>
      <c r="H190" t="n">
        <v>28640</v>
      </c>
      <c r="I190" t="n">
        <v>26476</v>
      </c>
      <c r="J190" t="n">
        <v>20103</v>
      </c>
      <c r="K190" s="27">
        <f>(H190/D190-1)</f>
        <v/>
      </c>
      <c r="L190" s="27">
        <f>(I190/D190-1)</f>
        <v/>
      </c>
      <c r="M190" s="27">
        <f>(J190/D190-1)</f>
        <v/>
      </c>
      <c r="N190" t="n">
        <v>44.2</v>
      </c>
      <c r="O190" s="28">
        <f>(N190+F190)/2</f>
        <v/>
      </c>
      <c r="P190">
        <f>IF(O190="計算不能","計算不能",IF(O190&gt;=80,5,IF(O190&gt;=60,4,IF(O190&gt;=40,3,IF(O190&gt;=28,2,1)))))</f>
        <v/>
      </c>
      <c r="Q190" t="n">
        <v>2572</v>
      </c>
      <c r="R190" t="n">
        <v>160</v>
      </c>
      <c r="S190" s="27">
        <f>R190/Q190</f>
        <v/>
      </c>
      <c r="T190" t="inlineStr">
        <is>
          <t>平川市は2045年までに人口が約29.8%減と明確な減少トレンド。高齢化の進行と世帯数の縮小により、中長期では賃貸需要の構造的縮小に警戒が必要。</t>
        </is>
      </c>
      <c r="U190" t="inlineStr">
        <is>
          <t>平川市は人口密度83人/km²と過疎的水準で、民間賃貸の新規需要は薄い。実需に裏付けられた格安戸建ての指値取得のみが現実的。 借家の空室率は約6%と需給は比較的引き締まっている。</t>
        </is>
      </c>
      <c r="V190" t="inlineStr">
        <is>
          <t>平川市（青森県）：豪雪地帯で除排雪コストが重い。日本海・太平洋沿岸の津波、岩木川・馬淵川の氾濫、八甲田山系の土砂災害に注意。</t>
        </is>
      </c>
    </row>
    <row r="191">
      <c r="A191" t="inlineStr">
        <is>
          <t>青森県</t>
        </is>
      </c>
      <c r="B191" t="inlineStr">
        <is>
          <t>平内町</t>
        </is>
      </c>
      <c r="C191" t="n">
        <v>4729</v>
      </c>
      <c r="D191" t="n">
        <v>9068</v>
      </c>
      <c r="E191" s="6" t="n">
        <v>42.1</v>
      </c>
      <c r="F191" s="7" t="n">
        <v>14.2</v>
      </c>
      <c r="G191" t="n">
        <v>10126</v>
      </c>
      <c r="H191" t="n">
        <v>9068</v>
      </c>
      <c r="I191" t="n">
        <v>8077</v>
      </c>
      <c r="J191" t="n">
        <v>5280</v>
      </c>
      <c r="K191" s="27">
        <f>(H191/D191-1)</f>
        <v/>
      </c>
      <c r="L191" s="27">
        <f>(I191/D191-1)</f>
        <v/>
      </c>
      <c r="M191" s="27">
        <f>(J191/D191-1)</f>
        <v/>
      </c>
      <c r="N191" t="n">
        <v>36.8</v>
      </c>
      <c r="O191" s="28">
        <f>(N191+F191)/2</f>
        <v/>
      </c>
      <c r="P191">
        <f>IF(O191="計算不能","計算不能",IF(O191&gt;=80,5,IF(O191&gt;=60,4,IF(O191&gt;=40,3,IF(O191&gt;=28,2,1)))))</f>
        <v/>
      </c>
      <c r="Q191" t="n">
        <v>1166</v>
      </c>
      <c r="R191" t="n">
        <v>0</v>
      </c>
      <c r="S191" s="27">
        <f>R191/Q191</f>
        <v/>
      </c>
      <c r="T191" t="inlineStr">
        <is>
          <t>平内町は2045年までに人口が約41.8%減と急激な過疎・超高齢化が進行。若年労働世代の流出と自然減が重なり、賃貸事業としての持続性は極めて限定的。</t>
        </is>
      </c>
      <c r="U191" t="inlineStr">
        <is>
          <t>平内町は人口密度42人/km²と過疎的水準で、民間賃貸の新規需要は薄い。実需に裏付けられた格安戸建ての指値取得のみが現実的。 借家の空室率は約0%と需給は比較的引き締まっている。</t>
        </is>
      </c>
      <c r="V191" t="inlineStr">
        <is>
          <t>平内町（青森県）：豪雪地帯で除排雪コストが重い。日本海・太平洋沿岸の津波、岩木川・馬淵川の氾濫、八甲田山系の土砂災害に注意。</t>
        </is>
      </c>
    </row>
    <row r="192">
      <c r="A192" t="inlineStr">
        <is>
          <t>青森県</t>
        </is>
      </c>
      <c r="B192" t="inlineStr">
        <is>
          <t>今別町</t>
        </is>
      </c>
      <c r="C192" t="n">
        <v>1264</v>
      </c>
      <c r="D192" t="n">
        <v>1991</v>
      </c>
      <c r="E192" s="6" t="n">
        <v>15.1</v>
      </c>
      <c r="F192" s="7" t="n">
        <v>11.5</v>
      </c>
      <c r="G192" t="n">
        <v>2334</v>
      </c>
      <c r="H192" t="n">
        <v>1991</v>
      </c>
      <c r="I192" t="n">
        <v>1660</v>
      </c>
      <c r="J192" t="n">
        <v>874</v>
      </c>
      <c r="K192" s="27">
        <f>(H192/D192-1)</f>
        <v/>
      </c>
      <c r="L192" s="27">
        <f>(I192/D192-1)</f>
        <v/>
      </c>
      <c r="M192" s="27">
        <f>(J192/D192-1)</f>
        <v/>
      </c>
      <c r="N192" t="n">
        <v>29.2</v>
      </c>
      <c r="O192" s="28">
        <f>(N192+F192)/2</f>
        <v/>
      </c>
      <c r="P192">
        <f>IF(O192="計算不能","計算不能",IF(O192&gt;=80,5,IF(O192&gt;=60,4,IF(O192&gt;=40,3,IF(O192&gt;=28,2,1)))))</f>
        <v/>
      </c>
      <c r="Q192" t="n">
        <v>311</v>
      </c>
      <c r="R192" t="n">
        <v>0</v>
      </c>
      <c r="S192" s="27">
        <f>R192/Q192</f>
        <v/>
      </c>
      <c r="T192" t="inlineStr">
        <is>
          <t>今別町は2045年までに人口が約56.1%減と急激な過疎・超高齢化が進行。若年労働世代の流出と自然減が重なり、賃貸事業としての持続性は極めて限定的。</t>
        </is>
      </c>
      <c r="U192" t="inlineStr">
        <is>
          <t>今別町は人口密度15人/km²と過疎的水準で、民間賃貸の新規需要は薄い。実需に裏付けられた格安戸建ての指値取得のみが現実的。 借家の空室率は約0%と需給は比較的引き締まっている。</t>
        </is>
      </c>
      <c r="V192" t="inlineStr">
        <is>
          <t>今別町（青森県）：豪雪地帯で除排雪コストが重い。日本海・太平洋沿岸の津波、岩木川・馬淵川の氾濫、八甲田山系の土砂災害に注意。</t>
        </is>
      </c>
    </row>
    <row r="193">
      <c r="A193" t="inlineStr">
        <is>
          <t>青森県</t>
        </is>
      </c>
      <c r="B193" t="inlineStr">
        <is>
          <t>蓬田村</t>
        </is>
      </c>
      <c r="C193" t="n">
        <v>1122</v>
      </c>
      <c r="D193" t="n">
        <v>2290</v>
      </c>
      <c r="E193" s="6" t="n">
        <v>27.9</v>
      </c>
      <c r="F193" s="7" t="n">
        <v>12.8</v>
      </c>
      <c r="G193" t="n">
        <v>2540</v>
      </c>
      <c r="H193" t="n">
        <v>2290</v>
      </c>
      <c r="I193" t="n">
        <v>2032</v>
      </c>
      <c r="J193" t="n">
        <v>1348</v>
      </c>
      <c r="K193" s="27">
        <f>(H193/D193-1)</f>
        <v/>
      </c>
      <c r="L193" s="27">
        <f>(I193/D193-1)</f>
        <v/>
      </c>
      <c r="M193" s="27">
        <f>(J193/D193-1)</f>
        <v/>
      </c>
      <c r="N193" t="n">
        <v>37.3</v>
      </c>
      <c r="O193" s="28">
        <f>(N193+F193)/2</f>
        <v/>
      </c>
      <c r="P193">
        <f>IF(O193="計算不能","計算不能",IF(O193&gt;=80,5,IF(O193&gt;=60,4,IF(O193&gt;=40,3,IF(O193&gt;=28,2,1)))))</f>
        <v/>
      </c>
      <c r="Q193" t="n">
        <v>276</v>
      </c>
      <c r="R193" t="n">
        <v>0</v>
      </c>
      <c r="S193" s="27">
        <f>R193/Q193</f>
        <v/>
      </c>
      <c r="T193" t="inlineStr">
        <is>
          <t>蓬田村は2045年までに人口が約41.1%減と急激な過疎・超高齢化が進行。若年労働世代の流出と自然減が重なり、賃貸事業としての持続性は極めて限定的。</t>
        </is>
      </c>
      <c r="U193" t="inlineStr">
        <is>
          <t>蓬田村は人口密度28人/km²と過疎的水準で、民間賃貸の新規需要は薄い。実需に裏付けられた格安戸建ての指値取得のみが現実的。 借家の空室率は約0%と需給は比較的引き締まっている。</t>
        </is>
      </c>
      <c r="V193" t="inlineStr">
        <is>
          <t>蓬田村（青森県）：豪雪地帯で除排雪コストが重い。日本海・太平洋沿岸の津波、岩木川・馬淵川の氾濫、八甲田山系の土砂災害に注意。</t>
        </is>
      </c>
    </row>
    <row r="194">
      <c r="A194" t="inlineStr">
        <is>
          <t>青森県</t>
        </is>
      </c>
      <c r="B194" t="inlineStr">
        <is>
          <t>外ヶ浜町</t>
        </is>
      </c>
      <c r="C194" t="n">
        <v>2627</v>
      </c>
      <c r="D194" t="n">
        <v>4584</v>
      </c>
      <c r="E194" s="6" t="n">
        <v>19.6</v>
      </c>
      <c r="F194" s="7" t="n">
        <v>12</v>
      </c>
      <c r="G194" t="n">
        <v>5401</v>
      </c>
      <c r="H194" t="n">
        <v>4584</v>
      </c>
      <c r="I194" t="n">
        <v>3866</v>
      </c>
      <c r="J194" t="n">
        <v>2178</v>
      </c>
      <c r="K194" s="27">
        <f>(H194/D194-1)</f>
        <v/>
      </c>
      <c r="L194" s="27">
        <f>(I194/D194-1)</f>
        <v/>
      </c>
      <c r="M194" s="27">
        <f>(J194/D194-1)</f>
        <v/>
      </c>
      <c r="N194" t="n">
        <v>29.5</v>
      </c>
      <c r="O194" s="28">
        <f>(N194+F194)/2</f>
        <v/>
      </c>
      <c r="P194">
        <f>IF(O194="計算不能","計算不能",IF(O194&gt;=80,5,IF(O194&gt;=60,4,IF(O194&gt;=40,3,IF(O194&gt;=28,2,1)))))</f>
        <v/>
      </c>
      <c r="Q194" t="n">
        <v>647</v>
      </c>
      <c r="R194" t="n">
        <v>0</v>
      </c>
      <c r="S194" s="27">
        <f>R194/Q194</f>
        <v/>
      </c>
      <c r="T194" t="inlineStr">
        <is>
          <t>外ヶ浜町は2045年までに人口が約52.5%減と急激な過疎・超高齢化が進行。若年労働世代の流出と自然減が重なり、賃貸事業としての持続性は極めて限定的。</t>
        </is>
      </c>
      <c r="U194" t="inlineStr">
        <is>
          <t>外ヶ浜町は人口密度20人/km²と過疎的水準で、民間賃貸の新規需要は薄い。実需に裏付けられた格安戸建ての指値取得のみが現実的。 借家の空室率は約0%と需給は比較的引き締まっている。</t>
        </is>
      </c>
      <c r="V194" t="inlineStr">
        <is>
          <t>外ヶ浜町（青森県）：豪雪地帯で除排雪コストが重い。日本海・太平洋沿岸の津波、岩木川・馬淵川の氾濫、八甲田山系の土砂災害に注意。</t>
        </is>
      </c>
    </row>
    <row r="195">
      <c r="A195" t="inlineStr">
        <is>
          <t>青森県</t>
        </is>
      </c>
      <c r="B195" t="inlineStr">
        <is>
          <t>鰺ヶ沢町</t>
        </is>
      </c>
      <c r="C195" t="n">
        <v>4339</v>
      </c>
      <c r="D195" t="n">
        <v>7975</v>
      </c>
      <c r="E195" s="6" t="n">
        <v>22.6</v>
      </c>
      <c r="F195" s="7" t="n">
        <v>12.3</v>
      </c>
      <c r="G195" t="n">
        <v>9044</v>
      </c>
      <c r="H195" t="n">
        <v>7975</v>
      </c>
      <c r="I195" t="n">
        <v>6990</v>
      </c>
      <c r="J195" t="n">
        <v>4474</v>
      </c>
      <c r="K195" s="27">
        <f>(H195/D195-1)</f>
        <v/>
      </c>
      <c r="L195" s="27">
        <f>(I195/D195-1)</f>
        <v/>
      </c>
      <c r="M195" s="27">
        <f>(J195/D195-1)</f>
        <v/>
      </c>
      <c r="N195" t="n">
        <v>34.7</v>
      </c>
      <c r="O195" s="28">
        <f>(N195+F195)/2</f>
        <v/>
      </c>
      <c r="P195">
        <f>IF(O195="計算不能","計算不能",IF(O195&gt;=80,5,IF(O195&gt;=60,4,IF(O195&gt;=40,3,IF(O195&gt;=28,2,1)))))</f>
        <v/>
      </c>
      <c r="Q195" t="n">
        <v>1070</v>
      </c>
      <c r="R195" t="n">
        <v>0</v>
      </c>
      <c r="S195" s="27">
        <f>R195/Q195</f>
        <v/>
      </c>
      <c r="T195" t="inlineStr">
        <is>
          <t>鰺ヶ沢町は2045年までに人口が約43.9%減と急激な過疎・超高齢化が進行。若年労働世代の流出と自然減が重なり、賃貸事業としての持続性は極めて限定的。</t>
        </is>
      </c>
      <c r="U195" t="inlineStr">
        <is>
          <t>鰺ヶ沢町は人口密度23人/km²と過疎的水準で、民間賃貸の新規需要は薄い。実需に裏付けられた格安戸建ての指値取得のみが現実的。 借家の空室率は約0%と需給は比較的引き締まっている。</t>
        </is>
      </c>
      <c r="V195" t="inlineStr">
        <is>
          <t>鰺ヶ沢町（青森県）：豪雪地帯で除排雪コストが重い。日本海・太平洋沿岸の津波、岩木川・馬淵川の氾濫、八甲田山系の土砂災害に注意。</t>
        </is>
      </c>
    </row>
    <row r="196">
      <c r="A196" t="inlineStr">
        <is>
          <t>青森県</t>
        </is>
      </c>
      <c r="B196" t="inlineStr">
        <is>
          <t>深浦町</t>
        </is>
      </c>
      <c r="C196" t="n">
        <v>3485</v>
      </c>
      <c r="D196" t="n">
        <v>6325</v>
      </c>
      <c r="E196" s="6" t="n">
        <v>12.8</v>
      </c>
      <c r="F196" s="7" t="n">
        <v>11.3</v>
      </c>
      <c r="G196" t="n">
        <v>7346</v>
      </c>
      <c r="H196" t="n">
        <v>6325</v>
      </c>
      <c r="I196" t="n">
        <v>5392</v>
      </c>
      <c r="J196" t="n">
        <v>3120</v>
      </c>
      <c r="K196" s="27">
        <f>(H196/D196-1)</f>
        <v/>
      </c>
      <c r="L196" s="27">
        <f>(I196/D196-1)</f>
        <v/>
      </c>
      <c r="M196" s="27">
        <f>(J196/D196-1)</f>
        <v/>
      </c>
      <c r="N196" t="n">
        <v>30.7</v>
      </c>
      <c r="O196" s="28">
        <f>(N196+F196)/2</f>
        <v/>
      </c>
      <c r="P196">
        <f>IF(O196="計算不能","計算不能",IF(O196&gt;=80,5,IF(O196&gt;=60,4,IF(O196&gt;=40,3,IF(O196&gt;=28,2,1)))))</f>
        <v/>
      </c>
      <c r="Q196" t="n">
        <v>859</v>
      </c>
      <c r="R196" t="n">
        <v>0</v>
      </c>
      <c r="S196" s="27">
        <f>R196/Q196</f>
        <v/>
      </c>
      <c r="T196" t="inlineStr">
        <is>
          <t>深浦町は2045年までに人口が約50.7%減と急激な過疎・超高齢化が進行。若年労働世代の流出と自然減が重なり、賃貸事業としての持続性は極めて限定的。</t>
        </is>
      </c>
      <c r="U196" t="inlineStr">
        <is>
          <t>深浦町は人口密度13人/km²と過疎的水準で、民間賃貸の新規需要は薄い。実需に裏付けられた格安戸建ての指値取得のみが現実的。 借家の空室率は約0%と需給は比較的引き締まっている。</t>
        </is>
      </c>
      <c r="V196" t="inlineStr">
        <is>
          <t>深浦町（青森県）：豪雪地帯で除排雪コストが重い。日本海・太平洋沿岸の津波、岩木川・馬淵川の氾濫、八甲田山系の土砂災害に注意。</t>
        </is>
      </c>
    </row>
    <row r="197">
      <c r="A197" t="inlineStr">
        <is>
          <t>青森県</t>
        </is>
      </c>
      <c r="B197" t="inlineStr">
        <is>
          <t>西目屋村</t>
        </is>
      </c>
      <c r="C197" t="n">
        <v>530</v>
      </c>
      <c r="D197" t="n">
        <v>1147</v>
      </c>
      <c r="E197" s="6" t="n">
        <v>4.6</v>
      </c>
      <c r="F197" s="7" t="n">
        <v>10.5</v>
      </c>
      <c r="G197" t="n">
        <v>1265</v>
      </c>
      <c r="H197" t="n">
        <v>1147</v>
      </c>
      <c r="I197" t="n">
        <v>1004</v>
      </c>
      <c r="J197" t="n">
        <v>667</v>
      </c>
      <c r="K197" s="27">
        <f>(H197/D197-1)</f>
        <v/>
      </c>
      <c r="L197" s="27">
        <f>(I197/D197-1)</f>
        <v/>
      </c>
      <c r="M197" s="27">
        <f>(J197/D197-1)</f>
        <v/>
      </c>
      <c r="N197" t="n">
        <v>37.2</v>
      </c>
      <c r="O197" s="28">
        <f>(N197+F197)/2</f>
        <v/>
      </c>
      <c r="P197">
        <f>IF(O197="計算不能","計算不能",IF(O197&gt;=80,5,IF(O197&gt;=60,4,IF(O197&gt;=40,3,IF(O197&gt;=28,2,1)))))</f>
        <v/>
      </c>
      <c r="Q197" t="n">
        <v>130</v>
      </c>
      <c r="R197" t="n">
        <v>0</v>
      </c>
      <c r="S197" s="27">
        <f>R197/Q197</f>
        <v/>
      </c>
      <c r="T197" t="inlineStr">
        <is>
          <t>西目屋村は2045年までに人口が約41.8%減と急激な過疎・超高齢化が進行。若年労働世代の流出と自然減が重なり、賃貸事業としての持続性は極めて限定的。</t>
        </is>
      </c>
      <c r="U197" t="inlineStr">
        <is>
          <t>西目屋村は人口密度5人/km²と過疎的水準で、民間賃貸の新規需要は薄い。実需に裏付けられた格安戸建ての指値取得のみが現実的。 借家の空室率は約0%と需給は比較的引き締まっている。</t>
        </is>
      </c>
      <c r="V197" t="inlineStr">
        <is>
          <t>西目屋村（青森県）：豪雪地帯で除排雪コストが重い。日本海・太平洋沿岸の津波、岩木川・馬淵川の氾濫、八甲田山系の土砂災害に注意。</t>
        </is>
      </c>
    </row>
    <row r="198">
      <c r="A198" t="inlineStr">
        <is>
          <t>青森県</t>
        </is>
      </c>
      <c r="B198" t="inlineStr">
        <is>
          <t>藤崎町</t>
        </is>
      </c>
      <c r="C198" t="n">
        <v>6208</v>
      </c>
      <c r="D198" t="n">
        <v>13763</v>
      </c>
      <c r="E198" s="6" t="n">
        <v>378.6</v>
      </c>
      <c r="F198" s="7" t="n">
        <v>38.9</v>
      </c>
      <c r="G198" t="n">
        <v>14573</v>
      </c>
      <c r="H198" t="n">
        <v>13763</v>
      </c>
      <c r="I198" t="n">
        <v>12907</v>
      </c>
      <c r="J198" t="n">
        <v>10219</v>
      </c>
      <c r="K198" s="27">
        <f>(H198/D198-1)</f>
        <v/>
      </c>
      <c r="L198" s="27">
        <f>(I198/D198-1)</f>
        <v/>
      </c>
      <c r="M198" s="27">
        <f>(J198/D198-1)</f>
        <v/>
      </c>
      <c r="N198" t="n">
        <v>47.6</v>
      </c>
      <c r="O198" s="28">
        <f>(N198+F198)/2</f>
        <v/>
      </c>
      <c r="P198">
        <f>IF(O198="計算不能","計算不能",IF(O198&gt;=80,5,IF(O198&gt;=60,4,IF(O198&gt;=40,3,IF(O198&gt;=28,2,1)))))</f>
        <v/>
      </c>
      <c r="Q198" t="n">
        <v>1531</v>
      </c>
      <c r="R198" t="n">
        <v>0</v>
      </c>
      <c r="S198" s="27">
        <f>R198/Q198</f>
        <v/>
      </c>
      <c r="T198" t="inlineStr">
        <is>
          <t>藤崎町は2045年までに人口が約25.8%減と明確な減少トレンド。高齢化の進行と世帯数の縮小により、中長期では賃貸需要の構造的縮小に警戒が必要。</t>
        </is>
      </c>
      <c r="U198" t="inlineStr">
        <is>
          <t>藤崎町は人口密度379人/km²と低密度で、賃貸需要は限定的。持ち家比率が高く、駐車場完備の戸建て賃貸が有利。 借家の空室率は約0%と需給は比較的引き締まっている。</t>
        </is>
      </c>
      <c r="V198" t="inlineStr">
        <is>
          <t>藤崎町（青森県）：豪雪地帯で除排雪コストが重い。日本海・太平洋沿岸の津波、岩木川・馬淵川の氾濫、八甲田山系の土砂災害に注意。</t>
        </is>
      </c>
    </row>
    <row r="199">
      <c r="A199" t="inlineStr">
        <is>
          <t>青森県</t>
        </is>
      </c>
      <c r="B199" t="inlineStr">
        <is>
          <t>大鰐町</t>
        </is>
      </c>
      <c r="C199" t="n">
        <v>4036</v>
      </c>
      <c r="D199" t="n">
        <v>7666</v>
      </c>
      <c r="E199" s="6" t="n">
        <v>46.6</v>
      </c>
      <c r="F199" s="7" t="n">
        <v>14.7</v>
      </c>
      <c r="G199" t="n">
        <v>8665</v>
      </c>
      <c r="H199" t="n">
        <v>7666</v>
      </c>
      <c r="I199" t="n">
        <v>6749</v>
      </c>
      <c r="J199" t="n">
        <v>4319</v>
      </c>
      <c r="K199" s="27">
        <f>(H199/D199-1)</f>
        <v/>
      </c>
      <c r="L199" s="27">
        <f>(I199/D199-1)</f>
        <v/>
      </c>
      <c r="M199" s="27">
        <f>(J199/D199-1)</f>
        <v/>
      </c>
      <c r="N199" t="n">
        <v>35.1</v>
      </c>
      <c r="O199" s="28">
        <f>(N199+F199)/2</f>
        <v/>
      </c>
      <c r="P199">
        <f>IF(O199="計算不能","計算不能",IF(O199&gt;=80,5,IF(O199&gt;=60,4,IF(O199&gt;=40,3,IF(O199&gt;=28,2,1)))))</f>
        <v/>
      </c>
      <c r="Q199" t="n">
        <v>995</v>
      </c>
      <c r="R199" t="n">
        <v>0</v>
      </c>
      <c r="S199" s="27">
        <f>R199/Q199</f>
        <v/>
      </c>
      <c r="T199" t="inlineStr">
        <is>
          <t>大鰐町は2045年までに人口が約43.7%減と急激な過疎・超高齢化が進行。若年労働世代の流出と自然減が重なり、賃貸事業としての持続性は極めて限定的。</t>
        </is>
      </c>
      <c r="U199" t="inlineStr">
        <is>
          <t>大鰐町は人口密度47人/km²と過疎的水準で、民間賃貸の新規需要は薄い。実需に裏付けられた格安戸建ての指値取得のみが現実的。 借家の空室率は約0%と需給は比較的引き締まっている。</t>
        </is>
      </c>
      <c r="V199" t="inlineStr">
        <is>
          <t>大鰐町（青森県）：豪雪地帯で除排雪コストが重い。日本海・太平洋沿岸の津波、岩木川・馬淵川の氾濫、八甲田山系の土砂災害に注意。</t>
        </is>
      </c>
    </row>
    <row r="200">
      <c r="A200" t="inlineStr">
        <is>
          <t>青森県</t>
        </is>
      </c>
      <c r="B200" t="inlineStr">
        <is>
          <t>田舎館村</t>
        </is>
      </c>
      <c r="C200" t="n">
        <v>2920</v>
      </c>
      <c r="D200" t="n">
        <v>6829</v>
      </c>
      <c r="E200" s="6" t="n">
        <v>306.5</v>
      </c>
      <c r="F200" s="7" t="n">
        <v>35.3</v>
      </c>
      <c r="G200" t="n">
        <v>7326</v>
      </c>
      <c r="H200" t="n">
        <v>6829</v>
      </c>
      <c r="I200" t="n">
        <v>6318</v>
      </c>
      <c r="J200" t="n">
        <v>4838</v>
      </c>
      <c r="K200" s="27">
        <f>(H200/D200-1)</f>
        <v/>
      </c>
      <c r="L200" s="27">
        <f>(I200/D200-1)</f>
        <v/>
      </c>
      <c r="M200" s="27">
        <f>(J200/D200-1)</f>
        <v/>
      </c>
      <c r="N200" t="n">
        <v>44</v>
      </c>
      <c r="O200" s="28">
        <f>(N200+F200)/2</f>
        <v/>
      </c>
      <c r="P200">
        <f>IF(O200="計算不能","計算不能",IF(O200&gt;=80,5,IF(O200&gt;=60,4,IF(O200&gt;=40,3,IF(O200&gt;=28,2,1)))))</f>
        <v/>
      </c>
      <c r="Q200" t="n">
        <v>720</v>
      </c>
      <c r="R200" t="n">
        <v>0</v>
      </c>
      <c r="S200" s="27">
        <f>R200/Q200</f>
        <v/>
      </c>
      <c r="T200" t="inlineStr">
        <is>
          <t>田舎館村は2045年までに人口が約29.2%減と明確な減少トレンド。高齢化の進行と世帯数の縮小により、中長期では賃貸需要の構造的縮小に警戒が必要。</t>
        </is>
      </c>
      <c r="U200" t="inlineStr">
        <is>
          <t>田舎館村は人口密度306人/km²と低密度で、賃貸需要は限定的。持ち家比率が高く、駐車場完備の戸建て賃貸が有利。 借家の空室率は約0%と需給は比較的引き締まっている。</t>
        </is>
      </c>
      <c r="V200" t="inlineStr">
        <is>
          <t>田舎館村（青森県）：豪雪地帯で除排雪コストが重い。日本海・太平洋沿岸の津波、岩木川・馬淵川の氾濫、八甲田山系の土砂災害に注意。</t>
        </is>
      </c>
    </row>
    <row r="201">
      <c r="A201" t="inlineStr">
        <is>
          <t>青森県</t>
        </is>
      </c>
      <c r="B201" t="inlineStr">
        <is>
          <t>板柳町</t>
        </is>
      </c>
      <c r="C201" t="n">
        <v>5399</v>
      </c>
      <c r="D201" t="n">
        <v>11323</v>
      </c>
      <c r="E201" s="6" t="n">
        <v>275.3</v>
      </c>
      <c r="F201" s="7" t="n">
        <v>33.8</v>
      </c>
      <c r="G201" t="n">
        <v>12700</v>
      </c>
      <c r="H201" t="n">
        <v>11323</v>
      </c>
      <c r="I201" t="n">
        <v>10194</v>
      </c>
      <c r="J201" t="n">
        <v>6994</v>
      </c>
      <c r="K201" s="27">
        <f>(H201/D201-1)</f>
        <v/>
      </c>
      <c r="L201" s="27">
        <f>(I201/D201-1)</f>
        <v/>
      </c>
      <c r="M201" s="27">
        <f>(J201/D201-1)</f>
        <v/>
      </c>
      <c r="N201" t="n">
        <v>37.5</v>
      </c>
      <c r="O201" s="28">
        <f>(N201+F201)/2</f>
        <v/>
      </c>
      <c r="P201">
        <f>IF(O201="計算不能","計算不能",IF(O201&gt;=80,5,IF(O201&gt;=60,4,IF(O201&gt;=40,3,IF(O201&gt;=28,2,1)))))</f>
        <v/>
      </c>
      <c r="Q201" t="n">
        <v>1331</v>
      </c>
      <c r="R201" t="n">
        <v>0</v>
      </c>
      <c r="S201" s="27">
        <f>R201/Q201</f>
        <v/>
      </c>
      <c r="T201" t="inlineStr">
        <is>
          <t>板柳町は2045年までに人口が約38.2%減と急激な過疎・超高齢化が進行。若年労働世代の流出と自然減が重なり、賃貸事業としての持続性は極めて限定的。</t>
        </is>
      </c>
      <c r="U201" t="inlineStr">
        <is>
          <t>板柳町は人口密度275人/km²と低密度で、賃貸需要は限定的。持ち家比率が高く、駐車場完備の戸建て賃貸が有利。 借家の空室率は約0%と需給は比較的引き締まっている。</t>
        </is>
      </c>
      <c r="V201" t="inlineStr">
        <is>
          <t>板柳町（青森県）：豪雪地帯で除排雪コストが重い。日本海・太平洋沿岸の津波、岩木川・馬淵川の氾濫、八甲田山系の土砂災害に注意。</t>
        </is>
      </c>
    </row>
    <row r="202">
      <c r="A202" t="inlineStr">
        <is>
          <t>青森県</t>
        </is>
      </c>
      <c r="B202" t="inlineStr">
        <is>
          <t>鶴田町</t>
        </is>
      </c>
      <c r="C202" t="n">
        <v>5354</v>
      </c>
      <c r="D202" t="n">
        <v>10650</v>
      </c>
      <c r="E202" s="6" t="n">
        <v>231.8</v>
      </c>
      <c r="F202" s="7" t="n">
        <v>31.6</v>
      </c>
      <c r="G202" t="n">
        <v>12074</v>
      </c>
      <c r="H202" t="n">
        <v>10650</v>
      </c>
      <c r="I202" t="n">
        <v>9589</v>
      </c>
      <c r="J202" t="n">
        <v>6633</v>
      </c>
      <c r="K202" s="27">
        <f>(H202/D202-1)</f>
        <v/>
      </c>
      <c r="L202" s="27">
        <f>(I202/D202-1)</f>
        <v/>
      </c>
      <c r="M202" s="27">
        <f>(J202/D202-1)</f>
        <v/>
      </c>
      <c r="N202" t="n">
        <v>36.8</v>
      </c>
      <c r="O202" s="28">
        <f>(N202+F202)/2</f>
        <v/>
      </c>
      <c r="P202">
        <f>IF(O202="計算不能","計算不能",IF(O202&gt;=80,5,IF(O202&gt;=60,4,IF(O202&gt;=40,3,IF(O202&gt;=28,2,1)))))</f>
        <v/>
      </c>
      <c r="Q202" t="n">
        <v>1320</v>
      </c>
      <c r="R202" t="n">
        <v>0</v>
      </c>
      <c r="S202" s="27">
        <f>R202/Q202</f>
        <v/>
      </c>
      <c r="T202" t="inlineStr">
        <is>
          <t>鶴田町は2045年までに人口が約37.7%減と急激な過疎・超高齢化が進行。若年労働世代の流出と自然減が重なり、賃貸事業としての持続性は極めて限定的。</t>
        </is>
      </c>
      <c r="U202" t="inlineStr">
        <is>
          <t>鶴田町は人口密度232人/km²と低密度で、賃貸需要は限定的。持ち家比率が高く、駐車場完備の戸建て賃貸が有利。 借家の空室率は約0%と需給は比較的引き締まっている。</t>
        </is>
      </c>
      <c r="V202" t="inlineStr">
        <is>
          <t>鶴田町（青森県）：豪雪地帯で除排雪コストが重い。日本海・太平洋沿岸の津波、岩木川・馬淵川の氾濫、八甲田山系の土砂災害に注意。</t>
        </is>
      </c>
    </row>
    <row r="203">
      <c r="A203" t="inlineStr">
        <is>
          <t>青森県</t>
        </is>
      </c>
      <c r="B203" t="inlineStr">
        <is>
          <t>中泊町</t>
        </is>
      </c>
      <c r="C203" t="n">
        <v>4828</v>
      </c>
      <c r="D203" t="n">
        <v>8413</v>
      </c>
      <c r="E203" s="6" t="n">
        <v>37.8</v>
      </c>
      <c r="F203" s="7" t="n">
        <v>13.8</v>
      </c>
      <c r="G203" t="n">
        <v>9657</v>
      </c>
      <c r="H203" t="n">
        <v>8413</v>
      </c>
      <c r="I203" t="n">
        <v>7242</v>
      </c>
      <c r="J203" t="n">
        <v>4319</v>
      </c>
      <c r="K203" s="27">
        <f>(H203/D203-1)</f>
        <v/>
      </c>
      <c r="L203" s="27">
        <f>(I203/D203-1)</f>
        <v/>
      </c>
      <c r="M203" s="27">
        <f>(J203/D203-1)</f>
        <v/>
      </c>
      <c r="N203" t="n">
        <v>32.3</v>
      </c>
      <c r="O203" s="28">
        <f>(N203+F203)/2</f>
        <v/>
      </c>
      <c r="P203">
        <f>IF(O203="計算不能","計算不能",IF(O203&gt;=80,5,IF(O203&gt;=60,4,IF(O203&gt;=40,3,IF(O203&gt;=28,2,1)))))</f>
        <v/>
      </c>
      <c r="Q203" t="n">
        <v>1190</v>
      </c>
      <c r="R203" t="n">
        <v>0</v>
      </c>
      <c r="S203" s="27">
        <f>R203/Q203</f>
        <v/>
      </c>
      <c r="T203" t="inlineStr">
        <is>
          <t>中泊町は2045年までに人口が約48.7%減と急激な過疎・超高齢化が進行。若年労働世代の流出と自然減が重なり、賃貸事業としての持続性は極めて限定的。</t>
        </is>
      </c>
      <c r="U203" t="inlineStr">
        <is>
          <t>中泊町は人口密度38人/km²と過疎的水準で、民間賃貸の新規需要は薄い。実需に裏付けられた格安戸建ての指値取得のみが現実的。 借家の空室率は約0%と需給は比較的引き締まっている。</t>
        </is>
      </c>
      <c r="V203" t="inlineStr">
        <is>
          <t>中泊町（青森県）：豪雪地帯で除排雪コストが重い。日本海・太平洋沿岸の津波、岩木川・馬淵川の氾濫、八甲田山系の土砂災害に注意。</t>
        </is>
      </c>
    </row>
    <row r="204">
      <c r="A204" t="inlineStr">
        <is>
          <t>青森県</t>
        </is>
      </c>
      <c r="B204" t="inlineStr">
        <is>
          <t>野辺地町</t>
        </is>
      </c>
      <c r="C204" t="n">
        <v>6305</v>
      </c>
      <c r="D204" t="n">
        <v>10974</v>
      </c>
      <c r="E204" s="6" t="n">
        <v>137.1</v>
      </c>
      <c r="F204" s="7" t="n">
        <v>23.7</v>
      </c>
      <c r="G204" t="n">
        <v>12374</v>
      </c>
      <c r="H204" t="n">
        <v>10974</v>
      </c>
      <c r="I204" t="n">
        <v>9960</v>
      </c>
      <c r="J204" t="n">
        <v>7052</v>
      </c>
      <c r="K204" s="27">
        <f>(H204/D204-1)</f>
        <v/>
      </c>
      <c r="L204" s="27">
        <f>(I204/D204-1)</f>
        <v/>
      </c>
      <c r="M204" s="27">
        <f>(J204/D204-1)</f>
        <v/>
      </c>
      <c r="N204" t="n">
        <v>37.9</v>
      </c>
      <c r="O204" s="28">
        <f>(N204+F204)/2</f>
        <v/>
      </c>
      <c r="P204">
        <f>IF(O204="計算不能","計算不能",IF(O204&gt;=80,5,IF(O204&gt;=60,4,IF(O204&gt;=40,3,IF(O204&gt;=28,2,1)))))</f>
        <v/>
      </c>
      <c r="Q204" t="n">
        <v>1555</v>
      </c>
      <c r="R204" t="n">
        <v>0</v>
      </c>
      <c r="S204" s="27">
        <f>R204/Q204</f>
        <v/>
      </c>
      <c r="T204" t="inlineStr">
        <is>
          <t>野辺地町は2045年までに人口が約35.7%減と急激な過疎・超高齢化が進行。若年労働世代の流出と自然減が重なり、賃貸事業としての持続性は極めて限定的。</t>
        </is>
      </c>
      <c r="U204" t="inlineStr">
        <is>
          <t>野辺地町は人口密度137人/km²と過疎的水準で、民間賃貸の新規需要は薄い。実需に裏付けられた格安戸建ての指値取得のみが現実的。 借家の空室率は約0%と需給は比較的引き締まっている。</t>
        </is>
      </c>
      <c r="V204" t="inlineStr">
        <is>
          <t>野辺地町（青森県）：豪雪地帯で除排雪コストが重い。日本海・太平洋沿岸の津波、岩木川・馬淵川の氾濫、八甲田山系の土砂災害に注意。</t>
        </is>
      </c>
    </row>
    <row r="205">
      <c r="A205" t="inlineStr">
        <is>
          <t>青森県</t>
        </is>
      </c>
      <c r="B205" t="inlineStr">
        <is>
          <t>七戸町</t>
        </is>
      </c>
      <c r="C205" t="n">
        <v>6790</v>
      </c>
      <c r="D205" t="n">
        <v>13228</v>
      </c>
      <c r="E205" s="6" t="n">
        <v>38.9</v>
      </c>
      <c r="F205" s="7" t="n">
        <v>13.9</v>
      </c>
      <c r="G205" t="n">
        <v>14556</v>
      </c>
      <c r="H205" t="n">
        <v>13228</v>
      </c>
      <c r="I205" t="n">
        <v>11931</v>
      </c>
      <c r="J205" t="n">
        <v>8289</v>
      </c>
      <c r="K205" s="27">
        <f>(H205/D205-1)</f>
        <v/>
      </c>
      <c r="L205" s="27">
        <f>(I205/D205-1)</f>
        <v/>
      </c>
      <c r="M205" s="27">
        <f>(J205/D205-1)</f>
        <v/>
      </c>
      <c r="N205" t="n">
        <v>39.3</v>
      </c>
      <c r="O205" s="28">
        <f>(N205+F205)/2</f>
        <v/>
      </c>
      <c r="P205">
        <f>IF(O205="計算不能","計算不能",IF(O205&gt;=80,5,IF(O205&gt;=60,4,IF(O205&gt;=40,3,IF(O205&gt;=28,2,1)))))</f>
        <v/>
      </c>
      <c r="Q205" t="n">
        <v>1674</v>
      </c>
      <c r="R205" t="n">
        <v>0</v>
      </c>
      <c r="S205" s="27">
        <f>R205/Q205</f>
        <v/>
      </c>
      <c r="T205" t="inlineStr">
        <is>
          <t>七戸町は2045年までに人口が約37.3%減と急激な過疎・超高齢化が進行。若年労働世代の流出と自然減が重なり、賃貸事業としての持続性は極めて限定的。</t>
        </is>
      </c>
      <c r="U205" t="inlineStr">
        <is>
          <t>七戸町は人口密度39人/km²と過疎的水準で、民間賃貸の新規需要は薄い。実需に裏付けられた格安戸建ての指値取得のみが現実的。 借家の空室率は約0%と需給は比較的引き締まっている。</t>
        </is>
      </c>
      <c r="V205" t="inlineStr">
        <is>
          <t>七戸町（青森県）：豪雪地帯で除排雪コストが重い。日本海・太平洋沿岸の津波、岩木川・馬淵川の氾濫、八甲田山系の土砂災害に注意。</t>
        </is>
      </c>
    </row>
    <row r="206">
      <c r="A206" t="inlineStr">
        <is>
          <t>青森県</t>
        </is>
      </c>
      <c r="B206" t="inlineStr">
        <is>
          <t>六戸町</t>
        </is>
      </c>
      <c r="C206" t="n">
        <v>4705</v>
      </c>
      <c r="D206" t="n">
        <v>10057</v>
      </c>
      <c r="E206" s="6" t="n">
        <v>118.8</v>
      </c>
      <c r="F206" s="7" t="n">
        <v>21.9</v>
      </c>
      <c r="G206" t="n">
        <v>10447</v>
      </c>
      <c r="H206" t="n">
        <v>10057</v>
      </c>
      <c r="I206" t="n">
        <v>9740</v>
      </c>
      <c r="J206" t="n">
        <v>8520</v>
      </c>
      <c r="K206" s="27">
        <f>(H206/D206-1)</f>
        <v/>
      </c>
      <c r="L206" s="27">
        <f>(I206/D206-1)</f>
        <v/>
      </c>
      <c r="M206" s="27">
        <f>(J206/D206-1)</f>
        <v/>
      </c>
      <c r="N206" t="n">
        <v>58.1</v>
      </c>
      <c r="O206" s="28">
        <f>(N206+F206)/2</f>
        <v/>
      </c>
      <c r="P206">
        <f>IF(O206="計算不能","計算不能",IF(O206&gt;=80,5,IF(O206&gt;=60,4,IF(O206&gt;=40,3,IF(O206&gt;=28,2,1)))))</f>
        <v/>
      </c>
      <c r="Q206" t="n">
        <v>1160</v>
      </c>
      <c r="R206" t="n">
        <v>0</v>
      </c>
      <c r="S206" s="27">
        <f>R206/Q206</f>
        <v/>
      </c>
      <c r="T206" t="inlineStr">
        <is>
          <t>六戸町は2045年までに人口が約15.3%減と明確な減少トレンド。高齢化の進行と世帯数の縮小により、中長期では賃貸需要の構造的縮小に警戒が必要。</t>
        </is>
      </c>
      <c r="U206" t="inlineStr">
        <is>
          <t>六戸町は人口密度119人/km²と過疎的水準で、民間賃貸の新規需要は薄い。実需に裏付けられた格安戸建ての指値取得のみが現実的。 借家の空室率は約0%と需給は比較的引き締まっている。</t>
        </is>
      </c>
      <c r="V206" t="inlineStr">
        <is>
          <t>六戸町（青森県）：豪雪地帯で除排雪コストが重い。日本海・太平洋沿岸の津波、岩木川・馬淵川の氾濫、八甲田山系の土砂災害に注意。</t>
        </is>
      </c>
    </row>
    <row r="207">
      <c r="A207" t="inlineStr">
        <is>
          <t>青森県</t>
        </is>
      </c>
      <c r="B207" t="inlineStr">
        <is>
          <t>横浜町</t>
        </is>
      </c>
      <c r="C207" t="n">
        <v>2123</v>
      </c>
      <c r="D207" t="n">
        <v>3908</v>
      </c>
      <c r="E207" s="6" t="n">
        <v>30.2</v>
      </c>
      <c r="F207" s="7" t="n">
        <v>13</v>
      </c>
      <c r="G207" t="n">
        <v>4229</v>
      </c>
      <c r="H207" t="n">
        <v>3908</v>
      </c>
      <c r="I207" t="n">
        <v>3579</v>
      </c>
      <c r="J207" t="n">
        <v>2643</v>
      </c>
      <c r="K207" s="27">
        <f>(H207/D207-1)</f>
        <v/>
      </c>
      <c r="L207" s="27">
        <f>(I207/D207-1)</f>
        <v/>
      </c>
      <c r="M207" s="27">
        <f>(J207/D207-1)</f>
        <v/>
      </c>
      <c r="N207" t="n">
        <v>42.2</v>
      </c>
      <c r="O207" s="28">
        <f>(N207+F207)/2</f>
        <v/>
      </c>
      <c r="P207">
        <f>IF(O207="計算不能","計算不能",IF(O207&gt;=80,5,IF(O207&gt;=60,4,IF(O207&gt;=40,3,IF(O207&gt;=28,2,1)))))</f>
        <v/>
      </c>
      <c r="Q207" t="n">
        <v>523</v>
      </c>
      <c r="R207" t="n">
        <v>0</v>
      </c>
      <c r="S207" s="27">
        <f>R207/Q207</f>
        <v/>
      </c>
      <c r="T207" t="inlineStr">
        <is>
          <t>横浜町は2045年までに人口が約32.4%減と急激な過疎・超高齢化が進行。若年労働世代の流出と自然減が重なり、賃貸事業としての持続性は極めて限定的。</t>
        </is>
      </c>
      <c r="U207" t="inlineStr">
        <is>
          <t>横浜町は人口密度30人/km²と過疎的水準で、民間賃貸の新規需要は薄い。実需に裏付けられた格安戸建ての指値取得のみが現実的。 借家の空室率は約0%と需給は比較的引き締まっている。</t>
        </is>
      </c>
      <c r="V207" t="inlineStr">
        <is>
          <t>横浜町（青森県）：豪雪地帯で除排雪コストが重い。日本海・太平洋沿岸の津波、岩木川・馬淵川の氾濫、八甲田山系の土砂災害に注意。</t>
        </is>
      </c>
    </row>
    <row r="208">
      <c r="A208" t="inlineStr">
        <is>
          <t>青森県</t>
        </is>
      </c>
      <c r="B208" t="inlineStr">
        <is>
          <t>東北町</t>
        </is>
      </c>
      <c r="C208" t="n">
        <v>5720</v>
      </c>
      <c r="D208" t="n">
        <v>15136</v>
      </c>
      <c r="E208" s="6" t="n">
        <v>45.6</v>
      </c>
      <c r="F208" s="7" t="n">
        <v>14.6</v>
      </c>
      <c r="G208" t="n">
        <v>16428</v>
      </c>
      <c r="H208" t="n">
        <v>15136</v>
      </c>
      <c r="I208" t="n">
        <v>13872</v>
      </c>
      <c r="J208" t="n">
        <v>10231</v>
      </c>
      <c r="K208" s="27">
        <f>(H208/D208-1)</f>
        <v/>
      </c>
      <c r="L208" s="27">
        <f>(I208/D208-1)</f>
        <v/>
      </c>
      <c r="M208" s="27">
        <f>(J208/D208-1)</f>
        <v/>
      </c>
      <c r="N208" t="n">
        <v>42</v>
      </c>
      <c r="O208" s="28">
        <f>(N208+F208)/2</f>
        <v/>
      </c>
      <c r="P208">
        <f>IF(O208="計算不能","計算不能",IF(O208&gt;=80,5,IF(O208&gt;=60,4,IF(O208&gt;=40,3,IF(O208&gt;=28,2,1)))))</f>
        <v/>
      </c>
      <c r="Q208" t="n">
        <v>1410</v>
      </c>
      <c r="R208" t="n">
        <v>70</v>
      </c>
      <c r="S208" s="27">
        <f>R208/Q208</f>
        <v/>
      </c>
      <c r="T208" t="inlineStr">
        <is>
          <t>東北町は2045年までに人口が約32.4%減と急激な過疎・超高齢化が進行。若年労働世代の流出と自然減が重なり、賃貸事業としての持続性は極めて限定的。</t>
        </is>
      </c>
      <c r="U208" t="inlineStr">
        <is>
          <t>東北町は人口密度46人/km²と過疎的水準で、民間賃貸の新規需要は薄い。実需に裏付けられた格安戸建ての指値取得のみが現実的。 借家の空室率は約5%と需給は比較的引き締まっている。</t>
        </is>
      </c>
      <c r="V208" t="inlineStr">
        <is>
          <t>東北町（青森県）：豪雪地帯で除排雪コストが重い。日本海・太平洋沿岸の津波、岩木川・馬淵川の氾濫、八甲田山系の土砂災害に注意。</t>
        </is>
      </c>
    </row>
    <row r="209">
      <c r="A209" t="inlineStr">
        <is>
          <t>青森県</t>
        </is>
      </c>
      <c r="B209" t="inlineStr">
        <is>
          <t>六ヶ所村</t>
        </is>
      </c>
      <c r="C209" t="n">
        <v>5037</v>
      </c>
      <c r="D209" t="n">
        <v>9856</v>
      </c>
      <c r="E209" s="6" t="n">
        <v>42</v>
      </c>
      <c r="F209" s="7" t="n">
        <v>14.2</v>
      </c>
      <c r="G209" t="n">
        <v>10367</v>
      </c>
      <c r="H209" t="n">
        <v>9856</v>
      </c>
      <c r="I209" t="n">
        <v>9349</v>
      </c>
      <c r="J209" t="n">
        <v>7569</v>
      </c>
      <c r="K209" s="27">
        <f>(H209/D209-1)</f>
        <v/>
      </c>
      <c r="L209" s="27">
        <f>(I209/D209-1)</f>
        <v/>
      </c>
      <c r="M209" s="27">
        <f>(J209/D209-1)</f>
        <v/>
      </c>
      <c r="N209" t="n">
        <v>50.7</v>
      </c>
      <c r="O209" s="28">
        <f>(N209+F209)/2</f>
        <v/>
      </c>
      <c r="P209">
        <f>IF(O209="計算不能","計算不能",IF(O209&gt;=80,5,IF(O209&gt;=60,4,IF(O209&gt;=40,3,IF(O209&gt;=28,2,1)))))</f>
        <v/>
      </c>
      <c r="Q209" t="n">
        <v>1242</v>
      </c>
      <c r="R209" t="n">
        <v>0</v>
      </c>
      <c r="S209" s="27">
        <f>R209/Q209</f>
        <v/>
      </c>
      <c r="T209" t="inlineStr">
        <is>
          <t>六ヶ所村は2045年までに人口が約23.2%減と明確な減少トレンド。高齢化の進行と世帯数の縮小により、中長期では賃貸需要の構造的縮小に警戒が必要。</t>
        </is>
      </c>
      <c r="U209" t="inlineStr">
        <is>
          <t>六ヶ所村は人口密度42人/km²と過疎的水準で、民間賃貸の新規需要は薄い。実需に裏付けられた格安戸建ての指値取得のみが現実的。 借家の空室率は約0%と需給は比較的引き締まっている。</t>
        </is>
      </c>
      <c r="V209" t="inlineStr">
        <is>
          <t>六ヶ所村（青森県）：豪雪地帯で除排雪コストが重い。日本海・太平洋沿岸の津波、岩木川・馬淵川の氾濫、八甲田山系の土砂災害に注意。</t>
        </is>
      </c>
    </row>
    <row r="210">
      <c r="A210" t="inlineStr">
        <is>
          <t>青森県</t>
        </is>
      </c>
      <c r="B210" t="inlineStr">
        <is>
          <t>おいらせ町</t>
        </is>
      </c>
      <c r="C210" t="n">
        <v>8660</v>
      </c>
      <c r="D210" t="n">
        <v>23877</v>
      </c>
      <c r="E210" s="6" t="n">
        <v>329.2</v>
      </c>
      <c r="F210" s="7" t="n">
        <v>36.5</v>
      </c>
      <c r="G210" t="n">
        <v>24273</v>
      </c>
      <c r="H210" t="n">
        <v>23877</v>
      </c>
      <c r="I210" t="n">
        <v>23271</v>
      </c>
      <c r="J210" t="n">
        <v>20344</v>
      </c>
      <c r="K210" s="27">
        <f>(H210/D210-1)</f>
        <v/>
      </c>
      <c r="L210" s="27">
        <f>(I210/D210-1)</f>
        <v/>
      </c>
      <c r="M210" s="27">
        <f>(J210/D210-1)</f>
        <v/>
      </c>
      <c r="N210" t="n">
        <v>62.7</v>
      </c>
      <c r="O210" s="28">
        <f>(N210+F210)/2</f>
        <v/>
      </c>
      <c r="P210">
        <f>IF(O210="計算不能","計算不能",IF(O210&gt;=80,5,IF(O210&gt;=60,4,IF(O210&gt;=40,3,IF(O210&gt;=28,2,1)))))</f>
        <v/>
      </c>
      <c r="Q210" t="n">
        <v>2136</v>
      </c>
      <c r="R210" t="n">
        <v>450</v>
      </c>
      <c r="S210" s="27">
        <f>R210/Q210</f>
        <v/>
      </c>
      <c r="T210" t="inlineStr">
        <is>
          <t>おいらせ町は2045年までに人口が約14.8%減と緩やかな減少局面。若年層の都市部流出と高齢化が進むが、当面の賃貸稼働は一定程度維持される見通し。</t>
        </is>
      </c>
      <c r="U210" t="inlineStr">
        <is>
          <t>おいらせ町は人口密度329人/km²と低密度で、賃貸需要は限定的。持ち家比率が高く、駐車場完備の戸建て賃貸が有利。 借家の空室率は約21%とやや高めで、競合との差別化が必要。</t>
        </is>
      </c>
      <c r="V210" t="inlineStr">
        <is>
          <t>おいらせ町（青森県）：豪雪地帯で除排雪コストが重い。日本海・太平洋沿岸の津波、岩木川・馬淵川の氾濫、八甲田山系の土砂災害に注意。</t>
        </is>
      </c>
    </row>
    <row r="211">
      <c r="A211" t="inlineStr">
        <is>
          <t>青森県</t>
        </is>
      </c>
      <c r="B211" t="inlineStr">
        <is>
          <t>大間町</t>
        </is>
      </c>
      <c r="C211" t="n">
        <v>2461</v>
      </c>
      <c r="D211" t="n">
        <v>4186</v>
      </c>
      <c r="E211" s="6" t="n">
        <v>78.5</v>
      </c>
      <c r="F211" s="7" t="n">
        <v>17.9</v>
      </c>
      <c r="G211" t="n">
        <v>4718</v>
      </c>
      <c r="H211" t="n">
        <v>4186</v>
      </c>
      <c r="I211" t="n">
        <v>3708</v>
      </c>
      <c r="J211" t="n">
        <v>2439</v>
      </c>
      <c r="K211" s="27">
        <f>(H211/D211-1)</f>
        <v/>
      </c>
      <c r="L211" s="27">
        <f>(I211/D211-1)</f>
        <v/>
      </c>
      <c r="M211" s="27">
        <f>(J211/D211-1)</f>
        <v/>
      </c>
      <c r="N211" t="n">
        <v>35.9</v>
      </c>
      <c r="O211" s="28">
        <f>(N211+F211)/2</f>
        <v/>
      </c>
      <c r="P211">
        <f>IF(O211="計算不能","計算不能",IF(O211&gt;=80,5,IF(O211&gt;=60,4,IF(O211&gt;=40,3,IF(O211&gt;=28,2,1)))))</f>
        <v/>
      </c>
      <c r="Q211" t="n">
        <v>607</v>
      </c>
      <c r="R211" t="n">
        <v>0</v>
      </c>
      <c r="S211" s="27">
        <f>R211/Q211</f>
        <v/>
      </c>
      <c r="T211" t="inlineStr">
        <is>
          <t>大間町は2045年までに人口が約41.7%減と急激な過疎・超高齢化が進行。若年労働世代の流出と自然減が重なり、賃貸事業としての持続性は極めて限定的。</t>
        </is>
      </c>
      <c r="U211" t="inlineStr">
        <is>
          <t>大間町は人口密度78人/km²と過疎的水準で、民間賃貸の新規需要は薄い。実需に裏付けられた格安戸建ての指値取得のみが現実的。 借家の空室率は約0%と需給は比較的引き締まっている。</t>
        </is>
      </c>
      <c r="V211" t="inlineStr">
        <is>
          <t>大間町（青森県）：豪雪地帯で除排雪コストが重い。日本海・太平洋沿岸の津波、岩木川・馬淵川の氾濫、八甲田山系の土砂災害に注意。</t>
        </is>
      </c>
    </row>
    <row r="212">
      <c r="A212" t="inlineStr">
        <is>
          <t>青森県</t>
        </is>
      </c>
      <c r="B212" t="inlineStr">
        <is>
          <t>東通村</t>
        </is>
      </c>
      <c r="C212" t="n">
        <v>2755</v>
      </c>
      <c r="D212" t="n">
        <v>5351</v>
      </c>
      <c r="E212" s="6" t="n">
        <v>17.6</v>
      </c>
      <c r="F212" s="7" t="n">
        <v>11.8</v>
      </c>
      <c r="G212" t="n">
        <v>5955</v>
      </c>
      <c r="H212" t="n">
        <v>5351</v>
      </c>
      <c r="I212" t="n">
        <v>4803</v>
      </c>
      <c r="J212" t="n">
        <v>3368</v>
      </c>
      <c r="K212" s="27">
        <f>(H212/D212-1)</f>
        <v/>
      </c>
      <c r="L212" s="27">
        <f>(I212/D212-1)</f>
        <v/>
      </c>
      <c r="M212" s="27">
        <f>(J212/D212-1)</f>
        <v/>
      </c>
      <c r="N212" t="n">
        <v>38.3</v>
      </c>
      <c r="O212" s="28">
        <f>(N212+F212)/2</f>
        <v/>
      </c>
      <c r="P212">
        <f>IF(O212="計算不能","計算不能",IF(O212&gt;=80,5,IF(O212&gt;=60,4,IF(O212&gt;=40,3,IF(O212&gt;=28,2,1)))))</f>
        <v/>
      </c>
      <c r="Q212" t="n">
        <v>679</v>
      </c>
      <c r="R212" t="n">
        <v>0</v>
      </c>
      <c r="S212" s="27">
        <f>R212/Q212</f>
        <v/>
      </c>
      <c r="T212" t="inlineStr">
        <is>
          <t>東通村は2045年までに人口が約37.1%減と急激な過疎・超高齢化が進行。若年労働世代の流出と自然減が重なり、賃貸事業としての持続性は極めて限定的。</t>
        </is>
      </c>
      <c r="U212" t="inlineStr">
        <is>
          <t>東通村は人口密度18人/km²と過疎的水準で、民間賃貸の新規需要は薄い。実需に裏付けられた格安戸建ての指値取得のみが現実的。 借家の空室率は約0%と需給は比較的引き締まっている。</t>
        </is>
      </c>
      <c r="V212" t="inlineStr">
        <is>
          <t>東通村（青森県）：豪雪地帯で除排雪コストが重い。日本海・太平洋沿岸の津波、岩木川・馬淵川の氾濫、八甲田山系の土砂災害に注意。</t>
        </is>
      </c>
    </row>
    <row r="213">
      <c r="A213" t="inlineStr">
        <is>
          <t>青森県</t>
        </is>
      </c>
      <c r="B213" t="inlineStr">
        <is>
          <t>風間浦村</t>
        </is>
      </c>
      <c r="C213" t="n">
        <v>842</v>
      </c>
      <c r="D213" t="n">
        <v>1444</v>
      </c>
      <c r="E213" s="6" t="n">
        <v>19.9</v>
      </c>
      <c r="F213" s="7" t="n">
        <v>12</v>
      </c>
      <c r="G213" t="n">
        <v>1636</v>
      </c>
      <c r="H213" t="n">
        <v>1444</v>
      </c>
      <c r="I213" t="n">
        <v>1282</v>
      </c>
      <c r="J213" t="n">
        <v>866</v>
      </c>
      <c r="K213" s="27">
        <f>(H213/D213-1)</f>
        <v/>
      </c>
      <c r="L213" s="27">
        <f>(I213/D213-1)</f>
        <v/>
      </c>
      <c r="M213" s="27">
        <f>(J213/D213-1)</f>
        <v/>
      </c>
      <c r="N213" t="n">
        <v>36</v>
      </c>
      <c r="O213" s="28">
        <f>(N213+F213)/2</f>
        <v/>
      </c>
      <c r="P213">
        <f>IF(O213="計算不能","計算不能",IF(O213&gt;=80,5,IF(O213&gt;=60,4,IF(O213&gt;=40,3,IF(O213&gt;=28,2,1)))))</f>
        <v/>
      </c>
      <c r="Q213" t="n">
        <v>207</v>
      </c>
      <c r="R213" t="n">
        <v>0</v>
      </c>
      <c r="S213" s="27">
        <f>R213/Q213</f>
        <v/>
      </c>
      <c r="T213" t="inlineStr">
        <is>
          <t>風間浦村は2045年までに人口が約40.0%減と急激な過疎・超高齢化が進行。若年労働世代の流出と自然減が重なり、賃貸事業としての持続性は極めて限定的。</t>
        </is>
      </c>
      <c r="U213" t="inlineStr">
        <is>
          <t>風間浦村は人口密度20人/km²と過疎的水準で、民間賃貸の新規需要は薄い。実需に裏付けられた格安戸建ての指値取得のみが現実的。 借家の空室率は約0%と需給は比較的引き締まっている。</t>
        </is>
      </c>
      <c r="V213" t="inlineStr">
        <is>
          <t>風間浦村（青森県）：豪雪地帯で除排雪コストが重い。日本海・太平洋沿岸の津波、岩木川・馬淵川の氾濫、八甲田山系の土砂災害に注意。</t>
        </is>
      </c>
    </row>
    <row r="214">
      <c r="A214" t="inlineStr">
        <is>
          <t>青森県</t>
        </is>
      </c>
      <c r="B214" t="inlineStr">
        <is>
          <t>佐井村</t>
        </is>
      </c>
      <c r="C214" t="n">
        <v>848</v>
      </c>
      <c r="D214" t="n">
        <v>1516</v>
      </c>
      <c r="E214" s="6" t="n">
        <v>10.8</v>
      </c>
      <c r="F214" s="7" t="n">
        <v>11.1</v>
      </c>
      <c r="G214" t="n">
        <v>1788</v>
      </c>
      <c r="H214" t="n">
        <v>1516</v>
      </c>
      <c r="I214" t="n">
        <v>1306</v>
      </c>
      <c r="J214" t="n">
        <v>748</v>
      </c>
      <c r="K214" s="27">
        <f>(H214/D214-1)</f>
        <v/>
      </c>
      <c r="L214" s="27">
        <f>(I214/D214-1)</f>
        <v/>
      </c>
      <c r="M214" s="27">
        <f>(J214/D214-1)</f>
        <v/>
      </c>
      <c r="N214" t="n">
        <v>30</v>
      </c>
      <c r="O214" s="28">
        <f>(N214+F214)/2</f>
        <v/>
      </c>
      <c r="P214">
        <f>IF(O214="計算不能","計算不能",IF(O214&gt;=80,5,IF(O214&gt;=60,4,IF(O214&gt;=40,3,IF(O214&gt;=28,2,1)))))</f>
        <v/>
      </c>
      <c r="Q214" t="n">
        <v>209</v>
      </c>
      <c r="R214" t="n">
        <v>0</v>
      </c>
      <c r="S214" s="27">
        <f>R214/Q214</f>
        <v/>
      </c>
      <c r="T214" t="inlineStr">
        <is>
          <t>佐井村は2045年までに人口が約50.7%減と急激な過疎・超高齢化が進行。若年労働世代の流出と自然減が重なり、賃貸事業としての持続性は極めて限定的。</t>
        </is>
      </c>
      <c r="U214" t="inlineStr">
        <is>
          <t>佐井村は人口密度11人/km²と過疎的水準で、民間賃貸の新規需要は薄い。実需に裏付けられた格安戸建ての指値取得のみが現実的。 借家の空室率は約0%と需給は比較的引き締まっている。</t>
        </is>
      </c>
      <c r="V214" t="inlineStr">
        <is>
          <t>佐井村（青森県）：豪雪地帯で除排雪コストが重い。日本海・太平洋沿岸の津波、岩木川・馬淵川の氾濫、八甲田山系の土砂災害に注意。</t>
        </is>
      </c>
    </row>
    <row r="215">
      <c r="A215" t="inlineStr">
        <is>
          <t>青森県</t>
        </is>
      </c>
      <c r="B215" t="inlineStr">
        <is>
          <t>三戸町</t>
        </is>
      </c>
      <c r="C215" t="n">
        <v>4112</v>
      </c>
      <c r="D215" t="n">
        <v>8122</v>
      </c>
      <c r="E215" s="6" t="n">
        <v>52.7</v>
      </c>
      <c r="F215" s="7" t="n">
        <v>15.3</v>
      </c>
      <c r="G215" t="n">
        <v>9082</v>
      </c>
      <c r="H215" t="n">
        <v>8122</v>
      </c>
      <c r="I215" t="n">
        <v>7226</v>
      </c>
      <c r="J215" t="n">
        <v>4824</v>
      </c>
      <c r="K215" s="27">
        <f>(H215/D215-1)</f>
        <v/>
      </c>
      <c r="L215" s="27">
        <f>(I215/D215-1)</f>
        <v/>
      </c>
      <c r="M215" s="27">
        <f>(J215/D215-1)</f>
        <v/>
      </c>
      <c r="N215" t="n">
        <v>36.9</v>
      </c>
      <c r="O215" s="28">
        <f>(N215+F215)/2</f>
        <v/>
      </c>
      <c r="P215">
        <f>IF(O215="計算不能","計算不能",IF(O215&gt;=80,5,IF(O215&gt;=60,4,IF(O215&gt;=40,3,IF(O215&gt;=28,2,1)))))</f>
        <v/>
      </c>
      <c r="Q215" t="n">
        <v>1014</v>
      </c>
      <c r="R215" t="n">
        <v>0</v>
      </c>
      <c r="S215" s="27">
        <f>R215/Q215</f>
        <v/>
      </c>
      <c r="T215" t="inlineStr">
        <is>
          <t>三戸町は2045年までに人口が約40.6%減と急激な過疎・超高齢化が進行。若年労働世代の流出と自然減が重なり、賃貸事業としての持続性は極めて限定的。</t>
        </is>
      </c>
      <c r="U215" t="inlineStr">
        <is>
          <t>三戸町は人口密度53人/km²と過疎的水準で、民間賃貸の新規需要は薄い。実需に裏付けられた格安戸建ての指値取得のみが現実的。 借家の空室率は約0%と需給は比較的引き締まっている。</t>
        </is>
      </c>
      <c r="V215" t="inlineStr">
        <is>
          <t>三戸町（青森県）：豪雪地帯で除排雪コストが重い。日本海・太平洋沿岸の津波、岩木川・馬淵川の氾濫、八甲田山系の土砂災害に注意。</t>
        </is>
      </c>
    </row>
    <row r="216">
      <c r="A216" t="inlineStr">
        <is>
          <t>青森県</t>
        </is>
      </c>
      <c r="B216" t="inlineStr">
        <is>
          <t>五戸町</t>
        </is>
      </c>
      <c r="C216" t="n">
        <v>5990</v>
      </c>
      <c r="D216" t="n">
        <v>14540</v>
      </c>
      <c r="E216" s="6" t="n">
        <v>80.7</v>
      </c>
      <c r="F216" s="7" t="n">
        <v>18.1</v>
      </c>
      <c r="G216" t="n">
        <v>16042</v>
      </c>
      <c r="H216" t="n">
        <v>14540</v>
      </c>
      <c r="I216" t="n">
        <v>13128</v>
      </c>
      <c r="J216" t="n">
        <v>9101</v>
      </c>
      <c r="K216" s="27">
        <f>(H216/D216-1)</f>
        <v/>
      </c>
      <c r="L216" s="27">
        <f>(I216/D216-1)</f>
        <v/>
      </c>
      <c r="M216" s="27">
        <f>(J216/D216-1)</f>
        <v/>
      </c>
      <c r="N216" t="n">
        <v>39.1</v>
      </c>
      <c r="O216" s="28">
        <f>(N216+F216)/2</f>
        <v/>
      </c>
      <c r="P216">
        <f>IF(O216="計算不能","計算不能",IF(O216&gt;=80,5,IF(O216&gt;=60,4,IF(O216&gt;=40,3,IF(O216&gt;=28,2,1)))))</f>
        <v/>
      </c>
      <c r="Q216" t="n">
        <v>1477</v>
      </c>
      <c r="R216" t="n">
        <v>100</v>
      </c>
      <c r="S216" s="27">
        <f>R216/Q216</f>
        <v/>
      </c>
      <c r="T216" t="inlineStr">
        <is>
          <t>五戸町は2045年までに人口が約37.4%減と急激な過疎・超高齢化が進行。若年労働世代の流出と自然減が重なり、賃貸事業としての持続性は極めて限定的。</t>
        </is>
      </c>
      <c r="U216" t="inlineStr">
        <is>
          <t>五戸町は人口密度81人/km²と過疎的水準で、民間賃貸の新規需要は薄い。実需に裏付けられた格安戸建ての指値取得のみが現実的。 借家の空室率は約7%と需給は比較的引き締まっている。</t>
        </is>
      </c>
      <c r="V216" t="inlineStr">
        <is>
          <t>五戸町（青森県）：豪雪地帯で除排雪コストが重い。日本海・太平洋沿岸の津波、岩木川・馬淵川の氾濫、八甲田山系の土砂災害に注意。</t>
        </is>
      </c>
    </row>
    <row r="217">
      <c r="A217" t="inlineStr">
        <is>
          <t>青森県</t>
        </is>
      </c>
      <c r="B217" t="inlineStr">
        <is>
          <t>田子町</t>
        </is>
      </c>
      <c r="C217" t="n">
        <v>2055</v>
      </c>
      <c r="D217" t="n">
        <v>4423</v>
      </c>
      <c r="E217" s="6" t="n">
        <v>18</v>
      </c>
      <c r="F217" s="7" t="n">
        <v>11.8</v>
      </c>
      <c r="G217" t="n">
        <v>4968</v>
      </c>
      <c r="H217" t="n">
        <v>4423</v>
      </c>
      <c r="I217" t="n">
        <v>3915</v>
      </c>
      <c r="J217" t="n">
        <v>2581</v>
      </c>
      <c r="K217" s="27">
        <f>(H217/D217-1)</f>
        <v/>
      </c>
      <c r="L217" s="27">
        <f>(I217/D217-1)</f>
        <v/>
      </c>
      <c r="M217" s="27">
        <f>(J217/D217-1)</f>
        <v/>
      </c>
      <c r="N217" t="n">
        <v>36.2</v>
      </c>
      <c r="O217" s="28">
        <f>(N217+F217)/2</f>
        <v/>
      </c>
      <c r="P217">
        <f>IF(O217="計算不能","計算不能",IF(O217&gt;=80,5,IF(O217&gt;=60,4,IF(O217&gt;=40,3,IF(O217&gt;=28,2,1)))))</f>
        <v/>
      </c>
      <c r="Q217" t="n">
        <v>506</v>
      </c>
      <c r="R217" t="n">
        <v>0</v>
      </c>
      <c r="S217" s="27">
        <f>R217/Q217</f>
        <v/>
      </c>
      <c r="T217" t="inlineStr">
        <is>
          <t>田子町は2045年までに人口が約41.6%減と急激な過疎・超高齢化が進行。若年労働世代の流出と自然減が重なり、賃貸事業としての持続性は極めて限定的。</t>
        </is>
      </c>
      <c r="U217" t="inlineStr">
        <is>
          <t>田子町は人口密度18人/km²と過疎的水準で、民間賃貸の新規需要は薄い。実需に裏付けられた格安戸建ての指値取得のみが現実的。 借家の空室率は約0%と需給は比較的引き締まっている。</t>
        </is>
      </c>
      <c r="V217" t="inlineStr">
        <is>
          <t>田子町（青森県）：豪雪地帯で除排雪コストが重い。日本海・太平洋沿岸の津波、岩木川・馬淵川の氾濫、八甲田山系の土砂災害に注意。</t>
        </is>
      </c>
    </row>
    <row r="218">
      <c r="A218" t="inlineStr">
        <is>
          <t>青森県</t>
        </is>
      </c>
      <c r="B218" t="inlineStr">
        <is>
          <t>南部町</t>
        </is>
      </c>
      <c r="C218" t="n">
        <v>6030</v>
      </c>
      <c r="D218" t="n">
        <v>15273</v>
      </c>
      <c r="E218" s="6" t="n">
        <v>83.7</v>
      </c>
      <c r="F218" s="7" t="n">
        <v>18.4</v>
      </c>
      <c r="G218" t="n">
        <v>16809</v>
      </c>
      <c r="H218" t="n">
        <v>15273</v>
      </c>
      <c r="I218" t="n">
        <v>13827</v>
      </c>
      <c r="J218" t="n">
        <v>9736</v>
      </c>
      <c r="K218" s="27">
        <f>(H218/D218-1)</f>
        <v/>
      </c>
      <c r="L218" s="27">
        <f>(I218/D218-1)</f>
        <v/>
      </c>
      <c r="M218" s="27">
        <f>(J218/D218-1)</f>
        <v/>
      </c>
      <c r="N218" t="n">
        <v>39.6</v>
      </c>
      <c r="O218" s="28">
        <f>(N218+F218)/2</f>
        <v/>
      </c>
      <c r="P218">
        <f>IF(O218="計算不能","計算不能",IF(O218&gt;=80,5,IF(O218&gt;=60,4,IF(O218&gt;=40,3,IF(O218&gt;=28,2,1)))))</f>
        <v/>
      </c>
      <c r="Q218" t="n">
        <v>1487</v>
      </c>
      <c r="R218" t="n">
        <v>70</v>
      </c>
      <c r="S218" s="27">
        <f>R218/Q218</f>
        <v/>
      </c>
      <c r="T218" t="inlineStr">
        <is>
          <t>南部町は2045年までに人口が約36.3%減と急激な過疎・超高齢化が進行。若年労働世代の流出と自然減が重なり、賃貸事業としての持続性は極めて限定的。</t>
        </is>
      </c>
      <c r="U218" t="inlineStr">
        <is>
          <t>南部町は人口密度84人/km²と過疎的水準で、民間賃貸の新規需要は薄い。実需に裏付けられた格安戸建ての指値取得のみが現実的。 借家の空室率は約5%と需給は比較的引き締まっている。</t>
        </is>
      </c>
      <c r="V218" t="inlineStr">
        <is>
          <t>南部町（青森県）：豪雪地帯で除排雪コストが重い。日本海・太平洋沿岸の津波、岩木川・馬淵川の氾濫、八甲田山系の土砂災害に注意。</t>
        </is>
      </c>
    </row>
    <row r="219">
      <c r="A219" t="inlineStr">
        <is>
          <t>青森県</t>
        </is>
      </c>
      <c r="B219" t="inlineStr">
        <is>
          <t>階上町</t>
        </is>
      </c>
      <c r="C219" t="n">
        <v>6023</v>
      </c>
      <c r="D219" t="n">
        <v>12769</v>
      </c>
      <c r="E219" s="6" t="n">
        <v>130</v>
      </c>
      <c r="F219" s="7" t="n">
        <v>23</v>
      </c>
      <c r="G219" t="n">
        <v>13496</v>
      </c>
      <c r="H219" t="n">
        <v>12769</v>
      </c>
      <c r="I219" t="n">
        <v>11894</v>
      </c>
      <c r="J219" t="n">
        <v>9023</v>
      </c>
      <c r="K219" s="27">
        <f>(H219/D219-1)</f>
        <v/>
      </c>
      <c r="L219" s="27">
        <f>(I219/D219-1)</f>
        <v/>
      </c>
      <c r="M219" s="27">
        <f>(J219/D219-1)</f>
        <v/>
      </c>
      <c r="N219" t="n">
        <v>45.8</v>
      </c>
      <c r="O219" s="28">
        <f>(N219+F219)/2</f>
        <v/>
      </c>
      <c r="P219">
        <f>IF(O219="計算不能","計算不能",IF(O219&gt;=80,5,IF(O219&gt;=60,4,IF(O219&gt;=40,3,IF(O219&gt;=28,2,1)))))</f>
        <v/>
      </c>
      <c r="Q219" t="n">
        <v>1485</v>
      </c>
      <c r="R219" t="n">
        <v>0</v>
      </c>
      <c r="S219" s="27">
        <f>R219/Q219</f>
        <v/>
      </c>
      <c r="T219" t="inlineStr">
        <is>
          <t>階上町は2045年までに人口が約29.3%減と明確な減少トレンド。高齢化の進行と世帯数の縮小により、中長期では賃貸需要の構造的縮小に警戒が必要。</t>
        </is>
      </c>
      <c r="U219" t="inlineStr">
        <is>
          <t>階上町は人口密度130人/km²と過疎的水準で、民間賃貸の新規需要は薄い。実需に裏付けられた格安戸建ての指値取得のみが現実的。 借家の空室率は約0%と需給は比較的引き締まっている。</t>
        </is>
      </c>
      <c r="V219" t="inlineStr">
        <is>
          <t>階上町（青森県）：豪雪地帯で除排雪コストが重い。日本海・太平洋沿岸の津波、岩木川・馬淵川の氾濫、八甲田山系の土砂災害に注意。</t>
        </is>
      </c>
    </row>
    <row r="220">
      <c r="A220" t="inlineStr">
        <is>
          <t>青森県</t>
        </is>
      </c>
      <c r="B220" t="inlineStr">
        <is>
          <t>新郷村</t>
        </is>
      </c>
      <c r="C220" t="n">
        <v>883</v>
      </c>
      <c r="D220" t="n">
        <v>1914</v>
      </c>
      <c r="E220" s="6" t="n">
        <v>12.3</v>
      </c>
      <c r="F220" s="7" t="n">
        <v>11.2</v>
      </c>
      <c r="G220" t="n">
        <v>2197</v>
      </c>
      <c r="H220" t="n">
        <v>1914</v>
      </c>
      <c r="I220" t="n">
        <v>1660</v>
      </c>
      <c r="J220" t="n">
        <v>1014</v>
      </c>
      <c r="K220" s="27">
        <f>(H220/D220-1)</f>
        <v/>
      </c>
      <c r="L220" s="27">
        <f>(I220/D220-1)</f>
        <v/>
      </c>
      <c r="M220" s="27">
        <f>(J220/D220-1)</f>
        <v/>
      </c>
      <c r="N220" t="n">
        <v>32.8</v>
      </c>
      <c r="O220" s="28">
        <f>(N220+F220)/2</f>
        <v/>
      </c>
      <c r="P220">
        <f>IF(O220="計算不能","計算不能",IF(O220&gt;=80,5,IF(O220&gt;=60,4,IF(O220&gt;=40,3,IF(O220&gt;=28,2,1)))))</f>
        <v/>
      </c>
      <c r="Q220" t="n">
        <v>217</v>
      </c>
      <c r="R220" t="n">
        <v>0</v>
      </c>
      <c r="S220" s="27">
        <f>R220/Q220</f>
        <v/>
      </c>
      <c r="T220" t="inlineStr">
        <is>
          <t>新郷村は2045年までに人口が約47.0%減と急激な過疎・超高齢化が進行。若年労働世代の流出と自然減が重なり、賃貸事業としての持続性は極めて限定的。</t>
        </is>
      </c>
      <c r="U220" t="inlineStr">
        <is>
          <t>新郷村は人口密度12人/km²と過疎的水準で、民間賃貸の新規需要は薄い。実需に裏付けられた格安戸建ての指値取得のみが現実的。 借家の空室率は約0%と需給は比較的引き締まっている。</t>
        </is>
      </c>
      <c r="V220" t="inlineStr">
        <is>
          <t>新郷村（青森県）：豪雪地帯で除排雪コストが重い。日本海・太平洋沿岸の津波、岩木川・馬淵川の氾濫、八甲田山系の土砂災害に注意。</t>
        </is>
      </c>
    </row>
    <row r="221">
      <c r="A221" t="inlineStr">
        <is>
          <t>岩手県</t>
        </is>
      </c>
      <c r="B221" t="inlineStr">
        <is>
          <t>盛岡市</t>
        </is>
      </c>
      <c r="C221" t="n">
        <v>131180</v>
      </c>
      <c r="D221" t="n">
        <v>282066</v>
      </c>
      <c r="E221" s="6" t="n">
        <v>314.3</v>
      </c>
      <c r="F221" s="7" t="n">
        <v>35.7</v>
      </c>
      <c r="G221" t="n">
        <v>289731</v>
      </c>
      <c r="H221" t="n">
        <v>282066</v>
      </c>
      <c r="I221" t="n">
        <v>272642</v>
      </c>
      <c r="J221" t="n">
        <v>238224</v>
      </c>
      <c r="K221" s="27">
        <f>(H221/D221-1)</f>
        <v/>
      </c>
      <c r="L221" s="27">
        <f>(I221/D221-1)</f>
        <v/>
      </c>
      <c r="M221" s="27">
        <f>(J221/D221-1)</f>
        <v/>
      </c>
      <c r="N221" t="n">
        <v>59.9</v>
      </c>
      <c r="O221" s="28">
        <f>(N221+F221)/2</f>
        <v/>
      </c>
      <c r="P221">
        <f>IF(O221="計算不能","計算不能",IF(O221&gt;=80,5,IF(O221&gt;=60,4,IF(O221&gt;=40,3,IF(O221&gt;=28,2,1)))))</f>
        <v/>
      </c>
      <c r="Q221" t="n">
        <v>35364</v>
      </c>
      <c r="R221" t="n">
        <v>14650</v>
      </c>
      <c r="S221" s="27">
        <f>R221/Q221</f>
        <v/>
      </c>
      <c r="T221" t="inlineStr">
        <is>
          <t>盛岡市は2045年までに人口が約15.5%減と明確な減少トレンド。高齢化の進行と世帯数の縮小により、中長期では賃貸需要の構造的縮小に警戒が必要。</t>
        </is>
      </c>
      <c r="U221" t="inlineStr">
        <is>
          <t>盛岡市は人口密度314人/km²と低密度で、賃貸需要は限定的。持ち家比率が高く、駐車場完備の戸建て賃貸が有利。 借家の空室率は約41%と供給過多気味で、空室長期化リスクに要警戒。</t>
        </is>
      </c>
      <c r="V221" t="inlineStr">
        <is>
          <t>盛岡市（岩手県）：三陸沿岸は津波浸水想定区域が広く海抜と避難経路が重要。北上川水系の洪水、内陸の豪雪・土砂災害に留意。</t>
        </is>
      </c>
    </row>
    <row r="222">
      <c r="A222" t="inlineStr">
        <is>
          <t>岩手県</t>
        </is>
      </c>
      <c r="B222" t="inlineStr">
        <is>
          <t>宮古市</t>
        </is>
      </c>
      <c r="C222" t="n">
        <v>19470</v>
      </c>
      <c r="D222" t="n">
        <v>46113</v>
      </c>
      <c r="E222" s="6" t="n">
        <v>35.2</v>
      </c>
      <c r="F222" s="7" t="n">
        <v>13.5</v>
      </c>
      <c r="G222" t="n">
        <v>50369</v>
      </c>
      <c r="H222" t="n">
        <v>46113</v>
      </c>
      <c r="I222" t="n">
        <v>41867</v>
      </c>
      <c r="J222" t="n">
        <v>30107</v>
      </c>
      <c r="K222" s="27">
        <f>(H222/D222-1)</f>
        <v/>
      </c>
      <c r="L222" s="27">
        <f>(I222/D222-1)</f>
        <v/>
      </c>
      <c r="M222" s="27">
        <f>(J222/D222-1)</f>
        <v/>
      </c>
      <c r="N222" t="n">
        <v>40.7</v>
      </c>
      <c r="O222" s="28">
        <f>(N222+F222)/2</f>
        <v/>
      </c>
      <c r="P222">
        <f>IF(O222="計算不能","計算不能",IF(O222&gt;=80,5,IF(O222&gt;=60,4,IF(O222&gt;=40,3,IF(O222&gt;=28,2,1)))))</f>
        <v/>
      </c>
      <c r="Q222" t="n">
        <v>5248</v>
      </c>
      <c r="R222" t="n">
        <v>1980</v>
      </c>
      <c r="S222" s="27">
        <f>R222/Q222</f>
        <v/>
      </c>
      <c r="T222" t="inlineStr">
        <is>
          <t>宮古市は2045年までに人口が約34.7%減と急激な過疎・超高齢化が進行。若年労働世代の流出と自然減が重なり、賃貸事業としての持続性は極めて限定的。</t>
        </is>
      </c>
      <c r="U222" t="inlineStr">
        <is>
          <t>宮古市は人口密度35人/km²と過疎的水準で、民間賃貸の新規需要は薄い。実需に裏付けられた格安戸建ての指値取得のみが現実的。 借家の空室率は約38%と供給過多気味で、空室長期化リスクに要警戒。</t>
        </is>
      </c>
      <c r="V222" t="inlineStr">
        <is>
          <t>宮古市（岩手県）：三陸沿岸は津波浸水想定区域が広く海抜と避難経路が重要。北上川水系の洪水、内陸の豪雪・土砂災害に留意。</t>
        </is>
      </c>
    </row>
    <row r="223">
      <c r="A223" t="inlineStr">
        <is>
          <t>岩手県</t>
        </is>
      </c>
      <c r="B223" t="inlineStr">
        <is>
          <t>大船渡市</t>
        </is>
      </c>
      <c r="C223" t="n">
        <v>13290</v>
      </c>
      <c r="D223" t="n">
        <v>32025</v>
      </c>
      <c r="E223" s="6" t="n">
        <v>94.90000000000001</v>
      </c>
      <c r="F223" s="7" t="n">
        <v>19.5</v>
      </c>
      <c r="G223" t="n">
        <v>34728</v>
      </c>
      <c r="H223" t="n">
        <v>32025</v>
      </c>
      <c r="I223" t="n">
        <v>29297</v>
      </c>
      <c r="J223" t="n">
        <v>21620</v>
      </c>
      <c r="K223" s="27">
        <f>(H223/D223-1)</f>
        <v/>
      </c>
      <c r="L223" s="27">
        <f>(I223/D223-1)</f>
        <v/>
      </c>
      <c r="M223" s="27">
        <f>(J223/D223-1)</f>
        <v/>
      </c>
      <c r="N223" t="n">
        <v>42</v>
      </c>
      <c r="O223" s="28">
        <f>(N223+F223)/2</f>
        <v/>
      </c>
      <c r="P223">
        <f>IF(O223="計算不能","計算不能",IF(O223&gt;=80,5,IF(O223&gt;=60,4,IF(O223&gt;=40,3,IF(O223&gt;=28,2,1)))))</f>
        <v/>
      </c>
      <c r="Q223" t="n">
        <v>3582</v>
      </c>
      <c r="R223" t="n">
        <v>1360</v>
      </c>
      <c r="S223" s="27">
        <f>R223/Q223</f>
        <v/>
      </c>
      <c r="T223" t="inlineStr">
        <is>
          <t>大船渡市は2045年までに人口が約32.5%減と急激な過疎・超高齢化が進行。若年労働世代の流出と自然減が重なり、賃貸事業としての持続性は極めて限定的。</t>
        </is>
      </c>
      <c r="U223" t="inlineStr">
        <is>
          <t>大船渡市は人口密度95人/km²と過疎的水準で、民間賃貸の新規需要は薄い。実需に裏付けられた格安戸建ての指値取得のみが現実的。 借家の空室率は約38%と供給過多気味で、空室長期化リスクに要警戒。</t>
        </is>
      </c>
      <c r="V223" t="inlineStr">
        <is>
          <t>大船渡市（岩手県）：三陸沿岸は津波浸水想定区域が広く海抜と避難経路が重要。北上川水系の洪水、内陸の豪雪・土砂災害に留意。</t>
        </is>
      </c>
    </row>
    <row r="224">
      <c r="A224" t="inlineStr">
        <is>
          <t>岩手県</t>
        </is>
      </c>
      <c r="B224" t="inlineStr">
        <is>
          <t>花巻市</t>
        </is>
      </c>
      <c r="C224" t="n">
        <v>34670</v>
      </c>
      <c r="D224" t="n">
        <v>87861</v>
      </c>
      <c r="E224" s="6" t="n">
        <v>96.09999999999999</v>
      </c>
      <c r="F224" s="7" t="n">
        <v>19.6</v>
      </c>
      <c r="G224" t="n">
        <v>93193</v>
      </c>
      <c r="H224" t="n">
        <v>87861</v>
      </c>
      <c r="I224" t="n">
        <v>82344</v>
      </c>
      <c r="J224" t="n">
        <v>66015</v>
      </c>
      <c r="K224" s="27">
        <f>(H224/D224-1)</f>
        <v/>
      </c>
      <c r="L224" s="27">
        <f>(I224/D224-1)</f>
        <v/>
      </c>
      <c r="M224" s="27">
        <f>(J224/D224-1)</f>
        <v/>
      </c>
      <c r="N224" t="n">
        <v>47.7</v>
      </c>
      <c r="O224" s="28">
        <f>(N224+F224)/2</f>
        <v/>
      </c>
      <c r="P224">
        <f>IF(O224="計算不能","計算不能",IF(O224&gt;=80,5,IF(O224&gt;=60,4,IF(O224&gt;=40,3,IF(O224&gt;=28,2,1)))))</f>
        <v/>
      </c>
      <c r="Q224" t="n">
        <v>9346</v>
      </c>
      <c r="R224" t="n">
        <v>2220</v>
      </c>
      <c r="S224" s="27">
        <f>R224/Q224</f>
        <v/>
      </c>
      <c r="T224" t="inlineStr">
        <is>
          <t>花巻市は2045年までに人口が約24.9%減と明確な減少トレンド。高齢化の進行と世帯数の縮小により、中長期では賃貸需要の構造的縮小に警戒が必要。</t>
        </is>
      </c>
      <c r="U224" t="inlineStr">
        <is>
          <t>花巻市は人口密度96人/km²と過疎的水準で、民間賃貸の新規需要は薄い。実需に裏付けられた格安戸建ての指値取得のみが現実的。 借家の空室率は約24%とやや高めで、競合との差別化が必要。</t>
        </is>
      </c>
      <c r="V224" t="inlineStr">
        <is>
          <t>花巻市（岩手県）：三陸沿岸は津波浸水想定区域が広く海抜と避難経路が重要。北上川水系の洪水、内陸の豪雪・土砂災害に留意。</t>
        </is>
      </c>
    </row>
    <row r="225">
      <c r="A225" t="inlineStr">
        <is>
          <t>岩手県</t>
        </is>
      </c>
      <c r="B225" t="inlineStr">
        <is>
          <t>北上市</t>
        </is>
      </c>
      <c r="C225" t="n">
        <v>39920</v>
      </c>
      <c r="D225" t="n">
        <v>91700</v>
      </c>
      <c r="E225" s="6" t="n">
        <v>207.7</v>
      </c>
      <c r="F225" s="7" t="n">
        <v>30.4</v>
      </c>
      <c r="G225" t="n">
        <v>93045</v>
      </c>
      <c r="H225" t="n">
        <v>91700</v>
      </c>
      <c r="I225" t="n">
        <v>88582</v>
      </c>
      <c r="J225" t="n">
        <v>78085</v>
      </c>
      <c r="K225" s="27">
        <f>(H225/D225-1)</f>
        <v/>
      </c>
      <c r="L225" s="27">
        <f>(I225/D225-1)</f>
        <v/>
      </c>
      <c r="M225" s="27">
        <f>(J225/D225-1)</f>
        <v/>
      </c>
      <c r="N225" t="n">
        <v>62.4</v>
      </c>
      <c r="O225" s="28">
        <f>(N225+F225)/2</f>
        <v/>
      </c>
      <c r="P225">
        <f>IF(O225="計算不能","計算不能",IF(O225&gt;=80,5,IF(O225&gt;=60,4,IF(O225&gt;=40,3,IF(O225&gt;=28,2,1)))))</f>
        <v/>
      </c>
      <c r="Q225" t="n">
        <v>10761</v>
      </c>
      <c r="R225" t="n">
        <v>3730</v>
      </c>
      <c r="S225" s="27">
        <f>R225/Q225</f>
        <v/>
      </c>
      <c r="T225" t="inlineStr">
        <is>
          <t>北上市は2045年までに人口が約14.8%減と緩やかな減少局面。若年層の都市部流出と高齢化が進むが、当面の賃貸稼働は一定程度維持される見通し。</t>
        </is>
      </c>
      <c r="U225" t="inlineStr">
        <is>
          <t>北上市は人口密度208人/km²と低密度で、賃貸需要は限定的。持ち家比率が高く、駐車場完備の戸建て賃貸が有利。 借家の空室率は約35%と供給過多気味で、空室長期化リスクに要警戒。</t>
        </is>
      </c>
      <c r="V225" t="inlineStr">
        <is>
          <t>北上市（岩手県）：三陸沿岸は津波浸水想定区域が広く海抜と避難経路が重要。北上川水系の洪水、内陸の豪雪・土砂災害に留意。</t>
        </is>
      </c>
    </row>
    <row r="226">
      <c r="A226" t="inlineStr">
        <is>
          <t>岩手県</t>
        </is>
      </c>
      <c r="B226" t="inlineStr">
        <is>
          <t>久慈市</t>
        </is>
      </c>
      <c r="C226" t="n">
        <v>12730</v>
      </c>
      <c r="D226" t="n">
        <v>29642</v>
      </c>
      <c r="E226" s="6" t="n">
        <v>47.5</v>
      </c>
      <c r="F226" s="7" t="n">
        <v>14.8</v>
      </c>
      <c r="G226" t="n">
        <v>33043</v>
      </c>
      <c r="H226" t="n">
        <v>29642</v>
      </c>
      <c r="I226" t="n">
        <v>27134</v>
      </c>
      <c r="J226" t="n">
        <v>20136</v>
      </c>
      <c r="K226" s="27">
        <f>(H226/D226-1)</f>
        <v/>
      </c>
      <c r="L226" s="27">
        <f>(I226/D226-1)</f>
        <v/>
      </c>
      <c r="M226" s="27">
        <f>(J226/D226-1)</f>
        <v/>
      </c>
      <c r="N226" t="n">
        <v>39.9</v>
      </c>
      <c r="O226" s="28">
        <f>(N226+F226)/2</f>
        <v/>
      </c>
      <c r="P226">
        <f>IF(O226="計算不能","計算不能",IF(O226&gt;=80,5,IF(O226&gt;=60,4,IF(O226&gt;=40,3,IF(O226&gt;=28,2,1)))))</f>
        <v/>
      </c>
      <c r="Q226" t="n">
        <v>3431</v>
      </c>
      <c r="R226" t="n">
        <v>1050</v>
      </c>
      <c r="S226" s="27">
        <f>R226/Q226</f>
        <v/>
      </c>
      <c r="T226" t="inlineStr">
        <is>
          <t>久慈市は2045年までに人口が約32.1%減と急激な過疎・超高齢化が進行。若年労働世代の流出と自然減が重なり、賃貸事業としての持続性は極めて限定的。</t>
        </is>
      </c>
      <c r="U226" t="inlineStr">
        <is>
          <t>久慈市は人口密度48人/km²と過疎的水準で、民間賃貸の新規需要は薄い。実需に裏付けられた格安戸建ての指値取得のみが現実的。 借家の空室率は約31%と供給過多気味で、空室長期化リスクに要警戒。</t>
        </is>
      </c>
      <c r="V226" t="inlineStr">
        <is>
          <t>久慈市（岩手県）：三陸沿岸は津波浸水想定区域が広く海抜と避難経路が重要。北上川水系の洪水、内陸の豪雪・土砂災害に留意。</t>
        </is>
      </c>
    </row>
    <row r="227">
      <c r="A227" t="inlineStr">
        <is>
          <t>岩手県</t>
        </is>
      </c>
      <c r="B227" t="inlineStr">
        <is>
          <t>遠野市</t>
        </is>
      </c>
      <c r="C227" t="n">
        <v>9030</v>
      </c>
      <c r="D227" t="n">
        <v>22577</v>
      </c>
      <c r="E227" s="6" t="n">
        <v>27.4</v>
      </c>
      <c r="F227" s="7" t="n">
        <v>12.7</v>
      </c>
      <c r="G227" t="n">
        <v>25366</v>
      </c>
      <c r="H227" t="n">
        <v>22577</v>
      </c>
      <c r="I227" t="n">
        <v>20386</v>
      </c>
      <c r="J227" t="n">
        <v>14837</v>
      </c>
      <c r="K227" s="27">
        <f>(H227/D227-1)</f>
        <v/>
      </c>
      <c r="L227" s="27">
        <f>(I227/D227-1)</f>
        <v/>
      </c>
      <c r="M227" s="27">
        <f>(J227/D227-1)</f>
        <v/>
      </c>
      <c r="N227" t="n">
        <v>38.4</v>
      </c>
      <c r="O227" s="28">
        <f>(N227+F227)/2</f>
        <v/>
      </c>
      <c r="P227">
        <f>IF(O227="計算不能","計算不能",IF(O227&gt;=80,5,IF(O227&gt;=60,4,IF(O227&gt;=40,3,IF(O227&gt;=28,2,1)))))</f>
        <v/>
      </c>
      <c r="Q227" t="n">
        <v>2434</v>
      </c>
      <c r="R227" t="n">
        <v>520</v>
      </c>
      <c r="S227" s="27">
        <f>R227/Q227</f>
        <v/>
      </c>
      <c r="T227" t="inlineStr">
        <is>
          <t>遠野市は2045年までに人口が約34.3%減と急激な過疎・超高齢化が進行。若年労働世代の流出と自然減が重なり、賃貸事業としての持続性は極めて限定的。</t>
        </is>
      </c>
      <c r="U227" t="inlineStr">
        <is>
          <t>遠野市は人口密度27人/km²と過疎的水準で、民間賃貸の新規需要は薄い。実需に裏付けられた格安戸建ての指値取得のみが現実的。 借家の空室率は約21%とやや高めで、競合との差別化が必要。</t>
        </is>
      </c>
      <c r="V227" t="inlineStr">
        <is>
          <t>遠野市（岩手県）：三陸沿岸は津波浸水想定区域が広く海抜と避難経路が重要。北上川水系の洪水、内陸の豪雪・土砂災害に留意。</t>
        </is>
      </c>
    </row>
    <row r="228">
      <c r="A228" t="inlineStr">
        <is>
          <t>岩手県</t>
        </is>
      </c>
      <c r="B228" t="inlineStr">
        <is>
          <t>一関市</t>
        </is>
      </c>
      <c r="C228" t="n">
        <v>40110</v>
      </c>
      <c r="D228" t="n">
        <v>101167</v>
      </c>
      <c r="E228" s="6" t="n">
        <v>81.09999999999999</v>
      </c>
      <c r="F228" s="7" t="n">
        <v>18.1</v>
      </c>
      <c r="G228" t="n">
        <v>111932</v>
      </c>
      <c r="H228" t="n">
        <v>101167</v>
      </c>
      <c r="I228" t="n">
        <v>92315</v>
      </c>
      <c r="J228" t="n">
        <v>68604</v>
      </c>
      <c r="K228" s="27">
        <f>(H228/D228-1)</f>
        <v/>
      </c>
      <c r="L228" s="27">
        <f>(I228/D228-1)</f>
        <v/>
      </c>
      <c r="M228" s="27">
        <f>(J228/D228-1)</f>
        <v/>
      </c>
      <c r="N228" t="n">
        <v>40.3</v>
      </c>
      <c r="O228" s="28">
        <f>(N228+F228)/2</f>
        <v/>
      </c>
      <c r="P228">
        <f>IF(O228="計算不能","計算不能",IF(O228&gt;=80,5,IF(O228&gt;=60,4,IF(O228&gt;=40,3,IF(O228&gt;=28,2,1)))))</f>
        <v/>
      </c>
      <c r="Q228" t="n">
        <v>10813</v>
      </c>
      <c r="R228" t="n">
        <v>3190</v>
      </c>
      <c r="S228" s="27">
        <f>R228/Q228</f>
        <v/>
      </c>
      <c r="T228" t="inlineStr">
        <is>
          <t>一関市は2045年までに人口が約32.2%減と急激な過疎・超高齢化が進行。若年労働世代の流出と自然減が重なり、賃貸事業としての持続性は極めて限定的。</t>
        </is>
      </c>
      <c r="U228" t="inlineStr">
        <is>
          <t>一関市は人口密度81人/km²と過疎的水準で、民間賃貸の新規需要は薄い。実需に裏付けられた格安戸建ての指値取得のみが現実的。 借家の空室率は約30%と供給過多気味で、空室長期化リスクに要警戒。</t>
        </is>
      </c>
      <c r="V228" t="inlineStr">
        <is>
          <t>一関市（岩手県）：三陸沿岸は津波浸水想定区域が広く海抜と避難経路が重要。北上川水系の洪水、内陸の豪雪・土砂災害に留意。</t>
        </is>
      </c>
    </row>
    <row r="229">
      <c r="A229" t="inlineStr">
        <is>
          <t>岩手県</t>
        </is>
      </c>
      <c r="B229" t="inlineStr">
        <is>
          <t>陸前高田市</t>
        </is>
      </c>
      <c r="C229" t="n">
        <v>6950</v>
      </c>
      <c r="D229" t="n">
        <v>16479</v>
      </c>
      <c r="E229" s="6" t="n">
        <v>70.8</v>
      </c>
      <c r="F229" s="7" t="n">
        <v>17.1</v>
      </c>
      <c r="G229" t="n">
        <v>18262</v>
      </c>
      <c r="H229" t="n">
        <v>16479</v>
      </c>
      <c r="I229" t="n">
        <v>14967</v>
      </c>
      <c r="J229" t="n">
        <v>10844</v>
      </c>
      <c r="K229" s="27">
        <f>(H229/D229-1)</f>
        <v/>
      </c>
      <c r="L229" s="27">
        <f>(I229/D229-1)</f>
        <v/>
      </c>
      <c r="M229" s="27">
        <f>(J229/D229-1)</f>
        <v/>
      </c>
      <c r="N229" t="n">
        <v>39.6</v>
      </c>
      <c r="O229" s="28">
        <f>(N229+F229)/2</f>
        <v/>
      </c>
      <c r="P229">
        <f>IF(O229="計算不能","計算不能",IF(O229&gt;=80,5,IF(O229&gt;=60,4,IF(O229&gt;=40,3,IF(O229&gt;=28,2,1)))))</f>
        <v/>
      </c>
      <c r="Q229" t="n">
        <v>1873</v>
      </c>
      <c r="R229" t="n">
        <v>360</v>
      </c>
      <c r="S229" s="27">
        <f>R229/Q229</f>
        <v/>
      </c>
      <c r="T229" t="inlineStr">
        <is>
          <t>陸前高田市は2045年までに人口が約34.2%減と急激な過疎・超高齢化が進行。若年労働世代の流出と自然減が重なり、賃貸事業としての持続性は極めて限定的。</t>
        </is>
      </c>
      <c r="U229" t="inlineStr">
        <is>
          <t>陸前高田市は人口密度71人/km²と過疎的水準で、民間賃貸の新規需要は薄い。実需に裏付けられた格安戸建ての指値取得のみが現実的。 借家の空室率は約19%とやや高めで、競合との差別化が必要。</t>
        </is>
      </c>
      <c r="V229" t="inlineStr">
        <is>
          <t>陸前高田市（岩手県）：三陸沿岸は津波浸水想定区域が広く海抜と避難経路が重要。北上川水系の洪水、内陸の豪雪・土砂災害に留意。</t>
        </is>
      </c>
    </row>
    <row r="230">
      <c r="A230" t="inlineStr">
        <is>
          <t>岩手県</t>
        </is>
      </c>
      <c r="B230" t="inlineStr">
        <is>
          <t>釜石市</t>
        </is>
      </c>
      <c r="C230" t="n">
        <v>14230</v>
      </c>
      <c r="D230" t="n">
        <v>28967</v>
      </c>
      <c r="E230" s="6" t="n">
        <v>63.6</v>
      </c>
      <c r="F230" s="7" t="n">
        <v>16.4</v>
      </c>
      <c r="G230" t="n">
        <v>32078</v>
      </c>
      <c r="H230" t="n">
        <v>28967</v>
      </c>
      <c r="I230" t="n">
        <v>26131</v>
      </c>
      <c r="J230" t="n">
        <v>18554</v>
      </c>
      <c r="K230" s="27">
        <f>(H230/D230-1)</f>
        <v/>
      </c>
      <c r="L230" s="27">
        <f>(I230/D230-1)</f>
        <v/>
      </c>
      <c r="M230" s="27">
        <f>(J230/D230-1)</f>
        <v/>
      </c>
      <c r="N230" t="n">
        <v>39.1</v>
      </c>
      <c r="O230" s="28">
        <f>(N230+F230)/2</f>
        <v/>
      </c>
      <c r="P230">
        <f>IF(O230="計算不能","計算不能",IF(O230&gt;=80,5,IF(O230&gt;=60,4,IF(O230&gt;=40,3,IF(O230&gt;=28,2,1)))))</f>
        <v/>
      </c>
      <c r="Q230" t="n">
        <v>3836</v>
      </c>
      <c r="R230" t="n">
        <v>1880</v>
      </c>
      <c r="S230" s="27">
        <f>R230/Q230</f>
        <v/>
      </c>
      <c r="T230" t="inlineStr">
        <is>
          <t>釜石市は2045年までに人口が約35.9%減と急激な過疎・超高齢化が進行。若年労働世代の流出と自然減が重なり、賃貸事業としての持続性は極めて限定的。</t>
        </is>
      </c>
      <c r="U230" t="inlineStr">
        <is>
          <t>釜石市は人口密度64人/km²と過疎的水準で、民間賃貸の新規需要は薄い。実需に裏付けられた格安戸建ての指値取得のみが現実的。 借家の空室率は約49%と供給過多気味で、空室長期化リスクに要警戒。</t>
        </is>
      </c>
      <c r="V230" t="inlineStr">
        <is>
          <t>釜石市（岩手県）：三陸沿岸は津波浸水想定区域が広く海抜と避難経路が重要。北上川水系の洪水、内陸の豪雪・土砂災害に留意。</t>
        </is>
      </c>
    </row>
    <row r="231">
      <c r="A231" t="inlineStr">
        <is>
          <t>岩手県</t>
        </is>
      </c>
      <c r="B231" t="inlineStr">
        <is>
          <t>二戸市</t>
        </is>
      </c>
      <c r="C231" t="n">
        <v>10040</v>
      </c>
      <c r="D231" t="n">
        <v>23203</v>
      </c>
      <c r="E231" s="6" t="n">
        <v>54.7</v>
      </c>
      <c r="F231" s="7" t="n">
        <v>15.5</v>
      </c>
      <c r="G231" t="n">
        <v>25513</v>
      </c>
      <c r="H231" t="n">
        <v>23203</v>
      </c>
      <c r="I231" t="n">
        <v>21138</v>
      </c>
      <c r="J231" t="n">
        <v>15491</v>
      </c>
      <c r="K231" s="27">
        <f>(H231/D231-1)</f>
        <v/>
      </c>
      <c r="L231" s="27">
        <f>(I231/D231-1)</f>
        <v/>
      </c>
      <c r="M231" s="27">
        <f>(J231/D231-1)</f>
        <v/>
      </c>
      <c r="N231" t="n">
        <v>40.6</v>
      </c>
      <c r="O231" s="28">
        <f>(N231+F231)/2</f>
        <v/>
      </c>
      <c r="P231">
        <f>IF(O231="計算不能","計算不能",IF(O231&gt;=80,5,IF(O231&gt;=60,4,IF(O231&gt;=40,3,IF(O231&gt;=28,2,1)))))</f>
        <v/>
      </c>
      <c r="Q231" t="n">
        <v>2706</v>
      </c>
      <c r="R231" t="n">
        <v>690</v>
      </c>
      <c r="S231" s="27">
        <f>R231/Q231</f>
        <v/>
      </c>
      <c r="T231" t="inlineStr">
        <is>
          <t>二戸市は2045年までに人口が約33.2%減と急激な過疎・超高齢化が進行。若年労働世代の流出と自然減が重なり、賃貸事業としての持続性は極めて限定的。</t>
        </is>
      </c>
      <c r="U231" t="inlineStr">
        <is>
          <t>二戸市は人口密度55人/km²と過疎的水準で、民間賃貸の新規需要は薄い。実需に裏付けられた格安戸建ての指値取得のみが現実的。 借家の空室率は約25%と供給過多気味で、空室長期化リスクに要警戒。</t>
        </is>
      </c>
      <c r="V231" t="inlineStr">
        <is>
          <t>二戸市（岩手県）：三陸沿岸は津波浸水想定区域が広く海抜と避難経路が重要。北上川水系の洪水、内陸の豪雪・土砂災害に留意。</t>
        </is>
      </c>
    </row>
    <row r="232">
      <c r="A232" t="inlineStr">
        <is>
          <t>岩手県</t>
        </is>
      </c>
      <c r="B232" t="inlineStr">
        <is>
          <t>八幡平市</t>
        </is>
      </c>
      <c r="C232" t="n">
        <v>8420</v>
      </c>
      <c r="D232" t="n">
        <v>21719</v>
      </c>
      <c r="E232" s="6" t="n">
        <v>25.6</v>
      </c>
      <c r="F232" s="7" t="n">
        <v>12.6</v>
      </c>
      <c r="G232" t="n">
        <v>24023</v>
      </c>
      <c r="H232" t="n">
        <v>21719</v>
      </c>
      <c r="I232" t="n">
        <v>19402</v>
      </c>
      <c r="J232" t="n">
        <v>13196</v>
      </c>
      <c r="K232" s="27">
        <f>(H232/D232-1)</f>
        <v/>
      </c>
      <c r="L232" s="27">
        <f>(I232/D232-1)</f>
        <v/>
      </c>
      <c r="M232" s="27">
        <f>(J232/D232-1)</f>
        <v/>
      </c>
      <c r="N232" t="n">
        <v>38.2</v>
      </c>
      <c r="O232" s="28">
        <f>(N232+F232)/2</f>
        <v/>
      </c>
      <c r="P232">
        <f>IF(O232="計算不能","計算不能",IF(O232&gt;=80,5,IF(O232&gt;=60,4,IF(O232&gt;=40,3,IF(O232&gt;=28,2,1)))))</f>
        <v/>
      </c>
      <c r="Q232" t="n">
        <v>2269</v>
      </c>
      <c r="R232" t="n">
        <v>890</v>
      </c>
      <c r="S232" s="27">
        <f>R232/Q232</f>
        <v/>
      </c>
      <c r="T232" t="inlineStr">
        <is>
          <t>八幡平市は2045年までに人口が約39.2%減と急激な過疎・超高齢化が進行。若年労働世代の流出と自然減が重なり、賃貸事業としての持続性は極めて限定的。</t>
        </is>
      </c>
      <c r="U232" t="inlineStr">
        <is>
          <t>八幡平市は人口密度26人/km²と過疎的水準で、民間賃貸の新規需要は薄い。実需に裏付けられた格安戸建ての指値取得のみが現実的。 借家の空室率は約39%と供給過多気味で、空室長期化リスクに要警戒。</t>
        </is>
      </c>
      <c r="V232" t="inlineStr">
        <is>
          <t>八幡平市（岩手県）：三陸沿岸は津波浸水想定区域が広く海抜と避難経路が重要。北上川水系の洪水、内陸の豪雪・土砂災害に留意。</t>
        </is>
      </c>
    </row>
    <row r="233">
      <c r="A233" t="inlineStr">
        <is>
          <t>岩手県</t>
        </is>
      </c>
      <c r="B233" t="inlineStr">
        <is>
          <t>奥州市</t>
        </is>
      </c>
      <c r="C233" t="n">
        <v>42430</v>
      </c>
      <c r="D233" t="n">
        <v>105442</v>
      </c>
      <c r="E233" s="6" t="n">
        <v>104.6</v>
      </c>
      <c r="F233" s="7" t="n">
        <v>20.5</v>
      </c>
      <c r="G233" t="n">
        <v>112937</v>
      </c>
      <c r="H233" t="n">
        <v>105442</v>
      </c>
      <c r="I233" t="n">
        <v>97749</v>
      </c>
      <c r="J233" t="n">
        <v>76276</v>
      </c>
      <c r="K233" s="27">
        <f>(H233/D233-1)</f>
        <v/>
      </c>
      <c r="L233" s="27">
        <f>(I233/D233-1)</f>
        <v/>
      </c>
      <c r="M233" s="27">
        <f>(J233/D233-1)</f>
        <v/>
      </c>
      <c r="N233" t="n">
        <v>44.5</v>
      </c>
      <c r="O233" s="28">
        <f>(N233+F233)/2</f>
        <v/>
      </c>
      <c r="P233">
        <f>IF(O233="計算不能","計算不能",IF(O233&gt;=80,5,IF(O233&gt;=60,4,IF(O233&gt;=40,3,IF(O233&gt;=28,2,1)))))</f>
        <v/>
      </c>
      <c r="Q233" t="n">
        <v>11438</v>
      </c>
      <c r="R233" t="n">
        <v>3010</v>
      </c>
      <c r="S233" s="27">
        <f>R233/Q233</f>
        <v/>
      </c>
      <c r="T233" t="inlineStr">
        <is>
          <t>奥州市は2045年までに人口が約27.7%減と明確な減少トレンド。高齢化の進行と世帯数の縮小により、中長期では賃貸需要の構造的縮小に警戒が必要。</t>
        </is>
      </c>
      <c r="U233" t="inlineStr">
        <is>
          <t>奥州市は人口密度105人/km²と過疎的水準で、民間賃貸の新規需要は薄い。実需に裏付けられた格安戸建ての指値取得のみが現実的。 借家の空室率は約26%と供給過多気味で、空室長期化リスクに要警戒。</t>
        </is>
      </c>
      <c r="V233" t="inlineStr">
        <is>
          <t>奥州市（岩手県）：三陸沿岸は津波浸水想定区域が広く海抜と避難経路が重要。北上川水系の洪水、内陸の豪雪・土砂災害に留意。</t>
        </is>
      </c>
    </row>
    <row r="234">
      <c r="A234" t="inlineStr">
        <is>
          <t>岩手県</t>
        </is>
      </c>
      <c r="B234" t="inlineStr">
        <is>
          <t>滝沢市</t>
        </is>
      </c>
      <c r="C234" t="n">
        <v>21870</v>
      </c>
      <c r="D234" t="n">
        <v>54966</v>
      </c>
      <c r="E234" s="6" t="n">
        <v>294.5</v>
      </c>
      <c r="F234" s="7" t="n">
        <v>34.7</v>
      </c>
      <c r="G234" t="n">
        <v>55579</v>
      </c>
      <c r="H234" t="n">
        <v>54966</v>
      </c>
      <c r="I234" t="n">
        <v>53545</v>
      </c>
      <c r="J234" t="n">
        <v>46776</v>
      </c>
      <c r="K234" s="27">
        <f>(H234/D234-1)</f>
        <v/>
      </c>
      <c r="L234" s="27">
        <f>(I234/D234-1)</f>
        <v/>
      </c>
      <c r="M234" s="27">
        <f>(J234/D234-1)</f>
        <v/>
      </c>
      <c r="N234" t="n">
        <v>63.6</v>
      </c>
      <c r="O234" s="28">
        <f>(N234+F234)/2</f>
        <v/>
      </c>
      <c r="P234">
        <f>IF(O234="計算不能","計算不能",IF(O234&gt;=80,5,IF(O234&gt;=60,4,IF(O234&gt;=40,3,IF(O234&gt;=28,2,1)))))</f>
        <v/>
      </c>
      <c r="Q234" t="n">
        <v>5895</v>
      </c>
      <c r="R234" t="n">
        <v>2090</v>
      </c>
      <c r="S234" s="27">
        <f>R234/Q234</f>
        <v/>
      </c>
      <c r="T234" t="inlineStr">
        <is>
          <t>滝沢市は2045年までに人口が約14.9%減と緩やかな減少局面。若年層の都市部流出と高齢化が進むが、当面の賃貸稼働は一定程度維持される見通し。</t>
        </is>
      </c>
      <c r="U234" t="inlineStr">
        <is>
          <t>滝沢市は人口密度294人/km²と低密度で、賃貸需要は限定的。持ち家比率が高く、駐車場完備の戸建て賃貸が有利。 借家の空室率は約35%と供給過多気味で、空室長期化リスクに要警戒。</t>
        </is>
      </c>
      <c r="V234" t="inlineStr">
        <is>
          <t>滝沢市（岩手県）：三陸沿岸は津波浸水想定区域が広く海抜と避難経路が重要。北上川水系の洪水、内陸の豪雪・土砂災害に留意。</t>
        </is>
      </c>
    </row>
    <row r="235">
      <c r="A235" t="inlineStr">
        <is>
          <t>岩手県</t>
        </is>
      </c>
      <c r="B235" t="inlineStr">
        <is>
          <t>雫石町</t>
        </is>
      </c>
      <c r="C235" t="n">
        <v>5150</v>
      </c>
      <c r="D235" t="n">
        <v>14210</v>
      </c>
      <c r="E235" s="6" t="n">
        <v>23.4</v>
      </c>
      <c r="F235" s="7" t="n">
        <v>12.3</v>
      </c>
      <c r="G235" t="n">
        <v>15731</v>
      </c>
      <c r="H235" t="n">
        <v>14210</v>
      </c>
      <c r="I235" t="n">
        <v>12929</v>
      </c>
      <c r="J235" t="n">
        <v>9229</v>
      </c>
      <c r="K235" s="27">
        <f>(H235/D235-1)</f>
        <v/>
      </c>
      <c r="L235" s="27">
        <f>(I235/D235-1)</f>
        <v/>
      </c>
      <c r="M235" s="27">
        <f>(J235/D235-1)</f>
        <v/>
      </c>
      <c r="N235" t="n">
        <v>39.6</v>
      </c>
      <c r="O235" s="28">
        <f>(N235+F235)/2</f>
        <v/>
      </c>
      <c r="P235">
        <f>IF(O235="計算不能","計算不能",IF(O235&gt;=80,5,IF(O235&gt;=60,4,IF(O235&gt;=40,3,IF(O235&gt;=28,2,1)))))</f>
        <v/>
      </c>
      <c r="Q235" t="n">
        <v>1388</v>
      </c>
      <c r="R235" t="n">
        <v>270</v>
      </c>
      <c r="S235" s="27">
        <f>R235/Q235</f>
        <v/>
      </c>
      <c r="T235" t="inlineStr">
        <is>
          <t>雫石町は2045年までに人口が約35.1%減と急激な過疎・超高齢化が進行。若年労働世代の流出と自然減が重なり、賃貸事業としての持続性は極めて限定的。</t>
        </is>
      </c>
      <c r="U235" t="inlineStr">
        <is>
          <t>雫石町は人口密度23人/km²と過疎的水準で、民間賃貸の新規需要は薄い。実需に裏付けられた格安戸建ての指値取得のみが現実的。 借家の空室率は約19%とやや高めで、競合との差別化が必要。</t>
        </is>
      </c>
      <c r="V235" t="inlineStr">
        <is>
          <t>雫石町（岩手県）：三陸沿岸は津波浸水想定区域が広く海抜と避難経路が重要。北上川水系の洪水、内陸の豪雪・土砂災害に留意。</t>
        </is>
      </c>
    </row>
    <row r="236">
      <c r="A236" t="inlineStr">
        <is>
          <t>岩手県</t>
        </is>
      </c>
      <c r="B236" t="inlineStr">
        <is>
          <t>葛巻町</t>
        </is>
      </c>
      <c r="C236" t="n">
        <v>2629</v>
      </c>
      <c r="D236" t="n">
        <v>4982</v>
      </c>
      <c r="E236" s="6" t="n">
        <v>11.2</v>
      </c>
      <c r="F236" s="7" t="n">
        <v>11.1</v>
      </c>
      <c r="G236" t="n">
        <v>5634</v>
      </c>
      <c r="H236" t="n">
        <v>4982</v>
      </c>
      <c r="I236" t="n">
        <v>4385</v>
      </c>
      <c r="J236" t="n">
        <v>2832</v>
      </c>
      <c r="K236" s="27">
        <f>(H236/D236-1)</f>
        <v/>
      </c>
      <c r="L236" s="27">
        <f>(I236/D236-1)</f>
        <v/>
      </c>
      <c r="M236" s="27">
        <f>(J236/D236-1)</f>
        <v/>
      </c>
      <c r="N236" t="n">
        <v>35.2</v>
      </c>
      <c r="O236" s="28">
        <f>(N236+F236)/2</f>
        <v/>
      </c>
      <c r="P236">
        <f>IF(O236="計算不能","計算不能",IF(O236&gt;=80,5,IF(O236&gt;=60,4,IF(O236&gt;=40,3,IF(O236&gt;=28,2,1)))))</f>
        <v/>
      </c>
      <c r="Q236" t="n">
        <v>708</v>
      </c>
      <c r="R236" t="n">
        <v>0</v>
      </c>
      <c r="S236" s="27">
        <f>R236/Q236</f>
        <v/>
      </c>
      <c r="T236" t="inlineStr">
        <is>
          <t>葛巻町は2045年までに人口が約43.2%減と急激な過疎・超高齢化が進行。若年労働世代の流出と自然減が重なり、賃貸事業としての持続性は極めて限定的。</t>
        </is>
      </c>
      <c r="U236" t="inlineStr">
        <is>
          <t>葛巻町は人口密度11人/km²と過疎的水準で、民間賃貸の新規需要は薄い。実需に裏付けられた格安戸建ての指値取得のみが現実的。 借家の空室率は約0%と需給は比較的引き締まっている。</t>
        </is>
      </c>
      <c r="V236" t="inlineStr">
        <is>
          <t>葛巻町（岩手県）：三陸沿岸は津波浸水想定区域が広く海抜と避難経路が重要。北上川水系の洪水、内陸の豪雪・土砂災害に留意。</t>
        </is>
      </c>
    </row>
    <row r="237">
      <c r="A237" t="inlineStr">
        <is>
          <t>岩手県</t>
        </is>
      </c>
      <c r="B237" t="inlineStr">
        <is>
          <t>岩手町</t>
        </is>
      </c>
      <c r="C237" t="n">
        <v>5290</v>
      </c>
      <c r="D237" t="n">
        <v>10591</v>
      </c>
      <c r="E237" s="6" t="n">
        <v>29.6</v>
      </c>
      <c r="F237" s="7" t="n">
        <v>13</v>
      </c>
      <c r="G237" t="n">
        <v>12285</v>
      </c>
      <c r="H237" t="n">
        <v>10591</v>
      </c>
      <c r="I237" t="n">
        <v>9465</v>
      </c>
      <c r="J237" t="n">
        <v>6384</v>
      </c>
      <c r="K237" s="27">
        <f>(H237/D237-1)</f>
        <v/>
      </c>
      <c r="L237" s="27">
        <f>(I237/D237-1)</f>
        <v/>
      </c>
      <c r="M237" s="27">
        <f>(J237/D237-1)</f>
        <v/>
      </c>
      <c r="N237" t="n">
        <v>34.4</v>
      </c>
      <c r="O237" s="28">
        <f>(N237+F237)/2</f>
        <v/>
      </c>
      <c r="P237">
        <f>IF(O237="計算不能","計算不能",IF(O237&gt;=80,5,IF(O237&gt;=60,4,IF(O237&gt;=40,3,IF(O237&gt;=28,2,1)))))</f>
        <v/>
      </c>
      <c r="Q237" t="n">
        <v>1426</v>
      </c>
      <c r="R237" t="n">
        <v>0</v>
      </c>
      <c r="S237" s="27">
        <f>R237/Q237</f>
        <v/>
      </c>
      <c r="T237" t="inlineStr">
        <is>
          <t>岩手町は2045年までに人口が約39.7%減と急激な過疎・超高齢化が進行。若年労働世代の流出と自然減が重なり、賃貸事業としての持続性は極めて限定的。</t>
        </is>
      </c>
      <c r="U237" t="inlineStr">
        <is>
          <t>岩手町は人口密度30人/km²と過疎的水準で、民間賃貸の新規需要は薄い。実需に裏付けられた格安戸建ての指値取得のみが現実的。 借家の空室率は約0%と需給は比較的引き締まっている。</t>
        </is>
      </c>
      <c r="V237" t="inlineStr">
        <is>
          <t>岩手町（岩手県）：三陸沿岸は津波浸水想定区域が広く海抜と避難経路が重要。北上川水系の洪水、内陸の豪雪・土砂災害に留意。</t>
        </is>
      </c>
    </row>
    <row r="238">
      <c r="A238" t="inlineStr">
        <is>
          <t>岩手県</t>
        </is>
      </c>
      <c r="B238" t="inlineStr">
        <is>
          <t>紫波町</t>
        </is>
      </c>
      <c r="C238" t="n">
        <v>11830</v>
      </c>
      <c r="D238" t="n">
        <v>31463</v>
      </c>
      <c r="E238" s="6" t="n">
        <v>131.7</v>
      </c>
      <c r="F238" s="7" t="n">
        <v>23.2</v>
      </c>
      <c r="G238" t="n">
        <v>32147</v>
      </c>
      <c r="H238" t="n">
        <v>31463</v>
      </c>
      <c r="I238" t="n">
        <v>30080</v>
      </c>
      <c r="J238" t="n">
        <v>25240</v>
      </c>
      <c r="K238" s="27">
        <f>(H238/D238-1)</f>
        <v/>
      </c>
      <c r="L238" s="27">
        <f>(I238/D238-1)</f>
        <v/>
      </c>
      <c r="M238" s="27">
        <f>(J238/D238-1)</f>
        <v/>
      </c>
      <c r="N238" t="n">
        <v>58.1</v>
      </c>
      <c r="O238" s="28">
        <f>(N238+F238)/2</f>
        <v/>
      </c>
      <c r="P238">
        <f>IF(O238="計算不能","計算不能",IF(O238&gt;=80,5,IF(O238&gt;=60,4,IF(O238&gt;=40,3,IF(O238&gt;=28,2,1)))))</f>
        <v/>
      </c>
      <c r="Q238" t="n">
        <v>3189</v>
      </c>
      <c r="R238" t="n">
        <v>570</v>
      </c>
      <c r="S238" s="27">
        <f>R238/Q238</f>
        <v/>
      </c>
      <c r="T238" t="inlineStr">
        <is>
          <t>紫波町は2045年までに人口が約19.8%減と明確な減少トレンド。高齢化の進行と世帯数の縮小により、中長期では賃貸需要の構造的縮小に警戒が必要。</t>
        </is>
      </c>
      <c r="U238" t="inlineStr">
        <is>
          <t>紫波町は人口密度132人/km²と過疎的水準で、民間賃貸の新規需要は薄い。実需に裏付けられた格安戸建ての指値取得のみが現実的。 借家の空室率は約18%と需給は比較的引き締まっている。</t>
        </is>
      </c>
      <c r="V238" t="inlineStr">
        <is>
          <t>紫波町（岩手県）：三陸沿岸は津波浸水想定区域が広く海抜と避難経路が重要。北上川水系の洪水、内陸の豪雪・土砂災害に留意。</t>
        </is>
      </c>
    </row>
    <row r="239">
      <c r="A239" t="inlineStr">
        <is>
          <t>岩手県</t>
        </is>
      </c>
      <c r="B239" t="inlineStr">
        <is>
          <t>矢巾町</t>
        </is>
      </c>
      <c r="C239" t="n">
        <v>10660</v>
      </c>
      <c r="D239" t="n">
        <v>27541</v>
      </c>
      <c r="E239" s="6" t="n">
        <v>401.1</v>
      </c>
      <c r="F239" s="7" t="n">
        <v>40.1</v>
      </c>
      <c r="G239" t="n">
        <v>28056</v>
      </c>
      <c r="H239" t="n">
        <v>27541</v>
      </c>
      <c r="I239" t="n">
        <v>26771</v>
      </c>
      <c r="J239" t="n">
        <v>23598</v>
      </c>
      <c r="K239" s="27">
        <f>(H239/D239-1)</f>
        <v/>
      </c>
      <c r="L239" s="27">
        <f>(I239/D239-1)</f>
        <v/>
      </c>
      <c r="M239" s="27">
        <f>(J239/D239-1)</f>
        <v/>
      </c>
      <c r="N239" t="n">
        <v>62.4</v>
      </c>
      <c r="O239" s="28">
        <f>(N239+F239)/2</f>
        <v/>
      </c>
      <c r="P239">
        <f>IF(O239="計算不能","計算不能",IF(O239&gt;=80,5,IF(O239&gt;=60,4,IF(O239&gt;=40,3,IF(O239&gt;=28,2,1)))))</f>
        <v/>
      </c>
      <c r="Q239" t="n">
        <v>2873</v>
      </c>
      <c r="R239" t="n">
        <v>490</v>
      </c>
      <c r="S239" s="27">
        <f>R239/Q239</f>
        <v/>
      </c>
      <c r="T239" t="inlineStr">
        <is>
          <t>矢巾町は2045年までに人口が約14.3%減と緩やかな減少局面。若年層の都市部流出と高齢化が進むが、当面の賃貸稼働は一定程度維持される見通し。</t>
        </is>
      </c>
      <c r="U239" t="inlineStr">
        <is>
          <t>矢巾町は人口密度401人/km²と低密度で、賃貸需要は限定的。持ち家比率が高く、駐車場完備の戸建て賃貸が有利。 借家の空室率は約17%と需給は比較的引き締まっている。</t>
        </is>
      </c>
      <c r="V239" t="inlineStr">
        <is>
          <t>矢巾町（岩手県）：三陸沿岸は津波浸水想定区域が広く海抜と避難経路が重要。北上川水系の洪水、内陸の豪雪・土砂災害に留意。</t>
        </is>
      </c>
    </row>
    <row r="240">
      <c r="A240" t="inlineStr">
        <is>
          <t>岩手県</t>
        </is>
      </c>
      <c r="B240" t="inlineStr">
        <is>
          <t>西和賀町</t>
        </is>
      </c>
      <c r="C240" t="n">
        <v>2168</v>
      </c>
      <c r="D240" t="n">
        <v>4408</v>
      </c>
      <c r="E240" s="6" t="n">
        <v>7.4</v>
      </c>
      <c r="F240" s="7" t="n">
        <v>10.7</v>
      </c>
      <c r="G240" t="n">
        <v>5134</v>
      </c>
      <c r="H240" t="n">
        <v>4408</v>
      </c>
      <c r="I240" t="n">
        <v>3777</v>
      </c>
      <c r="J240" t="n">
        <v>2326</v>
      </c>
      <c r="K240" s="27">
        <f>(H240/D240-1)</f>
        <v/>
      </c>
      <c r="L240" s="27">
        <f>(I240/D240-1)</f>
        <v/>
      </c>
      <c r="M240" s="27">
        <f>(J240/D240-1)</f>
        <v/>
      </c>
      <c r="N240" t="n">
        <v>31.4</v>
      </c>
      <c r="O240" s="28">
        <f>(N240+F240)/2</f>
        <v/>
      </c>
      <c r="P240">
        <f>IF(O240="計算不能","計算不能",IF(O240&gt;=80,5,IF(O240&gt;=60,4,IF(O240&gt;=40,3,IF(O240&gt;=28,2,1)))))</f>
        <v/>
      </c>
      <c r="Q240" t="n">
        <v>584</v>
      </c>
      <c r="R240" t="n">
        <v>0</v>
      </c>
      <c r="S240" s="27">
        <f>R240/Q240</f>
        <v/>
      </c>
      <c r="T240" t="inlineStr">
        <is>
          <t>西和賀町は2045年までに人口が約47.2%減と急激な過疎・超高齢化が進行。若年労働世代の流出と自然減が重なり、賃貸事業としての持続性は極めて限定的。</t>
        </is>
      </c>
      <c r="U240" t="inlineStr">
        <is>
          <t>西和賀町は人口密度7人/km²と過疎的水準で、民間賃貸の新規需要は薄い。実需に裏付けられた格安戸建ての指値取得のみが現実的。 借家の空室率は約0%と需給は比較的引き締まっている。</t>
        </is>
      </c>
      <c r="V240" t="inlineStr">
        <is>
          <t>西和賀町（岩手県）：三陸沿岸は津波浸水想定区域が広く海抜と避難経路が重要。北上川水系の洪水、内陸の豪雪・土砂災害に留意。</t>
        </is>
      </c>
    </row>
    <row r="241">
      <c r="A241" t="inlineStr">
        <is>
          <t>岩手県</t>
        </is>
      </c>
      <c r="B241" t="inlineStr">
        <is>
          <t>金ケ崎町</t>
        </is>
      </c>
      <c r="C241" t="n">
        <v>5820</v>
      </c>
      <c r="D241" t="n">
        <v>14904</v>
      </c>
      <c r="E241" s="6" t="n">
        <v>84.2</v>
      </c>
      <c r="F241" s="7" t="n">
        <v>18.4</v>
      </c>
      <c r="G241" t="n">
        <v>15535</v>
      </c>
      <c r="H241" t="n">
        <v>14904</v>
      </c>
      <c r="I241" t="n">
        <v>14282</v>
      </c>
      <c r="J241" t="n">
        <v>12286</v>
      </c>
      <c r="K241" s="27">
        <f>(H241/D241-1)</f>
        <v/>
      </c>
      <c r="L241" s="27">
        <f>(I241/D241-1)</f>
        <v/>
      </c>
      <c r="M241" s="27">
        <f>(J241/D241-1)</f>
        <v/>
      </c>
      <c r="N241" t="n">
        <v>55.6</v>
      </c>
      <c r="O241" s="28">
        <f>(N241+F241)/2</f>
        <v/>
      </c>
      <c r="P241">
        <f>IF(O241="計算不能","計算不能",IF(O241&gt;=80,5,IF(O241&gt;=60,4,IF(O241&gt;=40,3,IF(O241&gt;=28,2,1)))))</f>
        <v/>
      </c>
      <c r="Q241" t="n">
        <v>1568</v>
      </c>
      <c r="R241" t="n">
        <v>50</v>
      </c>
      <c r="S241" s="27">
        <f>R241/Q241</f>
        <v/>
      </c>
      <c r="T241" t="inlineStr">
        <is>
          <t>金ケ崎町は2045年までに人口が約17.6%減と明確な減少トレンド。高齢化の進行と世帯数の縮小により、中長期では賃貸需要の構造的縮小に警戒が必要。</t>
        </is>
      </c>
      <c r="U241" t="inlineStr">
        <is>
          <t>金ケ崎町は人口密度84人/km²と過疎的水準で、民間賃貸の新規需要は薄い。実需に裏付けられた格安戸建ての指値取得のみが現実的。 借家の空室率は約3%と需給は比較的引き締まっている。</t>
        </is>
      </c>
      <c r="V241" t="inlineStr">
        <is>
          <t>金ケ崎町（岩手県）：三陸沿岸は津波浸水想定区域が広く海抜と避難経路が重要。北上川水系の洪水、内陸の豪雪・土砂災害に留意。</t>
        </is>
      </c>
    </row>
    <row r="242">
      <c r="A242" t="inlineStr">
        <is>
          <t>岩手県</t>
        </is>
      </c>
      <c r="B242" t="inlineStr">
        <is>
          <t>平泉町</t>
        </is>
      </c>
      <c r="C242" t="n">
        <v>2607</v>
      </c>
      <c r="D242" t="n">
        <v>6617</v>
      </c>
      <c r="E242" s="6" t="n">
        <v>101.4</v>
      </c>
      <c r="F242" s="7" t="n">
        <v>20.1</v>
      </c>
      <c r="G242" t="n">
        <v>7252</v>
      </c>
      <c r="H242" t="n">
        <v>6617</v>
      </c>
      <c r="I242" t="n">
        <v>5997</v>
      </c>
      <c r="J242" t="n">
        <v>4310</v>
      </c>
      <c r="K242" s="27">
        <f>(H242/D242-1)</f>
        <v/>
      </c>
      <c r="L242" s="27">
        <f>(I242/D242-1)</f>
        <v/>
      </c>
      <c r="M242" s="27">
        <f>(J242/D242-1)</f>
        <v/>
      </c>
      <c r="N242" t="n">
        <v>40.3</v>
      </c>
      <c r="O242" s="28">
        <f>(N242+F242)/2</f>
        <v/>
      </c>
      <c r="P242">
        <f>IF(O242="計算不能","計算不能",IF(O242&gt;=80,5,IF(O242&gt;=60,4,IF(O242&gt;=40,3,IF(O242&gt;=28,2,1)))))</f>
        <v/>
      </c>
      <c r="Q242" t="n">
        <v>702</v>
      </c>
      <c r="R242" t="n">
        <v>0</v>
      </c>
      <c r="S242" s="27">
        <f>R242/Q242</f>
        <v/>
      </c>
      <c r="T242" t="inlineStr">
        <is>
          <t>平泉町は2045年までに人口が約34.9%減と急激な過疎・超高齢化が進行。若年労働世代の流出と自然減が重なり、賃貸事業としての持続性は極めて限定的。</t>
        </is>
      </c>
      <c r="U242" t="inlineStr">
        <is>
          <t>平泉町は人口密度101人/km²と過疎的水準で、民間賃貸の新規需要は薄い。実需に裏付けられた格安戸建ての指値取得のみが現実的。 借家の空室率は約0%と需給は比較的引き締まっている。</t>
        </is>
      </c>
      <c r="V242" t="inlineStr">
        <is>
          <t>平泉町（岩手県）：三陸沿岸は津波浸水想定区域が広く海抜と避難経路が重要。北上川水系の洪水、内陸の豪雪・土砂災害に留意。</t>
        </is>
      </c>
    </row>
    <row r="243">
      <c r="A243" t="inlineStr">
        <is>
          <t>岩手県</t>
        </is>
      </c>
      <c r="B243" t="inlineStr">
        <is>
          <t>住田町</t>
        </is>
      </c>
      <c r="C243" t="n">
        <v>2067</v>
      </c>
      <c r="D243" t="n">
        <v>4495</v>
      </c>
      <c r="E243" s="6" t="n">
        <v>13</v>
      </c>
      <c r="F243" s="7" t="n">
        <v>11.3</v>
      </c>
      <c r="G243" t="n">
        <v>5045</v>
      </c>
      <c r="H243" t="n">
        <v>4495</v>
      </c>
      <c r="I243" t="n">
        <v>4007</v>
      </c>
      <c r="J243" t="n">
        <v>2815</v>
      </c>
      <c r="K243" s="27">
        <f>(H243/D243-1)</f>
        <v/>
      </c>
      <c r="L243" s="27">
        <f>(I243/D243-1)</f>
        <v/>
      </c>
      <c r="M243" s="27">
        <f>(J243/D243-1)</f>
        <v/>
      </c>
      <c r="N243" t="n">
        <v>37.4</v>
      </c>
      <c r="O243" s="28">
        <f>(N243+F243)/2</f>
        <v/>
      </c>
      <c r="P243">
        <f>IF(O243="計算不能","計算不能",IF(O243&gt;=80,5,IF(O243&gt;=60,4,IF(O243&gt;=40,3,IF(O243&gt;=28,2,1)))))</f>
        <v/>
      </c>
      <c r="Q243" t="n">
        <v>557</v>
      </c>
      <c r="R243" t="n">
        <v>0</v>
      </c>
      <c r="S243" s="27">
        <f>R243/Q243</f>
        <v/>
      </c>
      <c r="T243" t="inlineStr">
        <is>
          <t>住田町は2045年までに人口が約37.4%減と急激な過疎・超高齢化が進行。若年労働世代の流出と自然減が重なり、賃貸事業としての持続性は極めて限定的。</t>
        </is>
      </c>
      <c r="U243" t="inlineStr">
        <is>
          <t>住田町は人口密度13人/km²と過疎的水準で、民間賃貸の新規需要は薄い。実需に裏付けられた格安戸建ての指値取得のみが現実的。 借家の空室率は約0%と需給は比較的引き締まっている。</t>
        </is>
      </c>
      <c r="V243" t="inlineStr">
        <is>
          <t>住田町（岩手県）：三陸沿岸は津波浸水想定区域が広く海抜と避難経路が重要。北上川水系の洪水、内陸の豪雪・土砂災害に留意。</t>
        </is>
      </c>
    </row>
    <row r="244">
      <c r="A244" t="inlineStr">
        <is>
          <t>岩手県</t>
        </is>
      </c>
      <c r="B244" t="inlineStr">
        <is>
          <t>大槌町</t>
        </is>
      </c>
      <c r="C244" t="n">
        <v>5232</v>
      </c>
      <c r="D244" t="n">
        <v>9937</v>
      </c>
      <c r="E244" s="6" t="n">
        <v>49.2</v>
      </c>
      <c r="F244" s="7" t="n">
        <v>14.9</v>
      </c>
      <c r="G244" t="n">
        <v>11004</v>
      </c>
      <c r="H244" t="n">
        <v>9937</v>
      </c>
      <c r="I244" t="n">
        <v>8922</v>
      </c>
      <c r="J244" t="n">
        <v>6179</v>
      </c>
      <c r="K244" s="27">
        <f>(H244/D244-1)</f>
        <v/>
      </c>
      <c r="L244" s="27">
        <f>(I244/D244-1)</f>
        <v/>
      </c>
      <c r="M244" s="27">
        <f>(J244/D244-1)</f>
        <v/>
      </c>
      <c r="N244" t="n">
        <v>38.5</v>
      </c>
      <c r="O244" s="28">
        <f>(N244+F244)/2</f>
        <v/>
      </c>
      <c r="P244">
        <f>IF(O244="計算不能","計算不能",IF(O244&gt;=80,5,IF(O244&gt;=60,4,IF(O244&gt;=40,3,IF(O244&gt;=28,2,1)))))</f>
        <v/>
      </c>
      <c r="Q244" t="n">
        <v>1410</v>
      </c>
      <c r="R244" t="n">
        <v>0</v>
      </c>
      <c r="S244" s="27">
        <f>R244/Q244</f>
        <v/>
      </c>
      <c r="T244" t="inlineStr">
        <is>
          <t>大槌町は2045年までに人口が約37.8%減と急激な過疎・超高齢化が進行。若年労働世代の流出と自然減が重なり、賃貸事業としての持続性は極めて限定的。</t>
        </is>
      </c>
      <c r="U244" t="inlineStr">
        <is>
          <t>大槌町は人口密度49人/km²と過疎的水準で、民間賃貸の新規需要は薄い。実需に裏付けられた格安戸建ての指値取得のみが現実的。 借家の空室率は約0%と需給は比較的引き締まっている。</t>
        </is>
      </c>
      <c r="V244" t="inlineStr">
        <is>
          <t>大槌町（岩手県）：三陸沿岸は津波浸水想定区域が広く海抜と避難経路が重要。北上川水系の洪水、内陸の豪雪・土砂災害に留意。</t>
        </is>
      </c>
    </row>
    <row r="245">
      <c r="A245" t="inlineStr">
        <is>
          <t>岩手県</t>
        </is>
      </c>
      <c r="B245" t="inlineStr">
        <is>
          <t>山田町</t>
        </is>
      </c>
      <c r="C245" t="n">
        <v>6408</v>
      </c>
      <c r="D245" t="n">
        <v>12884</v>
      </c>
      <c r="E245" s="6" t="n">
        <v>48.3</v>
      </c>
      <c r="F245" s="7" t="n">
        <v>14.8</v>
      </c>
      <c r="G245" t="n">
        <v>14320</v>
      </c>
      <c r="H245" t="n">
        <v>12884</v>
      </c>
      <c r="I245" t="n">
        <v>11505</v>
      </c>
      <c r="J245" t="n">
        <v>7745</v>
      </c>
      <c r="K245" s="27">
        <f>(H245/D245-1)</f>
        <v/>
      </c>
      <c r="L245" s="27">
        <f>(I245/D245-1)</f>
        <v/>
      </c>
      <c r="M245" s="27">
        <f>(J245/D245-1)</f>
        <v/>
      </c>
      <c r="N245" t="n">
        <v>37.6</v>
      </c>
      <c r="O245" s="28">
        <f>(N245+F245)/2</f>
        <v/>
      </c>
      <c r="P245">
        <f>IF(O245="計算不能","計算不能",IF(O245&gt;=80,5,IF(O245&gt;=60,4,IF(O245&gt;=40,3,IF(O245&gt;=28,2,1)))))</f>
        <v/>
      </c>
      <c r="Q245" t="n">
        <v>1727</v>
      </c>
      <c r="R245" t="n">
        <v>0</v>
      </c>
      <c r="S245" s="27">
        <f>R245/Q245</f>
        <v/>
      </c>
      <c r="T245" t="inlineStr">
        <is>
          <t>山田町は2045年までに人口が約39.9%減と急激な過疎・超高齢化が進行。若年労働世代の流出と自然減が重なり、賃貸事業としての持続性は極めて限定的。</t>
        </is>
      </c>
      <c r="U245" t="inlineStr">
        <is>
          <t>山田町は人口密度48人/km²と過疎的水準で、民間賃貸の新規需要は薄い。実需に裏付けられた格安戸建ての指値取得のみが現実的。 借家の空室率は約0%と需給は比較的引き締まっている。</t>
        </is>
      </c>
      <c r="V245" t="inlineStr">
        <is>
          <t>山田町（岩手県）：三陸沿岸は津波浸水想定区域が広く海抜と避難経路が重要。北上川水系の洪水、内陸の豪雪・土砂災害に留意。</t>
        </is>
      </c>
    </row>
    <row r="246">
      <c r="A246" t="inlineStr">
        <is>
          <t>岩手県</t>
        </is>
      </c>
      <c r="B246" t="inlineStr">
        <is>
          <t>岩泉町</t>
        </is>
      </c>
      <c r="C246" t="n">
        <v>4055</v>
      </c>
      <c r="D246" t="n">
        <v>7774</v>
      </c>
      <c r="E246" s="6" t="n">
        <v>7.5</v>
      </c>
      <c r="F246" s="7" t="n">
        <v>10.8</v>
      </c>
      <c r="G246" t="n">
        <v>8726</v>
      </c>
      <c r="H246" t="n">
        <v>7774</v>
      </c>
      <c r="I246" t="n">
        <v>6930</v>
      </c>
      <c r="J246" t="n">
        <v>4728</v>
      </c>
      <c r="K246" s="27">
        <f>(H246/D246-1)</f>
        <v/>
      </c>
      <c r="L246" s="27">
        <f>(I246/D246-1)</f>
        <v/>
      </c>
      <c r="M246" s="27">
        <f>(J246/D246-1)</f>
        <v/>
      </c>
      <c r="N246" t="n">
        <v>37</v>
      </c>
      <c r="O246" s="28">
        <f>(N246+F246)/2</f>
        <v/>
      </c>
      <c r="P246">
        <f>IF(O246="計算不能","計算不能",IF(O246&gt;=80,5,IF(O246&gt;=60,4,IF(O246&gt;=40,3,IF(O246&gt;=28,2,1)))))</f>
        <v/>
      </c>
      <c r="Q246" t="n">
        <v>1093</v>
      </c>
      <c r="R246" t="n">
        <v>0</v>
      </c>
      <c r="S246" s="27">
        <f>R246/Q246</f>
        <v/>
      </c>
      <c r="T246" t="inlineStr">
        <is>
          <t>岩泉町は2045年までに人口が約39.2%減と急激な過疎・超高齢化が進行。若年労働世代の流出と自然減が重なり、賃貸事業としての持続性は極めて限定的。</t>
        </is>
      </c>
      <c r="U246" t="inlineStr">
        <is>
          <t>岩泉町は人口密度8人/km²と過疎的水準で、民間賃貸の新規需要は薄い。実需に裏付けられた格安戸建ての指値取得のみが現実的。 借家の空室率は約0%と需給は比較的引き締まっている。</t>
        </is>
      </c>
      <c r="V246" t="inlineStr">
        <is>
          <t>岩泉町（岩手県）：三陸沿岸は津波浸水想定区域が広く海抜と避難経路が重要。北上川水系の洪水、内陸の豪雪・土砂災害に留意。</t>
        </is>
      </c>
    </row>
    <row r="247">
      <c r="A247" t="inlineStr">
        <is>
          <t>岩手県</t>
        </is>
      </c>
      <c r="B247" t="inlineStr">
        <is>
          <t>田野畑村</t>
        </is>
      </c>
      <c r="C247" t="n">
        <v>1334</v>
      </c>
      <c r="D247" t="n">
        <v>2736</v>
      </c>
      <c r="E247" s="6" t="n">
        <v>17.2</v>
      </c>
      <c r="F247" s="7" t="n">
        <v>11.7</v>
      </c>
      <c r="G247" t="n">
        <v>3059</v>
      </c>
      <c r="H247" t="n">
        <v>2736</v>
      </c>
      <c r="I247" t="n">
        <v>2428</v>
      </c>
      <c r="J247" t="n">
        <v>1632</v>
      </c>
      <c r="K247" s="27">
        <f>(H247/D247-1)</f>
        <v/>
      </c>
      <c r="L247" s="27">
        <f>(I247/D247-1)</f>
        <v/>
      </c>
      <c r="M247" s="27">
        <f>(J247/D247-1)</f>
        <v/>
      </c>
      <c r="N247" t="n">
        <v>36.9</v>
      </c>
      <c r="O247" s="28">
        <f>(N247+F247)/2</f>
        <v/>
      </c>
      <c r="P247">
        <f>IF(O247="計算不能","計算不能",IF(O247&gt;=80,5,IF(O247&gt;=60,4,IF(O247&gt;=40,3,IF(O247&gt;=28,2,1)))))</f>
        <v/>
      </c>
      <c r="Q247" t="n">
        <v>359</v>
      </c>
      <c r="R247" t="n">
        <v>0</v>
      </c>
      <c r="S247" s="27">
        <f>R247/Q247</f>
        <v/>
      </c>
      <c r="T247" t="inlineStr">
        <is>
          <t>田野畑村は2045年までに人口が約40.4%減と急激な過疎・超高齢化が進行。若年労働世代の流出と自然減が重なり、賃貸事業としての持続性は極めて限定的。</t>
        </is>
      </c>
      <c r="U247" t="inlineStr">
        <is>
          <t>田野畑村は人口密度17人/km²と過疎的水準で、民間賃貸の新規需要は薄い。実需に裏付けられた格安戸建ての指値取得のみが現実的。 借家の空室率は約0%と需給は比較的引き締まっている。</t>
        </is>
      </c>
      <c r="V247" t="inlineStr">
        <is>
          <t>田野畑村（岩手県）：三陸沿岸は津波浸水想定区域が広く海抜と避難経路が重要。北上川水系の洪水、内陸の豪雪・土砂災害に留意。</t>
        </is>
      </c>
    </row>
    <row r="248">
      <c r="A248" t="inlineStr">
        <is>
          <t>岩手県</t>
        </is>
      </c>
      <c r="B248" t="inlineStr">
        <is>
          <t>普代村</t>
        </is>
      </c>
      <c r="C248" t="n">
        <v>1062</v>
      </c>
      <c r="D248" t="n">
        <v>2210</v>
      </c>
      <c r="E248" s="6" t="n">
        <v>30.6</v>
      </c>
      <c r="F248" s="7" t="n">
        <v>13.1</v>
      </c>
      <c r="G248" t="n">
        <v>2487</v>
      </c>
      <c r="H248" t="n">
        <v>2210</v>
      </c>
      <c r="I248" t="n">
        <v>1947</v>
      </c>
      <c r="J248" t="n">
        <v>1261</v>
      </c>
      <c r="K248" s="27">
        <f>(H248/D248-1)</f>
        <v/>
      </c>
      <c r="L248" s="27">
        <f>(I248/D248-1)</f>
        <v/>
      </c>
      <c r="M248" s="27">
        <f>(J248/D248-1)</f>
        <v/>
      </c>
      <c r="N248" t="n">
        <v>35.6</v>
      </c>
      <c r="O248" s="28">
        <f>(N248+F248)/2</f>
        <v/>
      </c>
      <c r="P248">
        <f>IF(O248="計算不能","計算不能",IF(O248&gt;=80,5,IF(O248&gt;=60,4,IF(O248&gt;=40,3,IF(O248&gt;=28,2,1)))))</f>
        <v/>
      </c>
      <c r="Q248" t="n">
        <v>286</v>
      </c>
      <c r="R248" t="n">
        <v>0</v>
      </c>
      <c r="S248" s="27">
        <f>R248/Q248</f>
        <v/>
      </c>
      <c r="T248" t="inlineStr">
        <is>
          <t>普代村は2045年までに人口が約42.9%減と急激な過疎・超高齢化が進行。若年労働世代の流出と自然減が重なり、賃貸事業としての持続性は極めて限定的。</t>
        </is>
      </c>
      <c r="U248" t="inlineStr">
        <is>
          <t>普代村は人口密度31人/km²と過疎的水準で、民間賃貸の新規需要は薄い。実需に裏付けられた格安戸建ての指値取得のみが現実的。 借家の空室率は約0%と需給は比較的引き締まっている。</t>
        </is>
      </c>
      <c r="V248" t="inlineStr">
        <is>
          <t>普代村（岩手県）：三陸沿岸は津波浸水想定区域が広く海抜と避難経路が重要。北上川水系の洪水、内陸の豪雪・土砂災害に留意。</t>
        </is>
      </c>
    </row>
    <row r="249">
      <c r="A249" t="inlineStr">
        <is>
          <t>岩手県</t>
        </is>
      </c>
      <c r="B249" t="inlineStr">
        <is>
          <t>軽米町</t>
        </is>
      </c>
      <c r="C249" t="n">
        <v>3651</v>
      </c>
      <c r="D249" t="n">
        <v>7582</v>
      </c>
      <c r="E249" s="6" t="n">
        <v>30.2</v>
      </c>
      <c r="F249" s="7" t="n">
        <v>13</v>
      </c>
      <c r="G249" t="n">
        <v>8421</v>
      </c>
      <c r="H249" t="n">
        <v>7582</v>
      </c>
      <c r="I249" t="n">
        <v>6782</v>
      </c>
      <c r="J249" t="n">
        <v>4654</v>
      </c>
      <c r="K249" s="27">
        <f>(H249/D249-1)</f>
        <v/>
      </c>
      <c r="L249" s="27">
        <f>(I249/D249-1)</f>
        <v/>
      </c>
      <c r="M249" s="27">
        <f>(J249/D249-1)</f>
        <v/>
      </c>
      <c r="N249" t="n">
        <v>38</v>
      </c>
      <c r="O249" s="28">
        <f>(N249+F249)/2</f>
        <v/>
      </c>
      <c r="P249">
        <f>IF(O249="計算不能","計算不能",IF(O249&gt;=80,5,IF(O249&gt;=60,4,IF(O249&gt;=40,3,IF(O249&gt;=28,2,1)))))</f>
        <v/>
      </c>
      <c r="Q249" t="n">
        <v>984</v>
      </c>
      <c r="R249" t="n">
        <v>0</v>
      </c>
      <c r="S249" s="27">
        <f>R249/Q249</f>
        <v/>
      </c>
      <c r="T249" t="inlineStr">
        <is>
          <t>軽米町は2045年までに人口が約38.6%減と急激な過疎・超高齢化が進行。若年労働世代の流出と自然減が重なり、賃貸事業としての持続性は極めて限定的。</t>
        </is>
      </c>
      <c r="U249" t="inlineStr">
        <is>
          <t>軽米町は人口密度30人/km²と過疎的水準で、民間賃貸の新規需要は薄い。実需に裏付けられた格安戸建ての指値取得のみが現実的。 借家の空室率は約0%と需給は比較的引き締まっている。</t>
        </is>
      </c>
      <c r="V249" t="inlineStr">
        <is>
          <t>軽米町（岩手県）：三陸沿岸は津波浸水想定区域が広く海抜と避難経路が重要。北上川水系の洪水、内陸の豪雪・土砂災害に留意。</t>
        </is>
      </c>
    </row>
    <row r="250">
      <c r="A250" t="inlineStr">
        <is>
          <t>岩手県</t>
        </is>
      </c>
      <c r="B250" t="inlineStr">
        <is>
          <t>野田村</t>
        </is>
      </c>
      <c r="C250" t="n">
        <v>1678</v>
      </c>
      <c r="D250" t="n">
        <v>3615</v>
      </c>
      <c r="E250" s="6" t="n">
        <v>44.7</v>
      </c>
      <c r="F250" s="7" t="n">
        <v>14.5</v>
      </c>
      <c r="G250" t="n">
        <v>3936</v>
      </c>
      <c r="H250" t="n">
        <v>3615</v>
      </c>
      <c r="I250" t="n">
        <v>3293</v>
      </c>
      <c r="J250" t="n">
        <v>2372</v>
      </c>
      <c r="K250" s="27">
        <f>(H250/D250-1)</f>
        <v/>
      </c>
      <c r="L250" s="27">
        <f>(I250/D250-1)</f>
        <v/>
      </c>
      <c r="M250" s="27">
        <f>(J250/D250-1)</f>
        <v/>
      </c>
      <c r="N250" t="n">
        <v>41.1</v>
      </c>
      <c r="O250" s="28">
        <f>(N250+F250)/2</f>
        <v/>
      </c>
      <c r="P250">
        <f>IF(O250="計算不能","計算不能",IF(O250&gt;=80,5,IF(O250&gt;=60,4,IF(O250&gt;=40,3,IF(O250&gt;=28,2,1)))))</f>
        <v/>
      </c>
      <c r="Q250" t="n">
        <v>452</v>
      </c>
      <c r="R250" t="n">
        <v>0</v>
      </c>
      <c r="S250" s="27">
        <f>R250/Q250</f>
        <v/>
      </c>
      <c r="T250" t="inlineStr">
        <is>
          <t>野田村は2045年までに人口が約34.4%減と急激な過疎・超高齢化が進行。若年労働世代の流出と自然減が重なり、賃貸事業としての持続性は極めて限定的。</t>
        </is>
      </c>
      <c r="U250" t="inlineStr">
        <is>
          <t>野田村は人口密度45人/km²と過疎的水準で、民間賃貸の新規需要は薄い。実需に裏付けられた格安戸建ての指値取得のみが現実的。 借家の空室率は約0%と需給は比較的引き締まっている。</t>
        </is>
      </c>
      <c r="V250" t="inlineStr">
        <is>
          <t>野田村（岩手県）：三陸沿岸は津波浸水想定区域が広く海抜と避難経路が重要。北上川水系の洪水、内陸の豪雪・土砂災害に留意。</t>
        </is>
      </c>
    </row>
    <row r="251">
      <c r="A251" t="inlineStr">
        <is>
          <t>岩手県</t>
        </is>
      </c>
      <c r="B251" t="inlineStr">
        <is>
          <t>九戸村</t>
        </is>
      </c>
      <c r="C251" t="n">
        <v>2190</v>
      </c>
      <c r="D251" t="n">
        <v>4834</v>
      </c>
      <c r="E251" s="6" t="n">
        <v>35.2</v>
      </c>
      <c r="F251" s="7" t="n">
        <v>13.5</v>
      </c>
      <c r="G251" t="n">
        <v>5378</v>
      </c>
      <c r="H251" t="n">
        <v>4834</v>
      </c>
      <c r="I251" t="n">
        <v>4314</v>
      </c>
      <c r="J251" t="n">
        <v>2945</v>
      </c>
      <c r="K251" s="27">
        <f>(H251/D251-1)</f>
        <v/>
      </c>
      <c r="L251" s="27">
        <f>(I251/D251-1)</f>
        <v/>
      </c>
      <c r="M251" s="27">
        <f>(J251/D251-1)</f>
        <v/>
      </c>
      <c r="N251" t="n">
        <v>37.7</v>
      </c>
      <c r="O251" s="28">
        <f>(N251+F251)/2</f>
        <v/>
      </c>
      <c r="P251">
        <f>IF(O251="計算不能","計算不能",IF(O251&gt;=80,5,IF(O251&gt;=60,4,IF(O251&gt;=40,3,IF(O251&gt;=28,2,1)))))</f>
        <v/>
      </c>
      <c r="Q251" t="n">
        <v>590</v>
      </c>
      <c r="R251" t="n">
        <v>0</v>
      </c>
      <c r="S251" s="27">
        <f>R251/Q251</f>
        <v/>
      </c>
      <c r="T251" t="inlineStr">
        <is>
          <t>九戸村は2045年までに人口が約39.1%減と急激な過疎・超高齢化が進行。若年労働世代の流出と自然減が重なり、賃貸事業としての持続性は極めて限定的。</t>
        </is>
      </c>
      <c r="U251" t="inlineStr">
        <is>
          <t>九戸村は人口密度35人/km²と過疎的水準で、民間賃貸の新規需要は薄い。実需に裏付けられた格安戸建ての指値取得のみが現実的。 借家の空室率は約0%と需給は比較的引き締まっている。</t>
        </is>
      </c>
      <c r="V251" t="inlineStr">
        <is>
          <t>九戸村（岩手県）：三陸沿岸は津波浸水想定区域が広く海抜と避難経路が重要。北上川水系の洪水、内陸の豪雪・土砂災害に留意。</t>
        </is>
      </c>
    </row>
    <row r="252">
      <c r="A252" t="inlineStr">
        <is>
          <t>岩手県</t>
        </is>
      </c>
      <c r="B252" t="inlineStr">
        <is>
          <t>洋野町</t>
        </is>
      </c>
      <c r="C252" t="n">
        <v>5310</v>
      </c>
      <c r="D252" t="n">
        <v>13512</v>
      </c>
      <c r="E252" s="6" t="n">
        <v>44.3</v>
      </c>
      <c r="F252" s="7" t="n">
        <v>14.4</v>
      </c>
      <c r="G252" t="n">
        <v>15091</v>
      </c>
      <c r="H252" t="n">
        <v>13512</v>
      </c>
      <c r="I252" t="n">
        <v>11992</v>
      </c>
      <c r="J252" t="n">
        <v>8002</v>
      </c>
      <c r="K252" s="27">
        <f>(H252/D252-1)</f>
        <v/>
      </c>
      <c r="L252" s="27">
        <f>(I252/D252-1)</f>
        <v/>
      </c>
      <c r="M252" s="27">
        <f>(J252/D252-1)</f>
        <v/>
      </c>
      <c r="N252" t="n">
        <v>36.9</v>
      </c>
      <c r="O252" s="28">
        <f>(N252+F252)/2</f>
        <v/>
      </c>
      <c r="P252">
        <f>IF(O252="計算不能","計算不能",IF(O252&gt;=80,5,IF(O252&gt;=60,4,IF(O252&gt;=40,3,IF(O252&gt;=28,2,1)))))</f>
        <v/>
      </c>
      <c r="Q252" t="n">
        <v>1431</v>
      </c>
      <c r="R252" t="n">
        <v>100</v>
      </c>
      <c r="S252" s="27">
        <f>R252/Q252</f>
        <v/>
      </c>
      <c r="T252" t="inlineStr">
        <is>
          <t>洋野町は2045年までに人口が約40.8%減と急激な過疎・超高齢化が進行。若年労働世代の流出と自然減が重なり、賃貸事業としての持続性は極めて限定的。</t>
        </is>
      </c>
      <c r="U252" t="inlineStr">
        <is>
          <t>洋野町は人口密度44人/km²と過疎的水準で、民間賃貸の新規需要は薄い。実需に裏付けられた格安戸建ての指値取得のみが現実的。 借家の空室率は約7%と需給は比較的引き締まっている。</t>
        </is>
      </c>
      <c r="V252" t="inlineStr">
        <is>
          <t>洋野町（岩手県）：三陸沿岸は津波浸水想定区域が広く海抜と避難経路が重要。北上川水系の洪水、内陸の豪雪・土砂災害に留意。</t>
        </is>
      </c>
    </row>
    <row r="253">
      <c r="A253" t="inlineStr">
        <is>
          <t>岩手県</t>
        </is>
      </c>
      <c r="B253" t="inlineStr">
        <is>
          <t>一戸町</t>
        </is>
      </c>
      <c r="C253" t="n">
        <v>5415</v>
      </c>
      <c r="D253" t="n">
        <v>9938</v>
      </c>
      <c r="E253" s="6" t="n">
        <v>33.4</v>
      </c>
      <c r="F253" s="7" t="n">
        <v>13.3</v>
      </c>
      <c r="G253" t="n">
        <v>11494</v>
      </c>
      <c r="H253" t="n">
        <v>9938</v>
      </c>
      <c r="I253" t="n">
        <v>8783</v>
      </c>
      <c r="J253" t="n">
        <v>5817</v>
      </c>
      <c r="K253" s="27">
        <f>(H253/D253-1)</f>
        <v/>
      </c>
      <c r="L253" s="27">
        <f>(I253/D253-1)</f>
        <v/>
      </c>
      <c r="M253" s="27">
        <f>(J253/D253-1)</f>
        <v/>
      </c>
      <c r="N253" t="n">
        <v>34</v>
      </c>
      <c r="O253" s="28">
        <f>(N253+F253)/2</f>
        <v/>
      </c>
      <c r="P253">
        <f>IF(O253="計算不能","計算不能",IF(O253&gt;=80,5,IF(O253&gt;=60,4,IF(O253&gt;=40,3,IF(O253&gt;=28,2,1)))))</f>
        <v/>
      </c>
      <c r="Q253" t="n">
        <v>1459</v>
      </c>
      <c r="R253" t="n">
        <v>0</v>
      </c>
      <c r="S253" s="27">
        <f>R253/Q253</f>
        <v/>
      </c>
      <c r="T253" t="inlineStr">
        <is>
          <t>一戸町は2045年までに人口が約41.5%減と急激な過疎・超高齢化が進行。若年労働世代の流出と自然減が重なり、賃貸事業としての持続性は極めて限定的。</t>
        </is>
      </c>
      <c r="U253" t="inlineStr">
        <is>
          <t>一戸町は人口密度33人/km²と過疎的水準で、民間賃貸の新規需要は薄い。実需に裏付けられた格安戸建ての指値取得のみが現実的。 借家の空室率は約0%と需給は比較的引き締まっている。</t>
        </is>
      </c>
      <c r="V253" t="inlineStr">
        <is>
          <t>一戸町（岩手県）：三陸沿岸は津波浸水想定区域が広く海抜と避難経路が重要。北上川水系の洪水、内陸の豪雪・土砂災害に留意。</t>
        </is>
      </c>
    </row>
    <row r="254">
      <c r="A254" t="inlineStr">
        <is>
          <t>宮城県</t>
        </is>
      </c>
      <c r="B254" t="inlineStr">
        <is>
          <t>仙台市</t>
        </is>
      </c>
      <c r="C254" t="n">
        <v>537400</v>
      </c>
      <c r="D254" t="n">
        <v>1097004</v>
      </c>
      <c r="E254" s="6" t="n">
        <v>1394.9</v>
      </c>
      <c r="F254" s="7" t="n">
        <v>62.9</v>
      </c>
      <c r="G254" t="n">
        <v>1096704</v>
      </c>
      <c r="H254" t="n">
        <v>1097004</v>
      </c>
      <c r="I254" t="n">
        <v>1090319</v>
      </c>
      <c r="J254" t="n">
        <v>1029157</v>
      </c>
      <c r="K254" s="27">
        <f>(H254/D254-1)</f>
        <v/>
      </c>
      <c r="L254" s="27">
        <f>(I254/D254-1)</f>
        <v/>
      </c>
      <c r="M254" s="27">
        <f>(J254/D254-1)</f>
        <v/>
      </c>
      <c r="N254" t="n">
        <v>71.5</v>
      </c>
      <c r="O254" s="28">
        <f>(N254+F254)/2</f>
        <v/>
      </c>
      <c r="P254">
        <f>IF(O254="計算不能","計算不能",IF(O254&gt;=80,5,IF(O254&gt;=60,4,IF(O254&gt;=40,3,IF(O254&gt;=28,2,1)))))</f>
        <v/>
      </c>
      <c r="Q254" t="n">
        <v>248500</v>
      </c>
      <c r="R254" t="n">
        <v>47200</v>
      </c>
      <c r="S254" s="27">
        <f>R254/Q254</f>
        <v/>
      </c>
      <c r="T254" t="inlineStr">
        <is>
          <t>仙台市は2045年までに人口が約6.2%減と緩やかな減少局面。若年層の都市部流出と高齢化が進むが、当面の賃貸稼働は一定程度維持される見通し。【最新動向】東北唯一の政令市として転入超過を維持し、20〜30代の若年流入が継続。仙台駅東口（2024-28年）やあすと長町、青葉通再整備など「せんだい都心再構築」が進む。</t>
        </is>
      </c>
      <c r="U254" t="inlineStr">
        <is>
          <t>仙台市は人口密度1,395人/km²で、主要道路沿いや中心市街地に一定の賃貸需要が局在。立地選別が稼働を左右する。 借家の空室率は約19%とやや高めで、競合との差別化が必要。【最新動向】単身〜DINKS向け1LDK〜2LDKの需要が堅調で新築人気が高い。ただし再開発タワマンの竣工集中で一時的に供給超過の局面があり、空室率は約12%。築古木造は淘汰が進む。</t>
        </is>
      </c>
      <c r="V254" t="inlineStr">
        <is>
          <t>仙台市（宮城県）：仙台平野・沿岸部は津波と地盤液状化リスク。名取川・北上川の氾濫、丘陵地の宅地造成地盤に注意。</t>
        </is>
      </c>
    </row>
    <row r="255">
      <c r="A255" t="inlineStr">
        <is>
          <t>宮城県</t>
        </is>
      </c>
      <c r="B255" t="inlineStr">
        <is>
          <t>石巻市</t>
        </is>
      </c>
      <c r="C255" t="n">
        <v>55680</v>
      </c>
      <c r="D255" t="n">
        <v>131404</v>
      </c>
      <c r="E255" s="6" t="n">
        <v>232.3</v>
      </c>
      <c r="F255" s="7" t="n">
        <v>31.6</v>
      </c>
      <c r="G255" t="n">
        <v>140151</v>
      </c>
      <c r="H255" t="n">
        <v>131404</v>
      </c>
      <c r="I255" t="n">
        <v>122272</v>
      </c>
      <c r="J255" t="n">
        <v>95386</v>
      </c>
      <c r="K255" s="27">
        <f>(H255/D255-1)</f>
        <v/>
      </c>
      <c r="L255" s="27">
        <f>(I255/D255-1)</f>
        <v/>
      </c>
      <c r="M255" s="27">
        <f>(J255/D255-1)</f>
        <v/>
      </c>
      <c r="N255" t="n">
        <v>45.1</v>
      </c>
      <c r="O255" s="28">
        <f>(N255+F255)/2</f>
        <v/>
      </c>
      <c r="P255">
        <f>IF(O255="計算不能","計算不能",IF(O255&gt;=80,5,IF(O255&gt;=60,4,IF(O255&gt;=40,3,IF(O255&gt;=28,2,1)))))</f>
        <v/>
      </c>
      <c r="Q255" t="n">
        <v>19855</v>
      </c>
      <c r="R255" t="n">
        <v>6120</v>
      </c>
      <c r="S255" s="27">
        <f>R255/Q255</f>
        <v/>
      </c>
      <c r="T255" t="inlineStr">
        <is>
          <t>石巻市は2045年までに人口が約27.4%減と明確な減少トレンド。高齢化の進行と世帯数の縮小により、中長期では賃貸需要の構造的縮小に警戒が必要。</t>
        </is>
      </c>
      <c r="U255" t="inlineStr">
        <is>
          <t>石巻市は人口密度232人/km²と低密度で、賃貸需要は限定的。持ち家比率が高く、駐車場完備の戸建て賃貸が有利。 借家の空室率は約31%と供給過多気味で、空室長期化リスクに要警戒。</t>
        </is>
      </c>
      <c r="V255" t="inlineStr">
        <is>
          <t>石巻市（宮城県）：仙台平野・沿岸部は津波と地盤液状化リスク。名取川・北上川の氾濫、丘陵地の宅地造成地盤に注意。</t>
        </is>
      </c>
    </row>
    <row r="256">
      <c r="A256" t="inlineStr">
        <is>
          <t>宮城県</t>
        </is>
      </c>
      <c r="B256" t="inlineStr">
        <is>
          <t>塩竈市</t>
        </is>
      </c>
      <c r="C256" t="n">
        <v>21150</v>
      </c>
      <c r="D256" t="n">
        <v>49586</v>
      </c>
      <c r="E256" s="6" t="n">
        <v>2863.3</v>
      </c>
      <c r="F256" s="7" t="n">
        <v>78.59999999999999</v>
      </c>
      <c r="G256" t="n">
        <v>52203</v>
      </c>
      <c r="H256" t="n">
        <v>49586</v>
      </c>
      <c r="I256" t="n">
        <v>46782</v>
      </c>
      <c r="J256" t="n">
        <v>37726</v>
      </c>
      <c r="K256" s="27">
        <f>(H256/D256-1)</f>
        <v/>
      </c>
      <c r="L256" s="27">
        <f>(I256/D256-1)</f>
        <v/>
      </c>
      <c r="M256" s="27">
        <f>(J256/D256-1)</f>
        <v/>
      </c>
      <c r="N256" t="n">
        <v>49.9</v>
      </c>
      <c r="O256" s="28">
        <f>(N256+F256)/2</f>
        <v/>
      </c>
      <c r="P256">
        <f>IF(O256="計算不能","計算不能",IF(O256&gt;=80,5,IF(O256&gt;=60,4,IF(O256&gt;=40,3,IF(O256&gt;=28,2,1)))))</f>
        <v/>
      </c>
      <c r="Q256" t="n">
        <v>7541</v>
      </c>
      <c r="R256" t="n">
        <v>1220</v>
      </c>
      <c r="S256" s="27">
        <f>R256/Q256</f>
        <v/>
      </c>
      <c r="T256" t="inlineStr">
        <is>
          <t>塩竈市は2045年までに人口が約23.9%減と明確な減少トレンド。高齢化の進行と世帯数の縮小により、中長期では賃貸需要の構造的縮小に警戒が必要。</t>
        </is>
      </c>
      <c r="U256" t="inlineStr">
        <is>
          <t>塩竈市は人口密度2,863人/km²の都市部で、駅周辺や生活利便施設沿いに安定した賃貸需要がある。適切な家賃設定で高稼働を期待できる。 借家の空室率は約16%と需給は比較的引き締まっている。</t>
        </is>
      </c>
      <c r="V256" t="inlineStr">
        <is>
          <t>塩竈市（宮城県）：仙台平野・沿岸部は津波と地盤液状化リスク。名取川・北上川の氾濫、丘陵地の宅地造成地盤に注意。</t>
        </is>
      </c>
    </row>
    <row r="257">
      <c r="A257" t="inlineStr">
        <is>
          <t>宮城県</t>
        </is>
      </c>
      <c r="B257" t="inlineStr">
        <is>
          <t>気仙沼市</t>
        </is>
      </c>
      <c r="C257" t="n">
        <v>23470</v>
      </c>
      <c r="D257" t="n">
        <v>55910</v>
      </c>
      <c r="E257" s="6" t="n">
        <v>162.8</v>
      </c>
      <c r="F257" s="7" t="n">
        <v>26.3</v>
      </c>
      <c r="G257" t="n">
        <v>61147</v>
      </c>
      <c r="H257" t="n">
        <v>55910</v>
      </c>
      <c r="I257" t="n">
        <v>50682</v>
      </c>
      <c r="J257" t="n">
        <v>36182</v>
      </c>
      <c r="K257" s="27">
        <f>(H257/D257-1)</f>
        <v/>
      </c>
      <c r="L257" s="27">
        <f>(I257/D257-1)</f>
        <v/>
      </c>
      <c r="M257" s="27">
        <f>(J257/D257-1)</f>
        <v/>
      </c>
      <c r="N257" t="n">
        <v>40.4</v>
      </c>
      <c r="O257" s="28">
        <f>(N257+F257)/2</f>
        <v/>
      </c>
      <c r="P257">
        <f>IF(O257="計算不能","計算不能",IF(O257&gt;=80,5,IF(O257&gt;=60,4,IF(O257&gt;=40,3,IF(O257&gt;=28,2,1)))))</f>
        <v/>
      </c>
      <c r="Q257" t="n">
        <v>8369</v>
      </c>
      <c r="R257" t="n">
        <v>1860</v>
      </c>
      <c r="S257" s="27">
        <f>R257/Q257</f>
        <v/>
      </c>
      <c r="T257" t="inlineStr">
        <is>
          <t>気仙沼市は2045年までに人口が約35.3%減と急激な過疎・超高齢化が進行。若年労働世代の流出と自然減が重なり、賃貸事業としての持続性は極めて限定的。</t>
        </is>
      </c>
      <c r="U257" t="inlineStr">
        <is>
          <t>気仙沼市は人口密度163人/km²と過疎的水準で、民間賃貸の新規需要は薄い。実需に裏付けられた格安戸建ての指値取得のみが現実的。 借家の空室率は約22%とやや高めで、競合との差別化が必要。</t>
        </is>
      </c>
      <c r="V257" t="inlineStr">
        <is>
          <t>気仙沼市（宮城県）：仙台平野・沿岸部は津波と地盤液状化リスク。名取川・北上川の氾濫、丘陵地の宅地造成地盤に注意。</t>
        </is>
      </c>
    </row>
    <row r="258">
      <c r="A258" t="inlineStr">
        <is>
          <t>宮城県</t>
        </is>
      </c>
      <c r="B258" t="inlineStr">
        <is>
          <t>白石市</t>
        </is>
      </c>
      <c r="C258" t="n">
        <v>12250</v>
      </c>
      <c r="D258" t="n">
        <v>29815</v>
      </c>
      <c r="E258" s="6" t="n">
        <v>102.9</v>
      </c>
      <c r="F258" s="7" t="n">
        <v>20.3</v>
      </c>
      <c r="G258" t="n">
        <v>32758</v>
      </c>
      <c r="H258" t="n">
        <v>29815</v>
      </c>
      <c r="I258" t="n">
        <v>27580</v>
      </c>
      <c r="J258" t="n">
        <v>20841</v>
      </c>
      <c r="K258" s="27">
        <f>(H258/D258-1)</f>
        <v/>
      </c>
      <c r="L258" s="27">
        <f>(I258/D258-1)</f>
        <v/>
      </c>
      <c r="M258" s="27">
        <f>(J258/D258-1)</f>
        <v/>
      </c>
      <c r="N258" t="n">
        <v>41.8</v>
      </c>
      <c r="O258" s="28">
        <f>(N258+F258)/2</f>
        <v/>
      </c>
      <c r="P258">
        <f>IF(O258="計算不能","計算不能",IF(O258&gt;=80,5,IF(O258&gt;=60,4,IF(O258&gt;=40,3,IF(O258&gt;=28,2,1)))))</f>
        <v/>
      </c>
      <c r="Q258" t="n">
        <v>4368</v>
      </c>
      <c r="R258" t="n">
        <v>1060</v>
      </c>
      <c r="S258" s="27">
        <f>R258/Q258</f>
        <v/>
      </c>
      <c r="T258" t="inlineStr">
        <is>
          <t>白石市は2045年までに人口が約30.1%減と急激な過疎・超高齢化が進行。若年労働世代の流出と自然減が重なり、賃貸事業としての持続性は極めて限定的。</t>
        </is>
      </c>
      <c r="U258" t="inlineStr">
        <is>
          <t>白石市は人口密度103人/km²と過疎的水準で、民間賃貸の新規需要は薄い。実需に裏付けられた格安戸建ての指値取得のみが現実的。 借家の空室率は約24%とやや高めで、競合との差別化が必要。</t>
        </is>
      </c>
      <c r="V258" t="inlineStr">
        <is>
          <t>白石市（宮城県）：仙台平野・沿岸部は津波と地盤液状化リスク。名取川・北上川の氾濫、丘陵地の宅地造成地盤に注意。</t>
        </is>
      </c>
    </row>
    <row r="259">
      <c r="A259" t="inlineStr">
        <is>
          <t>宮城県</t>
        </is>
      </c>
      <c r="B259" t="inlineStr">
        <is>
          <t>名取市</t>
        </is>
      </c>
      <c r="C259" t="n">
        <v>29870</v>
      </c>
      <c r="D259" t="n">
        <v>78057</v>
      </c>
      <c r="E259" s="6" t="n">
        <v>802</v>
      </c>
      <c r="F259" s="7" t="n">
        <v>51</v>
      </c>
      <c r="G259" t="n">
        <v>78718</v>
      </c>
      <c r="H259" t="n">
        <v>78057</v>
      </c>
      <c r="I259" t="n">
        <v>78883</v>
      </c>
      <c r="J259" t="n">
        <v>78322</v>
      </c>
      <c r="K259" s="27">
        <f>(H259/D259-1)</f>
        <v/>
      </c>
      <c r="L259" s="27">
        <f>(I259/D259-1)</f>
        <v/>
      </c>
      <c r="M259" s="27">
        <f>(J259/D259-1)</f>
        <v/>
      </c>
      <c r="N259" t="n">
        <v>74.2</v>
      </c>
      <c r="O259" s="28">
        <f>(N259+F259)/2</f>
        <v/>
      </c>
      <c r="P259">
        <f>IF(O259="計算不能","計算不能",IF(O259&gt;=80,5,IF(O259&gt;=60,4,IF(O259&gt;=40,3,IF(O259&gt;=28,2,1)))))</f>
        <v/>
      </c>
      <c r="Q259" t="n">
        <v>10651</v>
      </c>
      <c r="R259" t="n">
        <v>1620</v>
      </c>
      <c r="S259" s="27">
        <f>R259/Q259</f>
        <v/>
      </c>
      <c r="T259" t="inlineStr">
        <is>
          <t>名取市は2045年までの人口減少率が約0.3%と全国平均より緩やかで、概ね横ばいの安定推移。生産年齢人口の維持により、賃貸需要の急減リスクは相対的に低い。</t>
        </is>
      </c>
      <c r="U259" t="inlineStr">
        <is>
          <t>名取市は人口密度802人/km²で、主要道路沿いや中心市街地に一定の賃貸需要が局在。立地選別が稼働を左右する。 借家の空室率は約15%と需給は比較的引き締まっている。</t>
        </is>
      </c>
      <c r="V259" t="inlineStr">
        <is>
          <t>名取市（宮城県）：仙台平野・沿岸部は津波と地盤液状化リスク。名取川・北上川の氾濫、丘陵地の宅地造成地盤に注意。</t>
        </is>
      </c>
    </row>
    <row r="260">
      <c r="A260" t="inlineStr">
        <is>
          <t>宮城県</t>
        </is>
      </c>
      <c r="B260" t="inlineStr">
        <is>
          <t>角田市</t>
        </is>
      </c>
      <c r="C260" t="n">
        <v>10410</v>
      </c>
      <c r="D260" t="n">
        <v>26044</v>
      </c>
      <c r="E260" s="6" t="n">
        <v>172.5</v>
      </c>
      <c r="F260" s="7" t="n">
        <v>27.2</v>
      </c>
      <c r="G260" t="n">
        <v>27976</v>
      </c>
      <c r="H260" t="n">
        <v>26044</v>
      </c>
      <c r="I260" t="n">
        <v>24162</v>
      </c>
      <c r="J260" t="n">
        <v>18470</v>
      </c>
      <c r="K260" s="27">
        <f>(H260/D260-1)</f>
        <v/>
      </c>
      <c r="L260" s="27">
        <f>(I260/D260-1)</f>
        <v/>
      </c>
      <c r="M260" s="27">
        <f>(J260/D260-1)</f>
        <v/>
      </c>
      <c r="N260" t="n">
        <v>44</v>
      </c>
      <c r="O260" s="28">
        <f>(N260+F260)/2</f>
        <v/>
      </c>
      <c r="P260">
        <f>IF(O260="計算不能","計算不能",IF(O260&gt;=80,5,IF(O260&gt;=60,4,IF(O260&gt;=40,3,IF(O260&gt;=28,2,1)))))</f>
        <v/>
      </c>
      <c r="Q260" t="n">
        <v>3712</v>
      </c>
      <c r="R260" t="n">
        <v>1050</v>
      </c>
      <c r="S260" s="27">
        <f>R260/Q260</f>
        <v/>
      </c>
      <c r="T260" t="inlineStr">
        <is>
          <t>角田市は2045年までに人口が約29.1%減と明確な減少トレンド。高齢化の進行と世帯数の縮小により、中長期では賃貸需要の構造的縮小に警戒が必要。</t>
        </is>
      </c>
      <c r="U260" t="inlineStr">
        <is>
          <t>角田市は人口密度172人/km²と過疎的水準で、民間賃貸の新規需要は薄い。実需に裏付けられた格安戸建ての指値取得のみが現実的。 借家の空室率は約28%と供給過多気味で、空室長期化リスクに要警戒。</t>
        </is>
      </c>
      <c r="V260" t="inlineStr">
        <is>
          <t>角田市（宮城県）：仙台平野・沿岸部は津波と地盤液状化リスク。名取川・北上川の氾濫、丘陵地の宅地造成地盤に注意。</t>
        </is>
      </c>
    </row>
    <row r="261">
      <c r="A261" t="inlineStr">
        <is>
          <t>宮城県</t>
        </is>
      </c>
      <c r="B261" t="inlineStr">
        <is>
          <t>多賀城市</t>
        </is>
      </c>
      <c r="C261" t="n">
        <v>27210</v>
      </c>
      <c r="D261" t="n">
        <v>62254</v>
      </c>
      <c r="E261" s="6" t="n">
        <v>3112.2</v>
      </c>
      <c r="F261" s="7" t="n">
        <v>80</v>
      </c>
      <c r="G261" t="n">
        <v>62827</v>
      </c>
      <c r="H261" t="n">
        <v>62254</v>
      </c>
      <c r="I261" t="n">
        <v>60685</v>
      </c>
      <c r="J261" t="n">
        <v>54383</v>
      </c>
      <c r="K261" s="27">
        <f>(H261/D261-1)</f>
        <v/>
      </c>
      <c r="L261" s="27">
        <f>(I261/D261-1)</f>
        <v/>
      </c>
      <c r="M261" s="27">
        <f>(J261/D261-1)</f>
        <v/>
      </c>
      <c r="N261" t="n">
        <v>65.2</v>
      </c>
      <c r="O261" s="28">
        <f>(N261+F261)/2</f>
        <v/>
      </c>
      <c r="P261">
        <f>IF(O261="計算不能","計算不能",IF(O261&gt;=80,5,IF(O261&gt;=60,4,IF(O261&gt;=40,3,IF(O261&gt;=28,2,1)))))</f>
        <v/>
      </c>
      <c r="Q261" t="n">
        <v>9702</v>
      </c>
      <c r="R261" t="n">
        <v>2730</v>
      </c>
      <c r="S261" s="27">
        <f>R261/Q261</f>
        <v/>
      </c>
      <c r="T261" t="inlineStr">
        <is>
          <t>多賀城市は2045年までに人口が約12.6%減と緩やかな減少局面。若年層の都市部流出と高齢化が進むが、当面の賃貸稼働は一定程度維持される見通し。</t>
        </is>
      </c>
      <c r="U261" t="inlineStr">
        <is>
          <t>多賀城市は人口密度3,112人/km²の都市部で、駅周辺や生活利便施設沿いに安定した賃貸需要がある。適切な家賃設定で高稼働を期待できる。 借家の空室率は約28%と供給過多気味で、空室長期化リスクに要警戒。</t>
        </is>
      </c>
      <c r="V261" t="inlineStr">
        <is>
          <t>多賀城市（宮城県）：仙台平野・沿岸部は津波と地盤液状化リスク。名取川・北上川の氾濫、丘陵地の宅地造成地盤に注意。</t>
        </is>
      </c>
    </row>
    <row r="262">
      <c r="A262" t="inlineStr">
        <is>
          <t>宮城県</t>
        </is>
      </c>
      <c r="B262" t="inlineStr">
        <is>
          <t>岩沼市</t>
        </is>
      </c>
      <c r="C262" t="n">
        <v>17570</v>
      </c>
      <c r="D262" t="n">
        <v>43186</v>
      </c>
      <c r="E262" s="6" t="n">
        <v>699.5</v>
      </c>
      <c r="F262" s="7" t="n">
        <v>49</v>
      </c>
      <c r="G262" t="n">
        <v>44068</v>
      </c>
      <c r="H262" t="n">
        <v>43186</v>
      </c>
      <c r="I262" t="n">
        <v>41990</v>
      </c>
      <c r="J262" t="n">
        <v>37682</v>
      </c>
      <c r="K262" s="27">
        <f>(H262/D262-1)</f>
        <v/>
      </c>
      <c r="L262" s="27">
        <f>(I262/D262-1)</f>
        <v/>
      </c>
      <c r="M262" s="27">
        <f>(J262/D262-1)</f>
        <v/>
      </c>
      <c r="N262" t="n">
        <v>62.9</v>
      </c>
      <c r="O262" s="28">
        <f>(N262+F262)/2</f>
        <v/>
      </c>
      <c r="P262">
        <f>IF(O262="計算不能","計算不能",IF(O262&gt;=80,5,IF(O262&gt;=60,4,IF(O262&gt;=40,3,IF(O262&gt;=28,2,1)))))</f>
        <v/>
      </c>
      <c r="Q262" t="n">
        <v>6265</v>
      </c>
      <c r="R262" t="n">
        <v>1250</v>
      </c>
      <c r="S262" s="27">
        <f>R262/Q262</f>
        <v/>
      </c>
      <c r="T262" t="inlineStr">
        <is>
          <t>岩沼市は2045年までに人口が約12.7%減と緩やかな減少局面。若年層の都市部流出と高齢化が進むが、当面の賃貸稼働は一定程度維持される見通し。</t>
        </is>
      </c>
      <c r="U262" t="inlineStr">
        <is>
          <t>岩沼市は人口密度700人/km²で、主要道路沿いや中心市街地に一定の賃貸需要が局在。立地選別が稼働を左右する。 借家の空室率は約20%とやや高めで、競合との差別化が必要。</t>
        </is>
      </c>
      <c r="V262" t="inlineStr">
        <is>
          <t>岩沼市（宮城県）：仙台平野・沿岸部は津波と地盤液状化リスク。名取川・北上川の氾濫、丘陵地の宅地造成地盤に注意。</t>
        </is>
      </c>
    </row>
    <row r="263">
      <c r="A263" t="inlineStr">
        <is>
          <t>宮城県</t>
        </is>
      </c>
      <c r="B263" t="inlineStr">
        <is>
          <t>登米市</t>
        </is>
      </c>
      <c r="C263" t="n">
        <v>25420</v>
      </c>
      <c r="D263" t="n">
        <v>68708</v>
      </c>
      <c r="E263" s="6" t="n">
        <v>129.2</v>
      </c>
      <c r="F263" s="7" t="n">
        <v>22.9</v>
      </c>
      <c r="G263" t="n">
        <v>76037</v>
      </c>
      <c r="H263" t="n">
        <v>68708</v>
      </c>
      <c r="I263" t="n">
        <v>63390</v>
      </c>
      <c r="J263" t="n">
        <v>48629</v>
      </c>
      <c r="K263" s="27">
        <f>(H263/D263-1)</f>
        <v/>
      </c>
      <c r="L263" s="27">
        <f>(I263/D263-1)</f>
        <v/>
      </c>
      <c r="M263" s="27">
        <f>(J263/D263-1)</f>
        <v/>
      </c>
      <c r="N263" t="n">
        <v>41.3</v>
      </c>
      <c r="O263" s="28">
        <f>(N263+F263)/2</f>
        <v/>
      </c>
      <c r="P263">
        <f>IF(O263="計算不能","計算不能",IF(O263&gt;=80,5,IF(O263&gt;=60,4,IF(O263&gt;=40,3,IF(O263&gt;=28,2,1)))))</f>
        <v/>
      </c>
      <c r="Q263" t="n">
        <v>9064</v>
      </c>
      <c r="R263" t="n">
        <v>1440</v>
      </c>
      <c r="S263" s="27">
        <f>R263/Q263</f>
        <v/>
      </c>
      <c r="T263" t="inlineStr">
        <is>
          <t>登米市は2045年までに人口が約29.2%減と明確な減少トレンド。高齢化の進行と世帯数の縮小により、中長期では賃貸需要の構造的縮小に警戒が必要。</t>
        </is>
      </c>
      <c r="U263" t="inlineStr">
        <is>
          <t>登米市は人口密度129人/km²と過疎的水準で、民間賃貸の新規需要は薄い。実需に裏付けられた格安戸建ての指値取得のみが現実的。 借家の空室率は約16%と需給は比較的引き締まっている。</t>
        </is>
      </c>
      <c r="V263" t="inlineStr">
        <is>
          <t>登米市（宮城県）：仙台平野・沿岸部は津波と地盤液状化リスク。名取川・北上川の氾濫、丘陵地の宅地造成地盤に注意。</t>
        </is>
      </c>
    </row>
    <row r="264">
      <c r="A264" t="inlineStr">
        <is>
          <t>宮城県</t>
        </is>
      </c>
      <c r="B264" t="inlineStr">
        <is>
          <t>栗原市</t>
        </is>
      </c>
      <c r="C264" t="n">
        <v>22080</v>
      </c>
      <c r="D264" t="n">
        <v>58876</v>
      </c>
      <c r="E264" s="6" t="n">
        <v>72.3</v>
      </c>
      <c r="F264" s="7" t="n">
        <v>17.2</v>
      </c>
      <c r="G264" t="n">
        <v>64637</v>
      </c>
      <c r="H264" t="n">
        <v>58876</v>
      </c>
      <c r="I264" t="n">
        <v>53281</v>
      </c>
      <c r="J264" t="n">
        <v>38486</v>
      </c>
      <c r="K264" s="27">
        <f>(H264/D264-1)</f>
        <v/>
      </c>
      <c r="L264" s="27">
        <f>(I264/D264-1)</f>
        <v/>
      </c>
      <c r="M264" s="27">
        <f>(J264/D264-1)</f>
        <v/>
      </c>
      <c r="N264" t="n">
        <v>40.2</v>
      </c>
      <c r="O264" s="28">
        <f>(N264+F264)/2</f>
        <v/>
      </c>
      <c r="P264">
        <f>IF(O264="計算不能","計算不能",IF(O264&gt;=80,5,IF(O264&gt;=60,4,IF(O264&gt;=40,3,IF(O264&gt;=28,2,1)))))</f>
        <v/>
      </c>
      <c r="Q264" t="n">
        <v>7873</v>
      </c>
      <c r="R264" t="n">
        <v>1060</v>
      </c>
      <c r="S264" s="27">
        <f>R264/Q264</f>
        <v/>
      </c>
      <c r="T264" t="inlineStr">
        <is>
          <t>栗原市は2045年までに人口が約34.6%減と急激な過疎・超高齢化が進行。若年労働世代の流出と自然減が重なり、賃貸事業としての持続性は極めて限定的。</t>
        </is>
      </c>
      <c r="U264" t="inlineStr">
        <is>
          <t>栗原市は人口密度72人/km²と過疎的水準で、民間賃貸の新規需要は薄い。実需に裏付けられた格安戸建ての指値取得のみが現実的。 借家の空室率は約13%と需給は比較的引き締まっている。</t>
        </is>
      </c>
      <c r="V264" t="inlineStr">
        <is>
          <t>栗原市（宮城県）：仙台平野・沿岸部は津波と地盤液状化リスク。名取川・北上川の氾濫、丘陵地の宅地造成地盤に注意。</t>
        </is>
      </c>
    </row>
    <row r="265">
      <c r="A265" t="inlineStr">
        <is>
          <t>宮城県</t>
        </is>
      </c>
      <c r="B265" t="inlineStr">
        <is>
          <t>東松島市</t>
        </is>
      </c>
      <c r="C265" t="n">
        <v>14090</v>
      </c>
      <c r="D265" t="n">
        <v>37264</v>
      </c>
      <c r="E265" s="6" t="n">
        <v>366.7</v>
      </c>
      <c r="F265" s="7" t="n">
        <v>38.3</v>
      </c>
      <c r="G265" t="n">
        <v>39098</v>
      </c>
      <c r="H265" t="n">
        <v>37264</v>
      </c>
      <c r="I265" t="n">
        <v>35469</v>
      </c>
      <c r="J265" t="n">
        <v>29463</v>
      </c>
      <c r="K265" s="27">
        <f>(H265/D265-1)</f>
        <v/>
      </c>
      <c r="L265" s="27">
        <f>(I265/D265-1)</f>
        <v/>
      </c>
      <c r="M265" s="27">
        <f>(J265/D265-1)</f>
        <v/>
      </c>
      <c r="N265" t="n">
        <v>52.4</v>
      </c>
      <c r="O265" s="28">
        <f>(N265+F265)/2</f>
        <v/>
      </c>
      <c r="P265">
        <f>IF(O265="計算不能","計算不能",IF(O265&gt;=80,5,IF(O265&gt;=60,4,IF(O265&gt;=40,3,IF(O265&gt;=28,2,1)))))</f>
        <v/>
      </c>
      <c r="Q265" t="n">
        <v>5024</v>
      </c>
      <c r="R265" t="n">
        <v>1430</v>
      </c>
      <c r="S265" s="27">
        <f>R265/Q265</f>
        <v/>
      </c>
      <c r="T265" t="inlineStr">
        <is>
          <t>東松島市は2045年までに人口が約20.9%減と明確な減少トレンド。高齢化の進行と世帯数の縮小により、中長期では賃貸需要の構造的縮小に警戒が必要。</t>
        </is>
      </c>
      <c r="U265" t="inlineStr">
        <is>
          <t>東松島市は人口密度367人/km²と低密度で、賃貸需要は限定的。持ち家比率が高く、駐車場完備の戸建て賃貸が有利。 借家の空室率は約28%と供給過多気味で、空室長期化リスクに要警戒。</t>
        </is>
      </c>
      <c r="V265" t="inlineStr">
        <is>
          <t>東松島市（宮城県）：仙台平野・沿岸部は津波と地盤液状化リスク。名取川・北上川の氾濫、丘陵地の宅地造成地盤に注意。</t>
        </is>
      </c>
    </row>
    <row r="266">
      <c r="A266" t="inlineStr">
        <is>
          <t>宮城県</t>
        </is>
      </c>
      <c r="B266" t="inlineStr">
        <is>
          <t>大崎市</t>
        </is>
      </c>
      <c r="C266" t="n">
        <v>48500</v>
      </c>
      <c r="D266" t="n">
        <v>119096</v>
      </c>
      <c r="E266" s="6" t="n">
        <v>148.8</v>
      </c>
      <c r="F266" s="7" t="n">
        <v>24.9</v>
      </c>
      <c r="G266" t="n">
        <v>127330</v>
      </c>
      <c r="H266" t="n">
        <v>119096</v>
      </c>
      <c r="I266" t="n">
        <v>113030</v>
      </c>
      <c r="J266" t="n">
        <v>94082</v>
      </c>
      <c r="K266" s="27">
        <f>(H266/D266-1)</f>
        <v/>
      </c>
      <c r="L266" s="27">
        <f>(I266/D266-1)</f>
        <v/>
      </c>
      <c r="M266" s="27">
        <f>(J266/D266-1)</f>
        <v/>
      </c>
      <c r="N266" t="n">
        <v>48.9</v>
      </c>
      <c r="O266" s="28">
        <f>(N266+F266)/2</f>
        <v/>
      </c>
      <c r="P266">
        <f>IF(O266="計算不能","計算不能",IF(O266&gt;=80,5,IF(O266&gt;=60,4,IF(O266&gt;=40,3,IF(O266&gt;=28,2,1)))))</f>
        <v/>
      </c>
      <c r="Q266" t="n">
        <v>17294</v>
      </c>
      <c r="R266" t="n">
        <v>4680</v>
      </c>
      <c r="S266" s="27">
        <f>R266/Q266</f>
        <v/>
      </c>
      <c r="T266" t="inlineStr">
        <is>
          <t>大崎市は2045年までに人口が約21.0%減と明確な減少トレンド。高齢化の進行と世帯数の縮小により、中長期では賃貸需要の構造的縮小に警戒が必要。</t>
        </is>
      </c>
      <c r="U266" t="inlineStr">
        <is>
          <t>大崎市は人口密度149人/km²と過疎的水準で、民間賃貸の新規需要は薄い。実需に裏付けられた格安戸建ての指値取得のみが現実的。 借家の空室率は約27%と供給過多気味で、空室長期化リスクに要警戒。</t>
        </is>
      </c>
      <c r="V266" t="inlineStr">
        <is>
          <t>大崎市（宮城県）：仙台平野・沿岸部は津波と地盤液状化リスク。名取川・北上川の氾濫、丘陵地の宅地造成地盤に注意。</t>
        </is>
      </c>
    </row>
    <row r="267">
      <c r="A267" t="inlineStr">
        <is>
          <t>宮城県</t>
        </is>
      </c>
      <c r="B267" t="inlineStr">
        <is>
          <t>富谷市</t>
        </is>
      </c>
      <c r="C267" t="n">
        <v>18820</v>
      </c>
      <c r="D267" t="n">
        <v>51898</v>
      </c>
      <c r="E267" s="6" t="n">
        <v>1051.8</v>
      </c>
      <c r="F267" s="7" t="n">
        <v>56</v>
      </c>
      <c r="G267" t="n">
        <v>51651</v>
      </c>
      <c r="H267" t="n">
        <v>51898</v>
      </c>
      <c r="I267" t="n">
        <v>51287</v>
      </c>
      <c r="J267" t="n">
        <v>48297</v>
      </c>
      <c r="K267" s="27">
        <f>(H267/D267-1)</f>
        <v/>
      </c>
      <c r="L267" s="27">
        <f>(I267/D267-1)</f>
        <v/>
      </c>
      <c r="M267" s="27">
        <f>(J267/D267-1)</f>
        <v/>
      </c>
      <c r="N267" t="n">
        <v>71.59999999999999</v>
      </c>
      <c r="O267" s="28">
        <f>(N267+F267)/2</f>
        <v/>
      </c>
      <c r="P267">
        <f>IF(O267="計算不能","計算不能",IF(O267&gt;=80,5,IF(O267&gt;=60,4,IF(O267&gt;=40,3,IF(O267&gt;=28,2,1)))))</f>
        <v/>
      </c>
      <c r="Q267" t="n">
        <v>6711</v>
      </c>
      <c r="R267" t="n">
        <v>360</v>
      </c>
      <c r="S267" s="27">
        <f>R267/Q267</f>
        <v/>
      </c>
      <c r="T267" t="inlineStr">
        <is>
          <t>富谷市は2045年までに人口が約6.9%減と緩やかな減少局面。若年層の都市部流出と高齢化が進むが、当面の賃貸稼働は一定程度維持される見通し。</t>
        </is>
      </c>
      <c r="U267" t="inlineStr">
        <is>
          <t>富谷市は人口密度1,052人/km²で、主要道路沿いや中心市街地に一定の賃貸需要が局在。立地選別が稼働を左右する。 借家の空室率は約5%と需給は比較的引き締まっている。</t>
        </is>
      </c>
      <c r="V267" t="inlineStr">
        <is>
          <t>富谷市（宮城県）：仙台平野・沿岸部は津波と地盤液状化リスク。名取川・北上川の氾濫、丘陵地の宅地造成地盤に注意。</t>
        </is>
      </c>
    </row>
    <row r="268">
      <c r="A268" t="inlineStr">
        <is>
          <t>宮城県</t>
        </is>
      </c>
      <c r="B268" t="inlineStr">
        <is>
          <t>蔵王町</t>
        </is>
      </c>
      <c r="C268" t="n">
        <v>4656</v>
      </c>
      <c r="D268" t="n">
        <v>10664</v>
      </c>
      <c r="E268" s="6" t="n">
        <v>65.5</v>
      </c>
      <c r="F268" s="7" t="n">
        <v>16.6</v>
      </c>
      <c r="G268" t="n">
        <v>11418</v>
      </c>
      <c r="H268" t="n">
        <v>10664</v>
      </c>
      <c r="I268" t="n">
        <v>9932</v>
      </c>
      <c r="J268" t="n">
        <v>7681</v>
      </c>
      <c r="K268" s="27">
        <f>(H268/D268-1)</f>
        <v/>
      </c>
      <c r="L268" s="27">
        <f>(I268/D268-1)</f>
        <v/>
      </c>
      <c r="M268" s="27">
        <f>(J268/D268-1)</f>
        <v/>
      </c>
      <c r="N268" t="n">
        <v>44.6</v>
      </c>
      <c r="O268" s="28">
        <f>(N268+F268)/2</f>
        <v/>
      </c>
      <c r="P268">
        <f>IF(O268="計算不能","計算不能",IF(O268&gt;=80,5,IF(O268&gt;=60,4,IF(O268&gt;=40,3,IF(O268&gt;=28,2,1)))))</f>
        <v/>
      </c>
      <c r="Q268" t="n">
        <v>1660</v>
      </c>
      <c r="R268" t="n">
        <v>0</v>
      </c>
      <c r="S268" s="27">
        <f>R268/Q268</f>
        <v/>
      </c>
      <c r="T268" t="inlineStr">
        <is>
          <t>蔵王町は2045年までに人口が約28.0%減と明確な減少トレンド。高齢化の進行と世帯数の縮小により、中長期では賃貸需要の構造的縮小に警戒が必要。</t>
        </is>
      </c>
      <c r="U268" t="inlineStr">
        <is>
          <t>蔵王町は人口密度66人/km²と過疎的水準で、民間賃貸の新規需要は薄い。実需に裏付けられた格安戸建ての指値取得のみが現実的。 借家の空室率は約0%と需給は比較的引き締まっている。</t>
        </is>
      </c>
      <c r="V268" t="inlineStr">
        <is>
          <t>蔵王町（宮城県）：仙台平野・沿岸部は津波と地盤液状化リスク。名取川・北上川の氾濫、丘陵地の宅地造成地盤に注意。</t>
        </is>
      </c>
    </row>
    <row r="269">
      <c r="A269" t="inlineStr">
        <is>
          <t>宮城県</t>
        </is>
      </c>
      <c r="B269" t="inlineStr">
        <is>
          <t>七ヶ宿町</t>
        </is>
      </c>
      <c r="C269" t="n">
        <v>592</v>
      </c>
      <c r="D269" t="n">
        <v>1097</v>
      </c>
      <c r="E269" s="6" t="n">
        <v>4.3</v>
      </c>
      <c r="F269" s="7" t="n">
        <v>10.4</v>
      </c>
      <c r="G269" t="n">
        <v>1262</v>
      </c>
      <c r="H269" t="n">
        <v>1097</v>
      </c>
      <c r="I269" t="n">
        <v>970</v>
      </c>
      <c r="J269" t="n">
        <v>684</v>
      </c>
      <c r="K269" s="27">
        <f>(H269/D269-1)</f>
        <v/>
      </c>
      <c r="L269" s="27">
        <f>(I269/D269-1)</f>
        <v/>
      </c>
      <c r="M269" s="27">
        <f>(J269/D269-1)</f>
        <v/>
      </c>
      <c r="N269" t="n">
        <v>35.2</v>
      </c>
      <c r="O269" s="28">
        <f>(N269+F269)/2</f>
        <v/>
      </c>
      <c r="P269">
        <f>IF(O269="計算不能","計算不能",IF(O269&gt;=80,5,IF(O269&gt;=60,4,IF(O269&gt;=40,3,IF(O269&gt;=28,2,1)))))</f>
        <v/>
      </c>
      <c r="Q269" t="n">
        <v>211</v>
      </c>
      <c r="R269" t="n">
        <v>0</v>
      </c>
      <c r="S269" s="27">
        <f>R269/Q269</f>
        <v/>
      </c>
      <c r="T269" t="inlineStr">
        <is>
          <t>七ヶ宿町は2045年までに人口が約37.6%減と急激な過疎・超高齢化が進行。若年労働世代の流出と自然減が重なり、賃貸事業としての持続性は極めて限定的。</t>
        </is>
      </c>
      <c r="U269" t="inlineStr">
        <is>
          <t>七ヶ宿町は人口密度4人/km²と過疎的水準で、民間賃貸の新規需要は薄い。実需に裏付けられた格安戸建ての指値取得のみが現実的。 借家の空室率は約0%と需給は比較的引き締まっている。</t>
        </is>
      </c>
      <c r="V269" t="inlineStr">
        <is>
          <t>七ヶ宿町（宮城県）：仙台平野・沿岸部は津波と地盤液状化リスク。名取川・北上川の氾濫、丘陵地の宅地造成地盤に注意。</t>
        </is>
      </c>
    </row>
    <row r="270">
      <c r="A270" t="inlineStr">
        <is>
          <t>宮城県</t>
        </is>
      </c>
      <c r="B270" t="inlineStr">
        <is>
          <t>大河原町</t>
        </is>
      </c>
      <c r="C270" t="n">
        <v>9890</v>
      </c>
      <c r="D270" t="n">
        <v>23191</v>
      </c>
      <c r="E270" s="6" t="n">
        <v>917.4</v>
      </c>
      <c r="F270" s="7" t="n">
        <v>53.3</v>
      </c>
      <c r="G270" t="n">
        <v>23571</v>
      </c>
      <c r="H270" t="n">
        <v>23191</v>
      </c>
      <c r="I270" t="n">
        <v>22722</v>
      </c>
      <c r="J270" t="n">
        <v>20788</v>
      </c>
      <c r="K270" s="27">
        <f>(H270/D270-1)</f>
        <v/>
      </c>
      <c r="L270" s="27">
        <f>(I270/D270-1)</f>
        <v/>
      </c>
      <c r="M270" s="27">
        <f>(J270/D270-1)</f>
        <v/>
      </c>
      <c r="N270" t="n">
        <v>65.3</v>
      </c>
      <c r="O270" s="28">
        <f>(N270+F270)/2</f>
        <v/>
      </c>
      <c r="P270">
        <f>IF(O270="計算不能","計算不能",IF(O270&gt;=80,5,IF(O270&gt;=60,4,IF(O270&gt;=40,3,IF(O270&gt;=28,2,1)))))</f>
        <v/>
      </c>
      <c r="Q270" t="n">
        <v>3526</v>
      </c>
      <c r="R270" t="n">
        <v>840</v>
      </c>
      <c r="S270" s="27">
        <f>R270/Q270</f>
        <v/>
      </c>
      <c r="T270" t="inlineStr">
        <is>
          <t>大河原町は2045年までに人口が約10.4%減と緩やかな減少局面。若年層の都市部流出と高齢化が進むが、当面の賃貸稼働は一定程度維持される見通し。</t>
        </is>
      </c>
      <c r="U270" t="inlineStr">
        <is>
          <t>大河原町は人口密度917人/km²で、主要道路沿いや中心市街地に一定の賃貸需要が局在。立地選別が稼働を左右する。 借家の空室率は約24%とやや高めで、競合との差別化が必要。</t>
        </is>
      </c>
      <c r="V270" t="inlineStr">
        <is>
          <t>大河原町（宮城県）：仙台平野・沿岸部は津波と地盤液状化リスク。名取川・北上川の氾濫、丘陵地の宅地造成地盤に注意。</t>
        </is>
      </c>
    </row>
    <row r="271">
      <c r="A271" t="inlineStr">
        <is>
          <t>宮城県</t>
        </is>
      </c>
      <c r="B271" t="inlineStr">
        <is>
          <t>村田町</t>
        </is>
      </c>
      <c r="C271" t="n">
        <v>4103</v>
      </c>
      <c r="D271" t="n">
        <v>9738</v>
      </c>
      <c r="E271" s="6" t="n">
        <v>121.5</v>
      </c>
      <c r="F271" s="7" t="n">
        <v>22.1</v>
      </c>
      <c r="G271" t="n">
        <v>10666</v>
      </c>
      <c r="H271" t="n">
        <v>9738</v>
      </c>
      <c r="I271" t="n">
        <v>9053</v>
      </c>
      <c r="J271" t="n">
        <v>6911</v>
      </c>
      <c r="K271" s="27">
        <f>(H271/D271-1)</f>
        <v/>
      </c>
      <c r="L271" s="27">
        <f>(I271/D271-1)</f>
        <v/>
      </c>
      <c r="M271" s="27">
        <f>(J271/D271-1)</f>
        <v/>
      </c>
      <c r="N271" t="n">
        <v>42.4</v>
      </c>
      <c r="O271" s="28">
        <f>(N271+F271)/2</f>
        <v/>
      </c>
      <c r="P271">
        <f>IF(O271="計算不能","計算不能",IF(O271&gt;=80,5,IF(O271&gt;=60,4,IF(O271&gt;=40,3,IF(O271&gt;=28,2,1)))))</f>
        <v/>
      </c>
      <c r="Q271" t="n">
        <v>1463</v>
      </c>
      <c r="R271" t="n">
        <v>0</v>
      </c>
      <c r="S271" s="27">
        <f>R271/Q271</f>
        <v/>
      </c>
      <c r="T271" t="inlineStr">
        <is>
          <t>村田町は2045年までに人口が約29.0%減と明確な減少トレンド。高齢化の進行と世帯数の縮小により、中長期では賃貸需要の構造的縮小に警戒が必要。</t>
        </is>
      </c>
      <c r="U271" t="inlineStr">
        <is>
          <t>村田町は人口密度122人/km²と過疎的水準で、民間賃貸の新規需要は薄い。実需に裏付けられた格安戸建ての指値取得のみが現実的。 借家の空室率は約0%と需給は比較的引き締まっている。</t>
        </is>
      </c>
      <c r="V271" t="inlineStr">
        <is>
          <t>村田町（宮城県）：仙台平野・沿岸部は津波と地盤液状化リスク。名取川・北上川の氾濫、丘陵地の宅地造成地盤に注意。</t>
        </is>
      </c>
    </row>
    <row r="272">
      <c r="A272" t="inlineStr">
        <is>
          <t>宮城県</t>
        </is>
      </c>
      <c r="B272" t="inlineStr">
        <is>
          <t>柴田町</t>
        </is>
      </c>
      <c r="C272" t="n">
        <v>15940</v>
      </c>
      <c r="D272" t="n">
        <v>37242</v>
      </c>
      <c r="E272" s="6" t="n">
        <v>680.3</v>
      </c>
      <c r="F272" s="7" t="n">
        <v>48.6</v>
      </c>
      <c r="G272" t="n">
        <v>38271</v>
      </c>
      <c r="H272" t="n">
        <v>37242</v>
      </c>
      <c r="I272" t="n">
        <v>35795</v>
      </c>
      <c r="J272" t="n">
        <v>30383</v>
      </c>
      <c r="K272" s="27">
        <f>(H272/D272-1)</f>
        <v/>
      </c>
      <c r="L272" s="27">
        <f>(I272/D272-1)</f>
        <v/>
      </c>
      <c r="M272" s="27">
        <f>(J272/D272-1)</f>
        <v/>
      </c>
      <c r="N272" t="n">
        <v>58</v>
      </c>
      <c r="O272" s="28">
        <f>(N272+F272)/2</f>
        <v/>
      </c>
      <c r="P272">
        <f>IF(O272="計算不能","計算不能",IF(O272&gt;=80,5,IF(O272&gt;=60,4,IF(O272&gt;=40,3,IF(O272&gt;=28,2,1)))))</f>
        <v/>
      </c>
      <c r="Q272" t="n">
        <v>5684</v>
      </c>
      <c r="R272" t="n">
        <v>1490</v>
      </c>
      <c r="S272" s="27">
        <f>R272/Q272</f>
        <v/>
      </c>
      <c r="T272" t="inlineStr">
        <is>
          <t>柴田町は2045年までに人口が約18.4%減と明確な減少トレンド。高齢化の進行と世帯数の縮小により、中長期では賃貸需要の構造的縮小に警戒が必要。</t>
        </is>
      </c>
      <c r="U272" t="inlineStr">
        <is>
          <t>柴田町は人口密度680人/km²で、主要道路沿いや中心市街地に一定の賃貸需要が局在。立地選別が稼働を左右する。 借家の空室率は約26%と供給過多気味で、空室長期化リスクに要警戒。</t>
        </is>
      </c>
      <c r="V272" t="inlineStr">
        <is>
          <t>柴田町（宮城県）：仙台平野・沿岸部は津波と地盤液状化リスク。名取川・北上川の氾濫、丘陵地の宅地造成地盤に注意。</t>
        </is>
      </c>
    </row>
    <row r="273">
      <c r="A273" t="inlineStr">
        <is>
          <t>宮城県</t>
        </is>
      </c>
      <c r="B273" t="inlineStr">
        <is>
          <t>川崎町</t>
        </is>
      </c>
      <c r="C273" t="n">
        <v>8421</v>
      </c>
      <c r="D273" t="n">
        <v>7686</v>
      </c>
      <c r="E273" s="6" t="n">
        <v>372.7</v>
      </c>
      <c r="F273" s="7" t="n">
        <v>38.6</v>
      </c>
      <c r="G273" t="n">
        <v>8345</v>
      </c>
      <c r="H273" t="n">
        <v>7686</v>
      </c>
      <c r="I273" t="n">
        <v>7029</v>
      </c>
      <c r="J273" t="n">
        <v>5134</v>
      </c>
      <c r="K273" s="27">
        <f>(H273/D273-1)</f>
        <v/>
      </c>
      <c r="L273" s="27">
        <f>(I273/D273-1)</f>
        <v/>
      </c>
      <c r="M273" s="27">
        <f>(J273/D273-1)</f>
        <v/>
      </c>
      <c r="N273" t="n">
        <v>41.7</v>
      </c>
      <c r="O273" s="28">
        <f>(N273+F273)/2</f>
        <v/>
      </c>
      <c r="P273">
        <f>IF(O273="計算不能","計算不能",IF(O273&gt;=80,5,IF(O273&gt;=60,4,IF(O273&gt;=40,3,IF(O273&gt;=28,2,1)))))</f>
        <v/>
      </c>
      <c r="Q273" t="n">
        <v>3002</v>
      </c>
      <c r="R273" t="n">
        <v>0</v>
      </c>
      <c r="S273" s="27">
        <f>R273/Q273</f>
        <v/>
      </c>
      <c r="T273" t="inlineStr">
        <is>
          <t>川崎町は2045年までに人口が約33.2%減と急激な過疎・超高齢化が進行。若年労働世代の流出と自然減が重なり、賃貸事業としての持続性は極めて限定的。</t>
        </is>
      </c>
      <c r="U273" t="inlineStr">
        <is>
          <t>川崎町は人口密度373人/km²と低密度で、賃貸需要は限定的。持ち家比率が高く、駐車場完備の戸建て賃貸が有利。 借家の空室率は約0%と需給は比較的引き締まっている。</t>
        </is>
      </c>
      <c r="V273" t="inlineStr">
        <is>
          <t>川崎町（宮城県）：仙台平野・沿岸部は津波と地盤液状化リスク。名取川・北上川の氾濫、丘陵地の宅地造成地盤に注意。</t>
        </is>
      </c>
    </row>
    <row r="274">
      <c r="A274" t="inlineStr">
        <is>
          <t>宮城県</t>
        </is>
      </c>
      <c r="B274" t="inlineStr">
        <is>
          <t>丸森町</t>
        </is>
      </c>
      <c r="C274" t="n">
        <v>4878</v>
      </c>
      <c r="D274" t="n">
        <v>10406</v>
      </c>
      <c r="E274" s="6" t="n">
        <v>40.3</v>
      </c>
      <c r="F274" s="7" t="n">
        <v>14</v>
      </c>
      <c r="G274" t="n">
        <v>12262</v>
      </c>
      <c r="H274" t="n">
        <v>10406</v>
      </c>
      <c r="I274" t="n">
        <v>9159</v>
      </c>
      <c r="J274" t="n">
        <v>5904</v>
      </c>
      <c r="K274" s="27">
        <f>(H274/D274-1)</f>
        <v/>
      </c>
      <c r="L274" s="27">
        <f>(I274/D274-1)</f>
        <v/>
      </c>
      <c r="M274" s="27">
        <f>(J274/D274-1)</f>
        <v/>
      </c>
      <c r="N274" t="n">
        <v>32.1</v>
      </c>
      <c r="O274" s="28">
        <f>(N274+F274)/2</f>
        <v/>
      </c>
      <c r="P274">
        <f>IF(O274="計算不能","計算不能",IF(O274&gt;=80,5,IF(O274&gt;=60,4,IF(O274&gt;=40,3,IF(O274&gt;=28,2,1)))))</f>
        <v/>
      </c>
      <c r="Q274" t="n">
        <v>1739</v>
      </c>
      <c r="R274" t="n">
        <v>0</v>
      </c>
      <c r="S274" s="27">
        <f>R274/Q274</f>
        <v/>
      </c>
      <c r="T274" t="inlineStr">
        <is>
          <t>丸森町は2045年までに人口が約43.3%減と急激な過疎・超高齢化が進行。若年労働世代の流出と自然減が重なり、賃貸事業としての持続性は極めて限定的。</t>
        </is>
      </c>
      <c r="U274" t="inlineStr">
        <is>
          <t>丸森町は人口密度40人/km²と過疎的水準で、民間賃貸の新規需要は薄い。実需に裏付けられた格安戸建ての指値取得のみが現実的。 借家の空室率は約0%と需給は比較的引き締まっている。</t>
        </is>
      </c>
      <c r="V274" t="inlineStr">
        <is>
          <t>丸森町（宮城県）：仙台平野・沿岸部は津波と地盤液状化リスク。名取川・北上川の氾濫、丘陵地の宅地造成地盤に注意。</t>
        </is>
      </c>
    </row>
    <row r="275">
      <c r="A275" t="inlineStr">
        <is>
          <t>宮城県</t>
        </is>
      </c>
      <c r="B275" t="inlineStr">
        <is>
          <t>亘理町</t>
        </is>
      </c>
      <c r="C275" t="n">
        <v>12430</v>
      </c>
      <c r="D275" t="n">
        <v>32235</v>
      </c>
      <c r="E275" s="6" t="n">
        <v>434.4</v>
      </c>
      <c r="F275" s="7" t="n">
        <v>41.7</v>
      </c>
      <c r="G275" t="n">
        <v>33087</v>
      </c>
      <c r="H275" t="n">
        <v>32235</v>
      </c>
      <c r="I275" t="n">
        <v>30840</v>
      </c>
      <c r="J275" t="n">
        <v>25866</v>
      </c>
      <c r="K275" s="27">
        <f>(H275/D275-1)</f>
        <v/>
      </c>
      <c r="L275" s="27">
        <f>(I275/D275-1)</f>
        <v/>
      </c>
      <c r="M275" s="27">
        <f>(J275/D275-1)</f>
        <v/>
      </c>
      <c r="N275" t="n">
        <v>57.3</v>
      </c>
      <c r="O275" s="28">
        <f>(N275+F275)/2</f>
        <v/>
      </c>
      <c r="P275">
        <f>IF(O275="計算不能","計算不能",IF(O275&gt;=80,5,IF(O275&gt;=60,4,IF(O275&gt;=40,3,IF(O275&gt;=28,2,1)))))</f>
        <v/>
      </c>
      <c r="Q275" t="n">
        <v>4432</v>
      </c>
      <c r="R275" t="n">
        <v>550</v>
      </c>
      <c r="S275" s="27">
        <f>R275/Q275</f>
        <v/>
      </c>
      <c r="T275" t="inlineStr">
        <is>
          <t>亘理町は2045年までに人口が約19.8%減と明確な減少トレンド。高齢化の進行と世帯数の縮小により、中長期では賃貸需要の構造的縮小に警戒が必要。</t>
        </is>
      </c>
      <c r="U275" t="inlineStr">
        <is>
          <t>亘理町は人口密度434人/km²と低密度で、賃貸需要は限定的。持ち家比率が高く、駐車場完備の戸建て賃貸が有利。 借家の空室率は約12%と需給は比較的引き締まっている。</t>
        </is>
      </c>
      <c r="V275" t="inlineStr">
        <is>
          <t>亘理町（宮城県）：仙台平野・沿岸部は津波と地盤液状化リスク。名取川・北上川の氾濫、丘陵地の宅地造成地盤に注意。</t>
        </is>
      </c>
    </row>
    <row r="276">
      <c r="A276" t="inlineStr">
        <is>
          <t>宮城県</t>
        </is>
      </c>
      <c r="B276" t="inlineStr">
        <is>
          <t>山元町</t>
        </is>
      </c>
      <c r="C276" t="n">
        <v>4878</v>
      </c>
      <c r="D276" t="n">
        <v>11563</v>
      </c>
      <c r="E276" s="6" t="n">
        <v>173.5</v>
      </c>
      <c r="F276" s="7" t="n">
        <v>27.4</v>
      </c>
      <c r="G276" t="n">
        <v>12046</v>
      </c>
      <c r="H276" t="n">
        <v>11563</v>
      </c>
      <c r="I276" t="n">
        <v>10887</v>
      </c>
      <c r="J276" t="n">
        <v>8624</v>
      </c>
      <c r="K276" s="27">
        <f>(H276/D276-1)</f>
        <v/>
      </c>
      <c r="L276" s="27">
        <f>(I276/D276-1)</f>
        <v/>
      </c>
      <c r="M276" s="27">
        <f>(J276/D276-1)</f>
        <v/>
      </c>
      <c r="N276" t="n">
        <v>50.9</v>
      </c>
      <c r="O276" s="28">
        <f>(N276+F276)/2</f>
        <v/>
      </c>
      <c r="P276">
        <f>IF(O276="計算不能","計算不能",IF(O276&gt;=80,5,IF(O276&gt;=60,4,IF(O276&gt;=40,3,IF(O276&gt;=28,2,1)))))</f>
        <v/>
      </c>
      <c r="Q276" t="n">
        <v>1739</v>
      </c>
      <c r="R276" t="n">
        <v>0</v>
      </c>
      <c r="S276" s="27">
        <f>R276/Q276</f>
        <v/>
      </c>
      <c r="T276" t="inlineStr">
        <is>
          <t>山元町は2045年までに人口が約25.4%減と明確な減少トレンド。高齢化の進行と世帯数の縮小により、中長期では賃貸需要の構造的縮小に警戒が必要。</t>
        </is>
      </c>
      <c r="U276" t="inlineStr">
        <is>
          <t>山元町は人口密度174人/km²と過疎的水準で、民間賃貸の新規需要は薄い。実需に裏付けられた格安戸建ての指値取得のみが現実的。 借家の空室率は約0%と需給は比較的引き締まっている。</t>
        </is>
      </c>
      <c r="V276" t="inlineStr">
        <is>
          <t>山元町（宮城県）：仙台平野・沿岸部は津波と地盤液状化リスク。名取川・北上川の氾濫、丘陵地の宅地造成地盤に注意。</t>
        </is>
      </c>
    </row>
    <row r="277">
      <c r="A277" t="inlineStr">
        <is>
          <t>宮城県</t>
        </is>
      </c>
      <c r="B277" t="inlineStr">
        <is>
          <t>松島町</t>
        </is>
      </c>
      <c r="C277" t="n">
        <v>5723</v>
      </c>
      <c r="D277" t="n">
        <v>12354</v>
      </c>
      <c r="E277" s="6" t="n">
        <v>229.7</v>
      </c>
      <c r="F277" s="7" t="n">
        <v>31.5</v>
      </c>
      <c r="G277" t="n">
        <v>13323</v>
      </c>
      <c r="H277" t="n">
        <v>12354</v>
      </c>
      <c r="I277" t="n">
        <v>11398</v>
      </c>
      <c r="J277" t="n">
        <v>8557</v>
      </c>
      <c r="K277" s="27">
        <f>(H277/D277-1)</f>
        <v/>
      </c>
      <c r="L277" s="27">
        <f>(I277/D277-1)</f>
        <v/>
      </c>
      <c r="M277" s="27">
        <f>(J277/D277-1)</f>
        <v/>
      </c>
      <c r="N277" t="n">
        <v>43.1</v>
      </c>
      <c r="O277" s="28">
        <f>(N277+F277)/2</f>
        <v/>
      </c>
      <c r="P277">
        <f>IF(O277="計算不能","計算不能",IF(O277&gt;=80,5,IF(O277&gt;=60,4,IF(O277&gt;=40,3,IF(O277&gt;=28,2,1)))))</f>
        <v/>
      </c>
      <c r="Q277" t="n">
        <v>2040</v>
      </c>
      <c r="R277" t="n">
        <v>0</v>
      </c>
      <c r="S277" s="27">
        <f>R277/Q277</f>
        <v/>
      </c>
      <c r="T277" t="inlineStr">
        <is>
          <t>松島町は2045年までに人口が約30.7%減と急激な過疎・超高齢化が進行。若年労働世代の流出と自然減が重なり、賃貸事業としての持続性は極めて限定的。</t>
        </is>
      </c>
      <c r="U277" t="inlineStr">
        <is>
          <t>松島町は人口密度230人/km²と低密度で、賃貸需要は限定的。持ち家比率が高く、駐車場完備の戸建て賃貸が有利。 借家の空室率は約0%と需給は比較的引き締まっている。</t>
        </is>
      </c>
      <c r="V277" t="inlineStr">
        <is>
          <t>松島町（宮城県）：仙台平野・沿岸部は津波と地盤液状化リスク。名取川・北上川の氾濫、丘陵地の宅地造成地盤に注意。</t>
        </is>
      </c>
    </row>
    <row r="278">
      <c r="A278" t="inlineStr">
        <is>
          <t>宮城県</t>
        </is>
      </c>
      <c r="B278" t="inlineStr">
        <is>
          <t>七ヶ浜町</t>
        </is>
      </c>
      <c r="C278" t="n">
        <v>6670</v>
      </c>
      <c r="D278" t="n">
        <v>17142</v>
      </c>
      <c r="E278" s="6" t="n">
        <v>1273</v>
      </c>
      <c r="F278" s="7" t="n">
        <v>60.5</v>
      </c>
      <c r="G278" t="n">
        <v>18132</v>
      </c>
      <c r="H278" t="n">
        <v>17142</v>
      </c>
      <c r="I278" t="n">
        <v>16045</v>
      </c>
      <c r="J278" t="n">
        <v>12456</v>
      </c>
      <c r="K278" s="27">
        <f>(H278/D278-1)</f>
        <v/>
      </c>
      <c r="L278" s="27">
        <f>(I278/D278-1)</f>
        <v/>
      </c>
      <c r="M278" s="27">
        <f>(J278/D278-1)</f>
        <v/>
      </c>
      <c r="N278" t="n">
        <v>46.9</v>
      </c>
      <c r="O278" s="28">
        <f>(N278+F278)/2</f>
        <v/>
      </c>
      <c r="P278">
        <f>IF(O278="計算不能","計算不能",IF(O278&gt;=80,5,IF(O278&gt;=60,4,IF(O278&gt;=40,3,IF(O278&gt;=28,2,1)))))</f>
        <v/>
      </c>
      <c r="Q278" t="n">
        <v>2378</v>
      </c>
      <c r="R278" t="n">
        <v>140</v>
      </c>
      <c r="S278" s="27">
        <f>R278/Q278</f>
        <v/>
      </c>
      <c r="T278" t="inlineStr">
        <is>
          <t>七ヶ浜町は2045年までに人口が約27.3%減と明確な減少トレンド。高齢化の進行と世帯数の縮小により、中長期では賃貸需要の構造的縮小に警戒が必要。</t>
        </is>
      </c>
      <c r="U278" t="inlineStr">
        <is>
          <t>七ヶ浜町は人口密度1,273人/km²で、主要道路沿いや中心市街地に一定の賃貸需要が局在。立地選別が稼働を左右する。 借家の空室率は約6%と需給は比較的引き締まっている。</t>
        </is>
      </c>
      <c r="V278" t="inlineStr">
        <is>
          <t>七ヶ浜町（宮城県）：仙台平野・沿岸部は津波と地盤液状化リスク。名取川・北上川の氾濫、丘陵地の宅地造成地盤に注意。</t>
        </is>
      </c>
    </row>
    <row r="279">
      <c r="A279" t="inlineStr">
        <is>
          <t>宮城県</t>
        </is>
      </c>
      <c r="B279" t="inlineStr">
        <is>
          <t>利府町</t>
        </is>
      </c>
      <c r="C279" t="n">
        <v>12880</v>
      </c>
      <c r="D279" t="n">
        <v>35141</v>
      </c>
      <c r="E279" s="6" t="n">
        <v>775.9</v>
      </c>
      <c r="F279" s="7" t="n">
        <v>50.5</v>
      </c>
      <c r="G279" t="n">
        <v>35182</v>
      </c>
      <c r="H279" t="n">
        <v>35141</v>
      </c>
      <c r="I279" t="n">
        <v>34675</v>
      </c>
      <c r="J279" t="n">
        <v>31924</v>
      </c>
      <c r="K279" s="27">
        <f>(H279/D279-1)</f>
        <v/>
      </c>
      <c r="L279" s="27">
        <f>(I279/D279-1)</f>
        <v/>
      </c>
      <c r="M279" s="27">
        <f>(J279/D279-1)</f>
        <v/>
      </c>
      <c r="N279" t="n">
        <v>69.3</v>
      </c>
      <c r="O279" s="28">
        <f>(N279+F279)/2</f>
        <v/>
      </c>
      <c r="P279">
        <f>IF(O279="計算不能","計算不能",IF(O279&gt;=80,5,IF(O279&gt;=60,4,IF(O279&gt;=40,3,IF(O279&gt;=28,2,1)))))</f>
        <v/>
      </c>
      <c r="Q279" t="n">
        <v>4592</v>
      </c>
      <c r="R279" t="n">
        <v>480</v>
      </c>
      <c r="S279" s="27">
        <f>R279/Q279</f>
        <v/>
      </c>
      <c r="T279" t="inlineStr">
        <is>
          <t>利府町は2045年までに人口が約9.2%減と緩やかな減少局面。若年層の都市部流出と高齢化が進むが、当面の賃貸稼働は一定程度維持される見通し。</t>
        </is>
      </c>
      <c r="U279" t="inlineStr">
        <is>
          <t>利府町は人口密度776人/km²で、主要道路沿いや中心市街地に一定の賃貸需要が局在。立地選別が稼働を左右する。 借家の空室率は約10%と需給は比較的引き締まっている。</t>
        </is>
      </c>
      <c r="V279" t="inlineStr">
        <is>
          <t>利府町（宮城県）：仙台平野・沿岸部は津波と地盤液状化リスク。名取川・北上川の氾濫、丘陵地の宅地造成地盤に注意。</t>
        </is>
      </c>
    </row>
    <row r="280">
      <c r="A280" t="inlineStr">
        <is>
          <t>宮城県</t>
        </is>
      </c>
      <c r="B280" t="inlineStr">
        <is>
          <t>大和町</t>
        </is>
      </c>
      <c r="C280" t="n">
        <v>11260</v>
      </c>
      <c r="D280" t="n">
        <v>28949</v>
      </c>
      <c r="E280" s="6" t="n">
        <v>125.4</v>
      </c>
      <c r="F280" s="7" t="n">
        <v>22.5</v>
      </c>
      <c r="G280" t="n">
        <v>28786</v>
      </c>
      <c r="H280" t="n">
        <v>28949</v>
      </c>
      <c r="I280" t="n">
        <v>28856</v>
      </c>
      <c r="J280" t="n">
        <v>27731</v>
      </c>
      <c r="K280" s="27">
        <f>(H280/D280-1)</f>
        <v/>
      </c>
      <c r="L280" s="27">
        <f>(I280/D280-1)</f>
        <v/>
      </c>
      <c r="M280" s="27">
        <f>(J280/D280-1)</f>
        <v/>
      </c>
      <c r="N280" t="n">
        <v>73.8</v>
      </c>
      <c r="O280" s="28">
        <f>(N280+F280)/2</f>
        <v/>
      </c>
      <c r="P280">
        <f>IF(O280="計算不能","計算不能",IF(O280&gt;=80,5,IF(O280&gt;=60,4,IF(O280&gt;=40,3,IF(O280&gt;=28,2,1)))))</f>
        <v/>
      </c>
      <c r="Q280" t="n">
        <v>4015</v>
      </c>
      <c r="R280" t="n">
        <v>430</v>
      </c>
      <c r="S280" s="27">
        <f>R280/Q280</f>
        <v/>
      </c>
      <c r="T280" t="inlineStr">
        <is>
          <t>大和町は2045年までの人口減少率が約4.2%と全国平均より緩やかで、概ね横ばいの安定推移。生産年齢人口の維持により、賃貸需要の急減リスクは相対的に低い。</t>
        </is>
      </c>
      <c r="U280" t="inlineStr">
        <is>
          <t>大和町は人口密度125人/km²と過疎的水準で、民間賃貸の新規需要は薄い。実需に裏付けられた格安戸建ての指値取得のみが現実的。 借家の空室率は約11%と需給は比較的引き締まっている。</t>
        </is>
      </c>
      <c r="V280" t="inlineStr">
        <is>
          <t>大和町（宮城県）：仙台平野・沿岸部は津波と地盤液状化リスク。名取川・北上川の氾濫、丘陵地の宅地造成地盤に注意。</t>
        </is>
      </c>
    </row>
    <row r="281">
      <c r="A281" t="inlineStr">
        <is>
          <t>宮城県</t>
        </is>
      </c>
      <c r="B281" t="inlineStr">
        <is>
          <t>大郷町</t>
        </is>
      </c>
      <c r="C281" t="n">
        <v>2946</v>
      </c>
      <c r="D281" t="n">
        <v>7228</v>
      </c>
      <c r="E281" s="6" t="n">
        <v>87.09999999999999</v>
      </c>
      <c r="F281" s="7" t="n">
        <v>18.7</v>
      </c>
      <c r="G281" t="n">
        <v>7813</v>
      </c>
      <c r="H281" t="n">
        <v>7228</v>
      </c>
      <c r="I281" t="n">
        <v>6602</v>
      </c>
      <c r="J281" t="n">
        <v>4851</v>
      </c>
      <c r="K281" s="27">
        <f>(H281/D281-1)</f>
        <v/>
      </c>
      <c r="L281" s="27">
        <f>(I281/D281-1)</f>
        <v/>
      </c>
      <c r="M281" s="27">
        <f>(J281/D281-1)</f>
        <v/>
      </c>
      <c r="N281" t="n">
        <v>42.1</v>
      </c>
      <c r="O281" s="28">
        <f>(N281+F281)/2</f>
        <v/>
      </c>
      <c r="P281">
        <f>IF(O281="計算不能","計算不能",IF(O281&gt;=80,5,IF(O281&gt;=60,4,IF(O281&gt;=40,3,IF(O281&gt;=28,2,1)))))</f>
        <v/>
      </c>
      <c r="Q281" t="n">
        <v>1050</v>
      </c>
      <c r="R281" t="n">
        <v>0</v>
      </c>
      <c r="S281" s="27">
        <f>R281/Q281</f>
        <v/>
      </c>
      <c r="T281" t="inlineStr">
        <is>
          <t>大郷町は2045年までに人口が約32.9%減と急激な過疎・超高齢化が進行。若年労働世代の流出と自然減が重なり、賃貸事業としての持続性は極めて限定的。</t>
        </is>
      </c>
      <c r="U281" t="inlineStr">
        <is>
          <t>大郷町は人口密度87人/km²と過疎的水準で、民間賃貸の新規需要は薄い。実需に裏付けられた格安戸建ての指値取得のみが現実的。 借家の空室率は約0%と需給は比較的引き締まっている。</t>
        </is>
      </c>
      <c r="V281" t="inlineStr">
        <is>
          <t>大郷町（宮城県）：仙台平野・沿岸部は津波と地盤液状化リスク。名取川・北上川の氾濫、丘陵地の宅地造成地盤に注意。</t>
        </is>
      </c>
    </row>
    <row r="282">
      <c r="A282" t="inlineStr">
        <is>
          <t>宮城県</t>
        </is>
      </c>
      <c r="B282" t="inlineStr">
        <is>
          <t>大衡村</t>
        </is>
      </c>
      <c r="C282" t="n">
        <v>2124</v>
      </c>
      <c r="D282" t="n">
        <v>5890</v>
      </c>
      <c r="E282" s="6" t="n">
        <v>90</v>
      </c>
      <c r="F282" s="7" t="n">
        <v>19</v>
      </c>
      <c r="G282" t="n">
        <v>5849</v>
      </c>
      <c r="H282" t="n">
        <v>5890</v>
      </c>
      <c r="I282" t="n">
        <v>5910</v>
      </c>
      <c r="J282" t="n">
        <v>5797</v>
      </c>
      <c r="K282" s="27">
        <f>(H282/D282-1)</f>
        <v/>
      </c>
      <c r="L282" s="27">
        <f>(I282/D282-1)</f>
        <v/>
      </c>
      <c r="M282" s="27">
        <f>(J282/D282-1)</f>
        <v/>
      </c>
      <c r="N282" t="n">
        <v>75.8</v>
      </c>
      <c r="O282" s="28">
        <f>(N282+F282)/2</f>
        <v/>
      </c>
      <c r="P282">
        <f>IF(O282="計算不能","計算不能",IF(O282&gt;=80,5,IF(O282&gt;=60,4,IF(O282&gt;=40,3,IF(O282&gt;=28,2,1)))))</f>
        <v/>
      </c>
      <c r="Q282" t="n">
        <v>757</v>
      </c>
      <c r="R282" t="n">
        <v>0</v>
      </c>
      <c r="S282" s="27">
        <f>R282/Q282</f>
        <v/>
      </c>
      <c r="T282" t="inlineStr">
        <is>
          <t>大衡村は2045年までの人口減少率が約1.6%と全国平均より緩やかで、概ね横ばいの安定推移。生産年齢人口の維持により、賃貸需要の急減リスクは相対的に低い。</t>
        </is>
      </c>
      <c r="U282" t="inlineStr">
        <is>
          <t>大衡村は人口密度90人/km²と過疎的水準で、民間賃貸の新規需要は薄い。実需に裏付けられた格安戸建ての指値取得のみが現実的。 借家の空室率は約0%と需給は比較的引き締まっている。</t>
        </is>
      </c>
      <c r="V282" t="inlineStr">
        <is>
          <t>大衡村（宮城県）：仙台平野・沿岸部は津波と地盤液状化リスク。名取川・北上川の氾濫、丘陵地の宅地造成地盤に注意。</t>
        </is>
      </c>
    </row>
    <row r="283">
      <c r="A283" t="inlineStr">
        <is>
          <t>宮城県</t>
        </is>
      </c>
      <c r="B283" t="inlineStr">
        <is>
          <t>色麻町</t>
        </is>
      </c>
      <c r="C283" t="n">
        <v>2091</v>
      </c>
      <c r="D283" t="n">
        <v>6232</v>
      </c>
      <c r="E283" s="6" t="n">
        <v>54.8</v>
      </c>
      <c r="F283" s="7" t="n">
        <v>15.5</v>
      </c>
      <c r="G283" t="n">
        <v>6698</v>
      </c>
      <c r="H283" t="n">
        <v>6232</v>
      </c>
      <c r="I283" t="n">
        <v>5762</v>
      </c>
      <c r="J283" t="n">
        <v>4417</v>
      </c>
      <c r="K283" s="27">
        <f>(H283/D283-1)</f>
        <v/>
      </c>
      <c r="L283" s="27">
        <f>(I283/D283-1)</f>
        <v/>
      </c>
      <c r="M283" s="27">
        <f>(J283/D283-1)</f>
        <v/>
      </c>
      <c r="N283" t="n">
        <v>43.8</v>
      </c>
      <c r="O283" s="28">
        <f>(N283+F283)/2</f>
        <v/>
      </c>
      <c r="P283">
        <f>IF(O283="計算不能","計算不能",IF(O283&gt;=80,5,IF(O283&gt;=60,4,IF(O283&gt;=40,3,IF(O283&gt;=28,2,1)))))</f>
        <v/>
      </c>
      <c r="Q283" t="n">
        <v>745</v>
      </c>
      <c r="R283" t="n">
        <v>0</v>
      </c>
      <c r="S283" s="27">
        <f>R283/Q283</f>
        <v/>
      </c>
      <c r="T283" t="inlineStr">
        <is>
          <t>色麻町は2045年までに人口が約29.1%減と明確な減少トレンド。高齢化の進行と世帯数の縮小により、中長期では賃貸需要の構造的縮小に警戒が必要。</t>
        </is>
      </c>
      <c r="U283" t="inlineStr">
        <is>
          <t>色麻町は人口密度55人/km²と過疎的水準で、民間賃貸の新規需要は薄い。実需に裏付けられた格安戸建ての指値取得のみが現実的。 借家の空室率は約0%と需給は比較的引き締まっている。</t>
        </is>
      </c>
      <c r="V283" t="inlineStr">
        <is>
          <t>色麻町（宮城県）：仙台平野・沿岸部は津波と地盤液状化リスク。名取川・北上川の氾濫、丘陵地の宅地造成地盤に注意。</t>
        </is>
      </c>
    </row>
    <row r="284">
      <c r="A284" t="inlineStr">
        <is>
          <t>宮城県</t>
        </is>
      </c>
      <c r="B284" t="inlineStr">
        <is>
          <t>加美町</t>
        </is>
      </c>
      <c r="C284" t="n">
        <v>7650</v>
      </c>
      <c r="D284" t="n">
        <v>20095</v>
      </c>
      <c r="E284" s="6" t="n">
        <v>43.2</v>
      </c>
      <c r="F284" s="7" t="n">
        <v>14.3</v>
      </c>
      <c r="G284" t="n">
        <v>21943</v>
      </c>
      <c r="H284" t="n">
        <v>20095</v>
      </c>
      <c r="I284" t="n">
        <v>18317</v>
      </c>
      <c r="J284" t="n">
        <v>13350</v>
      </c>
      <c r="K284" s="27">
        <f>(H284/D284-1)</f>
        <v/>
      </c>
      <c r="L284" s="27">
        <f>(I284/D284-1)</f>
        <v/>
      </c>
      <c r="M284" s="27">
        <f>(J284/D284-1)</f>
        <v/>
      </c>
      <c r="N284" t="n">
        <v>41.1</v>
      </c>
      <c r="O284" s="28">
        <f>(N284+F284)/2</f>
        <v/>
      </c>
      <c r="P284">
        <f>IF(O284="計算不能","計算不能",IF(O284&gt;=80,5,IF(O284&gt;=60,4,IF(O284&gt;=40,3,IF(O284&gt;=28,2,1)))))</f>
        <v/>
      </c>
      <c r="Q284" t="n">
        <v>2727</v>
      </c>
      <c r="R284" t="n">
        <v>420</v>
      </c>
      <c r="S284" s="27">
        <f>R284/Q284</f>
        <v/>
      </c>
      <c r="T284" t="inlineStr">
        <is>
          <t>加美町は2045年までに人口が約33.6%減と急激な過疎・超高齢化が進行。若年労働世代の流出と自然減が重なり、賃貸事業としての持続性は極めて限定的。</t>
        </is>
      </c>
      <c r="U284" t="inlineStr">
        <is>
          <t>加美町は人口密度43人/km²と過疎的水準で、民間賃貸の新規需要は薄い。実需に裏付けられた格安戸建ての指値取得のみが現実的。 借家の空室率は約15%と需給は比較的引き締まっている。</t>
        </is>
      </c>
      <c r="V284" t="inlineStr">
        <is>
          <t>加美町（宮城県）：仙台平野・沿岸部は津波と地盤液状化リスク。名取川・北上川の氾濫、丘陵地の宅地造成地盤に注意。</t>
        </is>
      </c>
    </row>
    <row r="285">
      <c r="A285" t="inlineStr">
        <is>
          <t>宮城県</t>
        </is>
      </c>
      <c r="B285" t="inlineStr">
        <is>
          <t>涌谷町</t>
        </is>
      </c>
      <c r="C285" t="n">
        <v>5220</v>
      </c>
      <c r="D285" t="n">
        <v>13646</v>
      </c>
      <c r="E285" s="6" t="n">
        <v>168.2</v>
      </c>
      <c r="F285" s="7" t="n">
        <v>26.8</v>
      </c>
      <c r="G285" t="n">
        <v>15388</v>
      </c>
      <c r="H285" t="n">
        <v>13646</v>
      </c>
      <c r="I285" t="n">
        <v>12451</v>
      </c>
      <c r="J285" t="n">
        <v>8979</v>
      </c>
      <c r="K285" s="27">
        <f>(H285/D285-1)</f>
        <v/>
      </c>
      <c r="L285" s="27">
        <f>(I285/D285-1)</f>
        <v/>
      </c>
      <c r="M285" s="27">
        <f>(J285/D285-1)</f>
        <v/>
      </c>
      <c r="N285" t="n">
        <v>38.4</v>
      </c>
      <c r="O285" s="28">
        <f>(N285+F285)/2</f>
        <v/>
      </c>
      <c r="P285">
        <f>IF(O285="計算不能","計算不能",IF(O285&gt;=80,5,IF(O285&gt;=60,4,IF(O285&gt;=40,3,IF(O285&gt;=28,2,1)))))</f>
        <v/>
      </c>
      <c r="Q285" t="n">
        <v>1861</v>
      </c>
      <c r="R285" t="n">
        <v>110</v>
      </c>
      <c r="S285" s="27">
        <f>R285/Q285</f>
        <v/>
      </c>
      <c r="T285" t="inlineStr">
        <is>
          <t>涌谷町は2045年までに人口が約34.2%減と急激な過疎・超高齢化が進行。若年労働世代の流出と自然減が重なり、賃貸事業としての持続性は極めて限定的。</t>
        </is>
      </c>
      <c r="U285" t="inlineStr">
        <is>
          <t>涌谷町は人口密度168人/km²と過疎的水準で、民間賃貸の新規需要は薄い。実需に裏付けられた格安戸建ての指値取得のみが現実的。 借家の空室率は約6%と需給は比較的引き締まっている。</t>
        </is>
      </c>
      <c r="V285" t="inlineStr">
        <is>
          <t>涌谷町（宮城県）：仙台平野・沿岸部は津波と地盤液状化リスク。名取川・北上川の氾濫、丘陵地の宅地造成地盤に注意。</t>
        </is>
      </c>
    </row>
    <row r="286">
      <c r="A286" t="inlineStr">
        <is>
          <t>宮城県</t>
        </is>
      </c>
      <c r="B286" t="inlineStr">
        <is>
          <t>美里町</t>
        </is>
      </c>
      <c r="C286" t="n">
        <v>8500</v>
      </c>
      <c r="D286" t="n">
        <v>22587</v>
      </c>
      <c r="E286" s="6" t="n">
        <v>55.8</v>
      </c>
      <c r="F286" s="7" t="n">
        <v>15.6</v>
      </c>
      <c r="G286" t="n">
        <v>23994</v>
      </c>
      <c r="H286" t="n">
        <v>22587</v>
      </c>
      <c r="I286" t="n">
        <v>21292</v>
      </c>
      <c r="J286" t="n">
        <v>17138</v>
      </c>
      <c r="K286" s="27">
        <f>(H286/D286-1)</f>
        <v/>
      </c>
      <c r="L286" s="27">
        <f>(I286/D286-1)</f>
        <v/>
      </c>
      <c r="M286" s="27">
        <f>(J286/D286-1)</f>
        <v/>
      </c>
      <c r="N286" t="n">
        <v>48.1</v>
      </c>
      <c r="O286" s="28">
        <f>(N286+F286)/2</f>
        <v/>
      </c>
      <c r="P286">
        <f>IF(O286="計算不能","計算不能",IF(O286&gt;=80,5,IF(O286&gt;=60,4,IF(O286&gt;=40,3,IF(O286&gt;=28,2,1)))))</f>
        <v/>
      </c>
      <c r="Q286" t="n">
        <v>3031</v>
      </c>
      <c r="R286" t="n">
        <v>290</v>
      </c>
      <c r="S286" s="27">
        <f>R286/Q286</f>
        <v/>
      </c>
      <c r="T286" t="inlineStr">
        <is>
          <t>美里町は2045年までに人口が約24.1%減と明確な減少トレンド。高齢化の進行と世帯数の縮小により、中長期では賃貸需要の構造的縮小に警戒が必要。</t>
        </is>
      </c>
      <c r="U286" t="inlineStr">
        <is>
          <t>美里町は人口密度56人/km²と過疎的水準で、民間賃貸の新規需要は薄い。実需に裏付けられた格安戸建ての指値取得のみが現実的。 借家の空室率は約10%と需給は比較的引き締まっている。</t>
        </is>
      </c>
      <c r="V286" t="inlineStr">
        <is>
          <t>美里町（宮城県）：仙台平野・沿岸部は津波と地盤液状化リスク。名取川・北上川の氾濫、丘陵地の宅地造成地盤に注意。</t>
        </is>
      </c>
    </row>
    <row r="287">
      <c r="A287" t="inlineStr">
        <is>
          <t>宮城県</t>
        </is>
      </c>
      <c r="B287" t="inlineStr">
        <is>
          <t>女川町</t>
        </is>
      </c>
      <c r="C287" t="n">
        <v>3054</v>
      </c>
      <c r="D287" t="n">
        <v>5743</v>
      </c>
      <c r="E287" s="6" t="n">
        <v>90.5</v>
      </c>
      <c r="F287" s="7" t="n">
        <v>19.1</v>
      </c>
      <c r="G287" t="n">
        <v>6430</v>
      </c>
      <c r="H287" t="n">
        <v>5743</v>
      </c>
      <c r="I287" t="n">
        <v>5102</v>
      </c>
      <c r="J287" t="n">
        <v>3495</v>
      </c>
      <c r="K287" s="27">
        <f>(H287/D287-1)</f>
        <v/>
      </c>
      <c r="L287" s="27">
        <f>(I287/D287-1)</f>
        <v/>
      </c>
      <c r="M287" s="27">
        <f>(J287/D287-1)</f>
        <v/>
      </c>
      <c r="N287" t="n">
        <v>37.1</v>
      </c>
      <c r="O287" s="28">
        <f>(N287+F287)/2</f>
        <v/>
      </c>
      <c r="P287">
        <f>IF(O287="計算不能","計算不能",IF(O287&gt;=80,5,IF(O287&gt;=60,4,IF(O287&gt;=40,3,IF(O287&gt;=28,2,1)))))</f>
        <v/>
      </c>
      <c r="Q287" t="n">
        <v>1089</v>
      </c>
      <c r="R287" t="n">
        <v>0</v>
      </c>
      <c r="S287" s="27">
        <f>R287/Q287</f>
        <v/>
      </c>
      <c r="T287" t="inlineStr">
        <is>
          <t>女川町は2045年までに人口が約39.1%減と急激な過疎・超高齢化が進行。若年労働世代の流出と自然減が重なり、賃貸事業としての持続性は極めて限定的。</t>
        </is>
      </c>
      <c r="U287" t="inlineStr">
        <is>
          <t>女川町は人口密度90人/km²と過疎的水準で、民間賃貸の新規需要は薄い。実需に裏付けられた格安戸建ての指値取得のみが現実的。 借家の空室率は約0%と需給は比較的引き締まっている。</t>
        </is>
      </c>
      <c r="V287" t="inlineStr">
        <is>
          <t>女川町（宮城県）：仙台平野・沿岸部は津波と地盤液状化リスク。名取川・北上川の氾濫、丘陵地の宅地造成地盤に注意。</t>
        </is>
      </c>
    </row>
    <row r="288">
      <c r="A288" t="inlineStr">
        <is>
          <t>宮城県</t>
        </is>
      </c>
      <c r="B288" t="inlineStr">
        <is>
          <t>南三陸町</t>
        </is>
      </c>
      <c r="C288" t="n">
        <v>4430</v>
      </c>
      <c r="D288" t="n">
        <v>10792</v>
      </c>
      <c r="E288" s="6" t="n">
        <v>66.40000000000001</v>
      </c>
      <c r="F288" s="7" t="n">
        <v>16.6</v>
      </c>
      <c r="G288" t="n">
        <v>12225</v>
      </c>
      <c r="H288" t="n">
        <v>10792</v>
      </c>
      <c r="I288" t="n">
        <v>9438</v>
      </c>
      <c r="J288" t="n">
        <v>6070</v>
      </c>
      <c r="K288" s="27">
        <f>(H288/D288-1)</f>
        <v/>
      </c>
      <c r="L288" s="27">
        <f>(I288/D288-1)</f>
        <v/>
      </c>
      <c r="M288" s="27">
        <f>(J288/D288-1)</f>
        <v/>
      </c>
      <c r="N288" t="n">
        <v>34.7</v>
      </c>
      <c r="O288" s="28">
        <f>(N288+F288)/2</f>
        <v/>
      </c>
      <c r="P288">
        <f>IF(O288="計算不能","計算不能",IF(O288&gt;=80,5,IF(O288&gt;=60,4,IF(O288&gt;=40,3,IF(O288&gt;=28,2,1)))))</f>
        <v/>
      </c>
      <c r="Q288" t="n">
        <v>1579</v>
      </c>
      <c r="R288" t="n">
        <v>0</v>
      </c>
      <c r="S288" s="27">
        <f>R288/Q288</f>
        <v/>
      </c>
      <c r="T288" t="inlineStr">
        <is>
          <t>南三陸町は2045年までに人口が約43.8%減と急激な過疎・超高齢化が進行。若年労働世代の流出と自然減が重なり、賃貸事業としての持続性は極めて限定的。</t>
        </is>
      </c>
      <c r="U288" t="inlineStr">
        <is>
          <t>南三陸町は人口密度66人/km²と過疎的水準で、民間賃貸の新規需要は薄い。実需に裏付けられた格安戸建ての指値取得のみが現実的。 借家の空室率は約0%と需給は比較的引き締まっている。</t>
        </is>
      </c>
      <c r="V288" t="inlineStr">
        <is>
          <t>南三陸町（宮城県）：仙台平野・沿岸部は津波と地盤液状化リスク。名取川・北上川の氾濫、丘陵地の宅地造成地盤に注意。</t>
        </is>
      </c>
    </row>
    <row r="289">
      <c r="A289" t="inlineStr">
        <is>
          <t>秋田県</t>
        </is>
      </c>
      <c r="B289" t="inlineStr">
        <is>
          <t>秋田市</t>
        </is>
      </c>
      <c r="C289" t="n">
        <v>133980</v>
      </c>
      <c r="D289" t="n">
        <v>295501</v>
      </c>
      <c r="E289" s="6" t="n">
        <v>324</v>
      </c>
      <c r="F289" s="7" t="n">
        <v>36.2</v>
      </c>
      <c r="G289" t="n">
        <v>307672</v>
      </c>
      <c r="H289" t="n">
        <v>295501</v>
      </c>
      <c r="I289" t="n">
        <v>281852</v>
      </c>
      <c r="J289" t="n">
        <v>236543</v>
      </c>
      <c r="K289" s="27">
        <f>(H289/D289-1)</f>
        <v/>
      </c>
      <c r="L289" s="27">
        <f>(I289/D289-1)</f>
        <v/>
      </c>
      <c r="M289" s="27">
        <f>(J289/D289-1)</f>
        <v/>
      </c>
      <c r="N289" t="n">
        <v>54.4</v>
      </c>
      <c r="O289" s="28">
        <f>(N289+F289)/2</f>
        <v/>
      </c>
      <c r="P289">
        <f>IF(O289="計算不能","計算不能",IF(O289&gt;=80,5,IF(O289&gt;=60,4,IF(O289&gt;=40,3,IF(O289&gt;=28,2,1)))))</f>
        <v/>
      </c>
      <c r="Q289" t="n">
        <v>27503</v>
      </c>
      <c r="R289" t="n">
        <v>12480</v>
      </c>
      <c r="S289" s="27">
        <f>R289/Q289</f>
        <v/>
      </c>
      <c r="T289" t="inlineStr">
        <is>
          <t>秋田市は2045年までに人口が約20.0%減と明確な減少トレンド。高齢化の進行と世帯数の縮小により、中長期では賃貸需要の構造的縮小に警戒が必要。</t>
        </is>
      </c>
      <c r="U289" t="inlineStr">
        <is>
          <t>秋田市は人口密度324人/km²と低密度で、賃貸需要は限定的。持ち家比率が高く、駐車場完備の戸建て賃貸が有利。 借家の空室率は約45%と供給過多気味で、空室長期化リスクに要警戒。</t>
        </is>
      </c>
      <c r="V289" t="inlineStr">
        <is>
          <t>秋田市（秋田県）：日本海沿岸の津波・海岸侵食、雄物川・米代川の氾濫、豪雪と融雪出水、内陸の地すべりに留意。</t>
        </is>
      </c>
    </row>
    <row r="290">
      <c r="A290" t="inlineStr">
        <is>
          <t>秋田県</t>
        </is>
      </c>
      <c r="B290" t="inlineStr">
        <is>
          <t>能代市</t>
        </is>
      </c>
      <c r="C290" t="n">
        <v>20490</v>
      </c>
      <c r="D290" t="n">
        <v>44748</v>
      </c>
      <c r="E290" s="6" t="n">
        <v>106.5</v>
      </c>
      <c r="F290" s="7" t="n">
        <v>20.6</v>
      </c>
      <c r="G290" t="n">
        <v>49968</v>
      </c>
      <c r="H290" t="n">
        <v>44748</v>
      </c>
      <c r="I290" t="n">
        <v>40253</v>
      </c>
      <c r="J290" t="n">
        <v>28481</v>
      </c>
      <c r="K290" s="27">
        <f>(H290/D290-1)</f>
        <v/>
      </c>
      <c r="L290" s="27">
        <f>(I290/D290-1)</f>
        <v/>
      </c>
      <c r="M290" s="27">
        <f>(J290/D290-1)</f>
        <v/>
      </c>
      <c r="N290" t="n">
        <v>38.3</v>
      </c>
      <c r="O290" s="28">
        <f>(N290+F290)/2</f>
        <v/>
      </c>
      <c r="P290">
        <f>IF(O290="計算不能","計算不能",IF(O290&gt;=80,5,IF(O290&gt;=60,4,IF(O290&gt;=40,3,IF(O290&gt;=28,2,1)))))</f>
        <v/>
      </c>
      <c r="Q290" t="n">
        <v>4206</v>
      </c>
      <c r="R290" t="n">
        <v>1260</v>
      </c>
      <c r="S290" s="27">
        <f>R290/Q290</f>
        <v/>
      </c>
      <c r="T290" t="inlineStr">
        <is>
          <t>能代市は2045年までに人口が約36.4%減と急激な過疎・超高齢化が進行。若年労働世代の流出と自然減が重なり、賃貸事業としての持続性は極めて限定的。</t>
        </is>
      </c>
      <c r="U290" t="inlineStr">
        <is>
          <t>能代市は人口密度106人/km²と過疎的水準で、民間賃貸の新規需要は薄い。実需に裏付けられた格安戸建ての指値取得のみが現実的。 借家の空室率は約30%と供給過多気味で、空室長期化リスクに要警戒。</t>
        </is>
      </c>
      <c r="V290" t="inlineStr">
        <is>
          <t>能代市（秋田県）：日本海沿岸の津波・海岸侵食、雄物川・米代川の氾濫、豪雪と融雪出水、内陸の地すべりに留意。</t>
        </is>
      </c>
    </row>
    <row r="291">
      <c r="A291" t="inlineStr">
        <is>
          <t>秋田県</t>
        </is>
      </c>
      <c r="B291" t="inlineStr">
        <is>
          <t>横手市</t>
        </is>
      </c>
      <c r="C291" t="n">
        <v>30270</v>
      </c>
      <c r="D291" t="n">
        <v>78878</v>
      </c>
      <c r="E291" s="6" t="n">
        <v>112</v>
      </c>
      <c r="F291" s="7" t="n">
        <v>21.2</v>
      </c>
      <c r="G291" t="n">
        <v>85555</v>
      </c>
      <c r="H291" t="n">
        <v>78878</v>
      </c>
      <c r="I291" t="n">
        <v>72129</v>
      </c>
      <c r="J291" t="n">
        <v>53706</v>
      </c>
      <c r="K291" s="27">
        <f>(H291/D291-1)</f>
        <v/>
      </c>
      <c r="L291" s="27">
        <f>(I291/D291-1)</f>
        <v/>
      </c>
      <c r="M291" s="27">
        <f>(J291/D291-1)</f>
        <v/>
      </c>
      <c r="N291" t="n">
        <v>42.1</v>
      </c>
      <c r="O291" s="28">
        <f>(N291+F291)/2</f>
        <v/>
      </c>
      <c r="P291">
        <f>IF(O291="計算不能","計算不能",IF(O291&gt;=80,5,IF(O291&gt;=60,4,IF(O291&gt;=40,3,IF(O291&gt;=28,2,1)))))</f>
        <v/>
      </c>
      <c r="Q291" t="n">
        <v>6213</v>
      </c>
      <c r="R291" t="n">
        <v>1480</v>
      </c>
      <c r="S291" s="27">
        <f>R291/Q291</f>
        <v/>
      </c>
      <c r="T291" t="inlineStr">
        <is>
          <t>横手市は2045年までに人口が約31.9%減と急激な過疎・超高齢化が進行。若年労働世代の流出と自然減が重なり、賃貸事業としての持続性は極めて限定的。</t>
        </is>
      </c>
      <c r="U291" t="inlineStr">
        <is>
          <t>横手市は人口密度112人/km²と過疎的水準で、民間賃貸の新規需要は薄い。実需に裏付けられた格安戸建ての指値取得のみが現実的。 借家の空室率は約24%とやや高めで、競合との差別化が必要。</t>
        </is>
      </c>
      <c r="V291" t="inlineStr">
        <is>
          <t>横手市（秋田県）：日本海沿岸の津波・海岸侵食、雄物川・米代川の氾濫、豪雪と融雪出水、内陸の地すべりに留意。</t>
        </is>
      </c>
    </row>
    <row r="292">
      <c r="A292" t="inlineStr">
        <is>
          <t>秋田県</t>
        </is>
      </c>
      <c r="B292" t="inlineStr">
        <is>
          <t>大館市</t>
        </is>
      </c>
      <c r="C292" t="n">
        <v>27090</v>
      </c>
      <c r="D292" t="n">
        <v>63908</v>
      </c>
      <c r="E292" s="6" t="n">
        <v>69.3</v>
      </c>
      <c r="F292" s="7" t="n">
        <v>16.9</v>
      </c>
      <c r="G292" t="n">
        <v>69237</v>
      </c>
      <c r="H292" t="n">
        <v>63908</v>
      </c>
      <c r="I292" t="n">
        <v>58675</v>
      </c>
      <c r="J292" t="n">
        <v>44182</v>
      </c>
      <c r="K292" s="27">
        <f>(H292/D292-1)</f>
        <v/>
      </c>
      <c r="L292" s="27">
        <f>(I292/D292-1)</f>
        <v/>
      </c>
      <c r="M292" s="27">
        <f>(J292/D292-1)</f>
        <v/>
      </c>
      <c r="N292" t="n">
        <v>42.5</v>
      </c>
      <c r="O292" s="28">
        <f>(N292+F292)/2</f>
        <v/>
      </c>
      <c r="P292">
        <f>IF(O292="計算不能","計算不能",IF(O292&gt;=80,5,IF(O292&gt;=60,4,IF(O292&gt;=40,3,IF(O292&gt;=28,2,1)))))</f>
        <v/>
      </c>
      <c r="Q292" t="n">
        <v>5561</v>
      </c>
      <c r="R292" t="n">
        <v>1550</v>
      </c>
      <c r="S292" s="27">
        <f>R292/Q292</f>
        <v/>
      </c>
      <c r="T292" t="inlineStr">
        <is>
          <t>大館市は2045年までに人口が約30.9%減と急激な過疎・超高齢化が進行。若年労働世代の流出と自然減が重なり、賃貸事業としての持続性は極めて限定的。</t>
        </is>
      </c>
      <c r="U292" t="inlineStr">
        <is>
          <t>大館市は人口密度69人/km²と過疎的水準で、民間賃貸の新規需要は薄い。実需に裏付けられた格安戸建ての指値取得のみが現実的。 借家の空室率は約28%と供給過多気味で、空室長期化リスクに要警戒。</t>
        </is>
      </c>
      <c r="V292" t="inlineStr">
        <is>
          <t>大館市（秋田県）：日本海沿岸の津波・海岸侵食、雄物川・米代川の氾濫、豪雪と融雪出水、内陸の地すべりに留意。</t>
        </is>
      </c>
    </row>
    <row r="293">
      <c r="A293" t="inlineStr">
        <is>
          <t>秋田県</t>
        </is>
      </c>
      <c r="B293" t="inlineStr">
        <is>
          <t>男鹿市</t>
        </is>
      </c>
      <c r="C293" t="n">
        <v>10130</v>
      </c>
      <c r="D293" t="n">
        <v>21867</v>
      </c>
      <c r="E293" s="6" t="n">
        <v>89.59999999999999</v>
      </c>
      <c r="F293" s="7" t="n">
        <v>19</v>
      </c>
      <c r="G293" t="n">
        <v>25154</v>
      </c>
      <c r="H293" t="n">
        <v>21867</v>
      </c>
      <c r="I293" t="n">
        <v>18976</v>
      </c>
      <c r="J293" t="n">
        <v>11478</v>
      </c>
      <c r="K293" s="27">
        <f>(H293/D293-1)</f>
        <v/>
      </c>
      <c r="L293" s="27">
        <f>(I293/D293-1)</f>
        <v/>
      </c>
      <c r="M293" s="27">
        <f>(J293/D293-1)</f>
        <v/>
      </c>
      <c r="N293" t="n">
        <v>32.6</v>
      </c>
      <c r="O293" s="28">
        <f>(N293+F293)/2</f>
        <v/>
      </c>
      <c r="P293">
        <f>IF(O293="計算不能","計算不能",IF(O293&gt;=80,5,IF(O293&gt;=60,4,IF(O293&gt;=40,3,IF(O293&gt;=28,2,1)))))</f>
        <v/>
      </c>
      <c r="Q293" t="n">
        <v>2079</v>
      </c>
      <c r="R293" t="n">
        <v>510</v>
      </c>
      <c r="S293" s="27">
        <f>R293/Q293</f>
        <v/>
      </c>
      <c r="T293" t="inlineStr">
        <is>
          <t>男鹿市は2045年までに人口が約47.5%減と急激な過疎・超高齢化が進行。若年労働世代の流出と自然減が重なり、賃貸事業としての持続性は極めて限定的。</t>
        </is>
      </c>
      <c r="U293" t="inlineStr">
        <is>
          <t>男鹿市は人口密度90人/km²と過疎的水準で、民間賃貸の新規需要は薄い。実需に裏付けられた格安戸建ての指値取得のみが現実的。 借家の空室率は約25%とやや高めで、競合との差別化が必要。</t>
        </is>
      </c>
      <c r="V293" t="inlineStr">
        <is>
          <t>男鹿市（秋田県）：日本海沿岸の津波・海岸侵食、雄物川・米代川の氾濫、豪雪と融雪出水、内陸の地すべりに留意。</t>
        </is>
      </c>
    </row>
    <row r="294">
      <c r="A294" t="inlineStr">
        <is>
          <t>秋田県</t>
        </is>
      </c>
      <c r="B294" t="inlineStr">
        <is>
          <t>湯沢市</t>
        </is>
      </c>
      <c r="C294" t="n">
        <v>14590</v>
      </c>
      <c r="D294" t="n">
        <v>37552</v>
      </c>
      <c r="E294" s="6" t="n">
        <v>47.3</v>
      </c>
      <c r="F294" s="7" t="n">
        <v>14.7</v>
      </c>
      <c r="G294" t="n">
        <v>42091</v>
      </c>
      <c r="H294" t="n">
        <v>37552</v>
      </c>
      <c r="I294" t="n">
        <v>33505</v>
      </c>
      <c r="J294" t="n">
        <v>22771</v>
      </c>
      <c r="K294" s="27">
        <f>(H294/D294-1)</f>
        <v/>
      </c>
      <c r="L294" s="27">
        <f>(I294/D294-1)</f>
        <v/>
      </c>
      <c r="M294" s="27">
        <f>(J294/D294-1)</f>
        <v/>
      </c>
      <c r="N294" t="n">
        <v>37.1</v>
      </c>
      <c r="O294" s="28">
        <f>(N294+F294)/2</f>
        <v/>
      </c>
      <c r="P294">
        <f>IF(O294="計算不能","計算不能",IF(O294&gt;=80,5,IF(O294&gt;=60,4,IF(O294&gt;=40,3,IF(O294&gt;=28,2,1)))))</f>
        <v/>
      </c>
      <c r="Q294" t="n">
        <v>2995</v>
      </c>
      <c r="R294" t="n">
        <v>720</v>
      </c>
      <c r="S294" s="27">
        <f>R294/Q294</f>
        <v/>
      </c>
      <c r="T294" t="inlineStr">
        <is>
          <t>湯沢市は2045年までに人口が約39.4%減と急激な過疎・超高齢化が進行。若年労働世代の流出と自然減が重なり、賃貸事業としての持続性は極めて限定的。</t>
        </is>
      </c>
      <c r="U294" t="inlineStr">
        <is>
          <t>湯沢市は人口密度47人/km²と過疎的水準で、民間賃貸の新規需要は薄い。実需に裏付けられた格安戸建ての指値取得のみが現実的。 借家の空室率は約24%とやや高めで、競合との差別化が必要。</t>
        </is>
      </c>
      <c r="V294" t="inlineStr">
        <is>
          <t>湯沢市（秋田県）：日本海沿岸の津波・海岸侵食、雄物川・米代川の氾濫、豪雪と融雪出水、内陸の地すべりに留意。</t>
        </is>
      </c>
    </row>
    <row r="295">
      <c r="A295" t="inlineStr">
        <is>
          <t>秋田県</t>
        </is>
      </c>
      <c r="B295" t="inlineStr">
        <is>
          <t>鹿角市</t>
        </is>
      </c>
      <c r="C295" t="n">
        <v>10710</v>
      </c>
      <c r="D295" t="n">
        <v>25808</v>
      </c>
      <c r="E295" s="6" t="n">
        <v>36.2</v>
      </c>
      <c r="F295" s="7" t="n">
        <v>13.6</v>
      </c>
      <c r="G295" t="n">
        <v>29088</v>
      </c>
      <c r="H295" t="n">
        <v>25808</v>
      </c>
      <c r="I295" t="n">
        <v>23101</v>
      </c>
      <c r="J295" t="n">
        <v>16193</v>
      </c>
      <c r="K295" s="27">
        <f>(H295/D295-1)</f>
        <v/>
      </c>
      <c r="L295" s="27">
        <f>(I295/D295-1)</f>
        <v/>
      </c>
      <c r="M295" s="27">
        <f>(J295/D295-1)</f>
        <v/>
      </c>
      <c r="N295" t="n">
        <v>37.2</v>
      </c>
      <c r="O295" s="28">
        <f>(N295+F295)/2</f>
        <v/>
      </c>
      <c r="P295">
        <f>IF(O295="計算不能","計算不能",IF(O295&gt;=80,5,IF(O295&gt;=60,4,IF(O295&gt;=40,3,IF(O295&gt;=28,2,1)))))</f>
        <v/>
      </c>
      <c r="Q295" t="n">
        <v>2198</v>
      </c>
      <c r="R295" t="n">
        <v>860</v>
      </c>
      <c r="S295" s="27">
        <f>R295/Q295</f>
        <v/>
      </c>
      <c r="T295" t="inlineStr">
        <is>
          <t>鹿角市は2045年までに人口が約37.3%減と急激な過疎・超高齢化が進行。若年労働世代の流出と自然減が重なり、賃貸事業としての持続性は極めて限定的。</t>
        </is>
      </c>
      <c r="U295" t="inlineStr">
        <is>
          <t>鹿角市は人口密度36人/km²と過疎的水準で、民間賃貸の新規需要は薄い。実需に裏付けられた格安戸建ての指値取得のみが現実的。 借家の空室率は約39%と供給過多気味で、空室長期化リスクに要警戒。</t>
        </is>
      </c>
      <c r="V295" t="inlineStr">
        <is>
          <t>鹿角市（秋田県）：日本海沿岸の津波・海岸侵食、雄物川・米代川の氾濫、豪雪と融雪出水、内陸の地すべりに留意。</t>
        </is>
      </c>
    </row>
    <row r="296">
      <c r="A296" t="inlineStr">
        <is>
          <t>秋田県</t>
        </is>
      </c>
      <c r="B296" t="inlineStr">
        <is>
          <t>由利本荘市</t>
        </is>
      </c>
      <c r="C296" t="n">
        <v>28290</v>
      </c>
      <c r="D296" t="n">
        <v>69070</v>
      </c>
      <c r="E296" s="6" t="n">
        <v>57.2</v>
      </c>
      <c r="F296" s="7" t="n">
        <v>15.7</v>
      </c>
      <c r="G296" t="n">
        <v>74707</v>
      </c>
      <c r="H296" t="n">
        <v>69070</v>
      </c>
      <c r="I296" t="n">
        <v>63391</v>
      </c>
      <c r="J296" t="n">
        <v>47405</v>
      </c>
      <c r="K296" s="27">
        <f>(H296/D296-1)</f>
        <v/>
      </c>
      <c r="L296" s="27">
        <f>(I296/D296-1)</f>
        <v/>
      </c>
      <c r="M296" s="27">
        <f>(J296/D296-1)</f>
        <v/>
      </c>
      <c r="N296" t="n">
        <v>42.5</v>
      </c>
      <c r="O296" s="28">
        <f>(N296+F296)/2</f>
        <v/>
      </c>
      <c r="P296">
        <f>IF(O296="計算不能","計算不能",IF(O296&gt;=80,5,IF(O296&gt;=60,4,IF(O296&gt;=40,3,IF(O296&gt;=28,2,1)))))</f>
        <v/>
      </c>
      <c r="Q296" t="n">
        <v>5807</v>
      </c>
      <c r="R296" t="n">
        <v>2110</v>
      </c>
      <c r="S296" s="27">
        <f>R296/Q296</f>
        <v/>
      </c>
      <c r="T296" t="inlineStr">
        <is>
          <t>由利本荘市は2045年までに人口が約31.4%減と急激な過疎・超高齢化が進行。若年労働世代の流出と自然減が重なり、賃貸事業としての持続性は極めて限定的。</t>
        </is>
      </c>
      <c r="U296" t="inlineStr">
        <is>
          <t>由利本荘市は人口密度57人/km²と過疎的水準で、民間賃貸の新規需要は薄い。実需に裏付けられた格安戸建ての指値取得のみが現実的。 借家の空室率は約36%と供給過多気味で、空室長期化リスクに要警戒。</t>
        </is>
      </c>
      <c r="V296" t="inlineStr">
        <is>
          <t>由利本荘市（秋田県）：日本海沿岸の津波・海岸侵食、雄物川・米代川の氾濫、豪雪と融雪出水、内陸の地すべりに留意。</t>
        </is>
      </c>
    </row>
    <row r="297">
      <c r="A297" t="inlineStr">
        <is>
          <t>秋田県</t>
        </is>
      </c>
      <c r="B297" t="inlineStr">
        <is>
          <t>潟上市</t>
        </is>
      </c>
      <c r="C297" t="n">
        <v>12480</v>
      </c>
      <c r="D297" t="n">
        <v>30054</v>
      </c>
      <c r="E297" s="6" t="n">
        <v>309.6</v>
      </c>
      <c r="F297" s="7" t="n">
        <v>35.5</v>
      </c>
      <c r="G297" t="n">
        <v>31720</v>
      </c>
      <c r="H297" t="n">
        <v>30054</v>
      </c>
      <c r="I297" t="n">
        <v>28096</v>
      </c>
      <c r="J297" t="n">
        <v>21536</v>
      </c>
      <c r="K297" s="27">
        <f>(H297/D297-1)</f>
        <v/>
      </c>
      <c r="L297" s="27">
        <f>(I297/D297-1)</f>
        <v/>
      </c>
      <c r="M297" s="27">
        <f>(J297/D297-1)</f>
        <v/>
      </c>
      <c r="N297" t="n">
        <v>46.7</v>
      </c>
      <c r="O297" s="28">
        <f>(N297+F297)/2</f>
        <v/>
      </c>
      <c r="P297">
        <f>IF(O297="計算不能","計算不能",IF(O297&gt;=80,5,IF(O297&gt;=60,4,IF(O297&gt;=40,3,IF(O297&gt;=28,2,1)))))</f>
        <v/>
      </c>
      <c r="Q297" t="n">
        <v>2561</v>
      </c>
      <c r="R297" t="n">
        <v>410</v>
      </c>
      <c r="S297" s="27">
        <f>R297/Q297</f>
        <v/>
      </c>
      <c r="T297" t="inlineStr">
        <is>
          <t>潟上市は2045年までに人口が約28.3%減と明確な減少トレンド。高齢化の進行と世帯数の縮小により、中長期では賃貸需要の構造的縮小に警戒が必要。</t>
        </is>
      </c>
      <c r="U297" t="inlineStr">
        <is>
          <t>潟上市は人口密度310人/km²と低密度で、賃貸需要は限定的。持ち家比率が高く、駐車場完備の戸建て賃貸が有利。 借家の空室率は約16%と需給は比較的引き締まっている。</t>
        </is>
      </c>
      <c r="V297" t="inlineStr">
        <is>
          <t>潟上市（秋田県）：日本海沿岸の津波・海岸侵食、雄物川・米代川の氾濫、豪雪と融雪出水、内陸の地すべりに留意。</t>
        </is>
      </c>
    </row>
    <row r="298">
      <c r="A298" t="inlineStr">
        <is>
          <t>秋田県</t>
        </is>
      </c>
      <c r="B298" t="inlineStr">
        <is>
          <t>大仙市</t>
        </is>
      </c>
      <c r="C298" t="n">
        <v>28130</v>
      </c>
      <c r="D298" t="n">
        <v>71758</v>
      </c>
      <c r="E298" s="6" t="n">
        <v>82</v>
      </c>
      <c r="F298" s="7" t="n">
        <v>18.2</v>
      </c>
      <c r="G298" t="n">
        <v>77657</v>
      </c>
      <c r="H298" t="n">
        <v>71758</v>
      </c>
      <c r="I298" t="n">
        <v>65863</v>
      </c>
      <c r="J298" t="n">
        <v>49442</v>
      </c>
      <c r="K298" s="27">
        <f>(H298/D298-1)</f>
        <v/>
      </c>
      <c r="L298" s="27">
        <f>(I298/D298-1)</f>
        <v/>
      </c>
      <c r="M298" s="27">
        <f>(J298/D298-1)</f>
        <v/>
      </c>
      <c r="N298" t="n">
        <v>42.6</v>
      </c>
      <c r="O298" s="28">
        <f>(N298+F298)/2</f>
        <v/>
      </c>
      <c r="P298">
        <f>IF(O298="計算不能","計算不能",IF(O298&gt;=80,5,IF(O298&gt;=60,4,IF(O298&gt;=40,3,IF(O298&gt;=28,2,1)))))</f>
        <v/>
      </c>
      <c r="Q298" t="n">
        <v>5774</v>
      </c>
      <c r="R298" t="n">
        <v>690</v>
      </c>
      <c r="S298" s="27">
        <f>R298/Q298</f>
        <v/>
      </c>
      <c r="T298" t="inlineStr">
        <is>
          <t>大仙市は2045年までに人口が約31.1%減と急激な過疎・超高齢化が進行。若年労働世代の流出と自然減が重なり、賃貸事業としての持続性は極めて限定的。</t>
        </is>
      </c>
      <c r="U298" t="inlineStr">
        <is>
          <t>大仙市は人口密度82人/km²と過疎的水準で、民間賃貸の新規需要は薄い。実需に裏付けられた格安戸建ての指値取得のみが現実的。 借家の空室率は約12%と需給は比較的引き締まっている。</t>
        </is>
      </c>
      <c r="V298" t="inlineStr">
        <is>
          <t>大仙市（秋田県）：日本海沿岸の津波・海岸侵食、雄物川・米代川の氾濫、豪雪と融雪出水、内陸の地すべりに留意。</t>
        </is>
      </c>
    </row>
    <row r="299">
      <c r="A299" t="inlineStr">
        <is>
          <t>秋田県</t>
        </is>
      </c>
      <c r="B299" t="inlineStr">
        <is>
          <t>北秋田市</t>
        </is>
      </c>
      <c r="C299" t="n">
        <v>10510</v>
      </c>
      <c r="D299" t="n">
        <v>27068</v>
      </c>
      <c r="E299" s="6" t="n">
        <v>23</v>
      </c>
      <c r="F299" s="7" t="n">
        <v>12.3</v>
      </c>
      <c r="G299" t="n">
        <v>30198</v>
      </c>
      <c r="H299" t="n">
        <v>27068</v>
      </c>
      <c r="I299" t="n">
        <v>24024</v>
      </c>
      <c r="J299" t="n">
        <v>16171</v>
      </c>
      <c r="K299" s="27">
        <f>(H299/D299-1)</f>
        <v/>
      </c>
      <c r="L299" s="27">
        <f>(I299/D299-1)</f>
        <v/>
      </c>
      <c r="M299" s="27">
        <f>(J299/D299-1)</f>
        <v/>
      </c>
      <c r="N299" t="n">
        <v>37.1</v>
      </c>
      <c r="O299" s="28">
        <f>(N299+F299)/2</f>
        <v/>
      </c>
      <c r="P299">
        <f>IF(O299="計算不能","計算不能",IF(O299&gt;=80,5,IF(O299&gt;=60,4,IF(O299&gt;=40,3,IF(O299&gt;=28,2,1)))))</f>
        <v/>
      </c>
      <c r="Q299" t="n">
        <v>2157</v>
      </c>
      <c r="R299" t="n">
        <v>460</v>
      </c>
      <c r="S299" s="27">
        <f>R299/Q299</f>
        <v/>
      </c>
      <c r="T299" t="inlineStr">
        <is>
          <t>北秋田市は2045年までに人口が約40.3%減と急激な過疎・超高齢化が進行。若年労働世代の流出と自然減が重なり、賃貸事業としての持続性は極めて限定的。</t>
        </is>
      </c>
      <c r="U299" t="inlineStr">
        <is>
          <t>北秋田市は人口密度23人/km²と過疎的水準で、民間賃貸の新規需要は薄い。実需に裏付けられた格安戸建ての指値取得のみが現実的。 借家の空室率は約21%とやや高めで、競合との差別化が必要。</t>
        </is>
      </c>
      <c r="V299" t="inlineStr">
        <is>
          <t>北秋田市（秋田県）：日本海沿岸の津波・海岸侵食、雄物川・米代川の氾濫、豪雪と融雪出水、内陸の地すべりに留意。</t>
        </is>
      </c>
    </row>
    <row r="300">
      <c r="A300" t="inlineStr">
        <is>
          <t>秋田県</t>
        </is>
      </c>
      <c r="B300" t="inlineStr">
        <is>
          <t>にかほ市</t>
        </is>
      </c>
      <c r="C300" t="n">
        <v>8270</v>
      </c>
      <c r="D300" t="n">
        <v>21444</v>
      </c>
      <c r="E300" s="6" t="n">
        <v>87.8</v>
      </c>
      <c r="F300" s="7" t="n">
        <v>18.8</v>
      </c>
      <c r="G300" t="n">
        <v>23435</v>
      </c>
      <c r="H300" t="n">
        <v>21444</v>
      </c>
      <c r="I300" t="n">
        <v>19453</v>
      </c>
      <c r="J300" t="n">
        <v>13927</v>
      </c>
      <c r="K300" s="27">
        <f>(H300/D300-1)</f>
        <v/>
      </c>
      <c r="L300" s="27">
        <f>(I300/D300-1)</f>
        <v/>
      </c>
      <c r="M300" s="27">
        <f>(J300/D300-1)</f>
        <v/>
      </c>
      <c r="N300" t="n">
        <v>40.5</v>
      </c>
      <c r="O300" s="28">
        <f>(N300+F300)/2</f>
        <v/>
      </c>
      <c r="P300">
        <f>IF(O300="計算不能","計算不能",IF(O300&gt;=80,5,IF(O300&gt;=60,4,IF(O300&gt;=40,3,IF(O300&gt;=28,2,1)))))</f>
        <v/>
      </c>
      <c r="Q300" t="n">
        <v>1697</v>
      </c>
      <c r="R300" t="n">
        <v>190</v>
      </c>
      <c r="S300" s="27">
        <f>R300/Q300</f>
        <v/>
      </c>
      <c r="T300" t="inlineStr">
        <is>
          <t>にかほ市は2045年までに人口が約35.1%減と急激な過疎・超高齢化が進行。若年労働世代の流出と自然減が重なり、賃貸事業としての持続性は極めて限定的。</t>
        </is>
      </c>
      <c r="U300" t="inlineStr">
        <is>
          <t>にかほ市は人口密度88人/km²と過疎的水準で、民間賃貸の新規需要は薄い。実需に裏付けられた格安戸建ての指値取得のみが現実的。 借家の空室率は約11%と需給は比較的引き締まっている。</t>
        </is>
      </c>
      <c r="V300" t="inlineStr">
        <is>
          <t>にかほ市（秋田県）：日本海沿岸の津波・海岸侵食、雄物川・米代川の氾濫、豪雪と融雪出水、内陸の地すべりに留意。</t>
        </is>
      </c>
    </row>
    <row r="301">
      <c r="A301" t="inlineStr">
        <is>
          <t>秋田県</t>
        </is>
      </c>
      <c r="B301" t="inlineStr">
        <is>
          <t>仙北市</t>
        </is>
      </c>
      <c r="C301" t="n">
        <v>8440</v>
      </c>
      <c r="D301" t="n">
        <v>21621</v>
      </c>
      <c r="E301" s="6" t="n">
        <v>19.8</v>
      </c>
      <c r="F301" s="7" t="n">
        <v>12</v>
      </c>
      <c r="G301" t="n">
        <v>24610</v>
      </c>
      <c r="H301" t="n">
        <v>21621</v>
      </c>
      <c r="I301" t="n">
        <v>19236</v>
      </c>
      <c r="J301" t="n">
        <v>13013</v>
      </c>
      <c r="K301" s="27">
        <f>(H301/D301-1)</f>
        <v/>
      </c>
      <c r="L301" s="27">
        <f>(I301/D301-1)</f>
        <v/>
      </c>
      <c r="M301" s="27">
        <f>(J301/D301-1)</f>
        <v/>
      </c>
      <c r="N301" t="n">
        <v>35.7</v>
      </c>
      <c r="O301" s="28">
        <f>(N301+F301)/2</f>
        <v/>
      </c>
      <c r="P301">
        <f>IF(O301="計算不能","計算不能",IF(O301&gt;=80,5,IF(O301&gt;=60,4,IF(O301&gt;=40,3,IF(O301&gt;=28,2,1)))))</f>
        <v/>
      </c>
      <c r="Q301" t="n">
        <v>1732</v>
      </c>
      <c r="R301" t="n">
        <v>310</v>
      </c>
      <c r="S301" s="27">
        <f>R301/Q301</f>
        <v/>
      </c>
      <c r="T301" t="inlineStr">
        <is>
          <t>仙北市は2045年までに人口が約39.8%減と急激な過疎・超高齢化が進行。若年労働世代の流出と自然減が重なり、賃貸事業としての持続性は極めて限定的。</t>
        </is>
      </c>
      <c r="U301" t="inlineStr">
        <is>
          <t>仙北市は人口密度20人/km²と過疎的水準で、民間賃貸の新規需要は薄い。実需に裏付けられた格安戸建ての指値取得のみが現実的。 借家の空室率は約18%と需給は比較的引き締まっている。</t>
        </is>
      </c>
      <c r="V301" t="inlineStr">
        <is>
          <t>仙北市（秋田県）：日本海沿岸の津波・海岸侵食、雄物川・米代川の氾濫、豪雪と融雪出水、内陸の地すべりに留意。</t>
        </is>
      </c>
    </row>
    <row r="302">
      <c r="A302" t="inlineStr">
        <is>
          <t>秋田県</t>
        </is>
      </c>
      <c r="B302" t="inlineStr">
        <is>
          <t>小坂町</t>
        </is>
      </c>
      <c r="C302" t="n">
        <v>2206</v>
      </c>
      <c r="D302" t="n">
        <v>4212</v>
      </c>
      <c r="E302" s="6" t="n">
        <v>20.9</v>
      </c>
      <c r="F302" s="7" t="n">
        <v>12.1</v>
      </c>
      <c r="G302" t="n">
        <v>4780</v>
      </c>
      <c r="H302" t="n">
        <v>4212</v>
      </c>
      <c r="I302" t="n">
        <v>3694</v>
      </c>
      <c r="J302" t="n">
        <v>2411</v>
      </c>
      <c r="K302" s="27">
        <f>(H302/D302-1)</f>
        <v/>
      </c>
      <c r="L302" s="27">
        <f>(I302/D302-1)</f>
        <v/>
      </c>
      <c r="M302" s="27">
        <f>(J302/D302-1)</f>
        <v/>
      </c>
      <c r="N302" t="n">
        <v>34.9</v>
      </c>
      <c r="O302" s="28">
        <f>(N302+F302)/2</f>
        <v/>
      </c>
      <c r="P302">
        <f>IF(O302="計算不能","計算不能",IF(O302&gt;=80,5,IF(O302&gt;=60,4,IF(O302&gt;=40,3,IF(O302&gt;=28,2,1)))))</f>
        <v/>
      </c>
      <c r="Q302" t="n">
        <v>452</v>
      </c>
      <c r="R302" t="n">
        <v>0</v>
      </c>
      <c r="S302" s="27">
        <f>R302/Q302</f>
        <v/>
      </c>
      <c r="T302" t="inlineStr">
        <is>
          <t>小坂町は2045年までに人口が約42.8%減と急激な過疎・超高齢化が進行。若年労働世代の流出と自然減が重なり、賃貸事業としての持続性は極めて限定的。</t>
        </is>
      </c>
      <c r="U302" t="inlineStr">
        <is>
          <t>小坂町は人口密度21人/km²と過疎的水準で、民間賃貸の新規需要は薄い。実需に裏付けられた格安戸建ての指値取得のみが現実的。 借家の空室率は約0%と需給は比較的引き締まっている。</t>
        </is>
      </c>
      <c r="V302" t="inlineStr">
        <is>
          <t>小坂町（秋田県）：日本海沿岸の津波・海岸侵食、雄物川・米代川の氾濫、豪雪と融雪出水、内陸の地すべりに留意。</t>
        </is>
      </c>
    </row>
    <row r="303">
      <c r="A303" t="inlineStr">
        <is>
          <t>秋田県</t>
        </is>
      </c>
      <c r="B303" t="inlineStr">
        <is>
          <t>上小阿仁村</t>
        </is>
      </c>
      <c r="C303" t="n">
        <v>1012</v>
      </c>
      <c r="D303" t="n">
        <v>1762</v>
      </c>
      <c r="E303" s="6" t="n">
        <v>6.6</v>
      </c>
      <c r="F303" s="7" t="n">
        <v>10.7</v>
      </c>
      <c r="G303" t="n">
        <v>2063</v>
      </c>
      <c r="H303" t="n">
        <v>1762</v>
      </c>
      <c r="I303" t="n">
        <v>1515</v>
      </c>
      <c r="J303" t="n">
        <v>922</v>
      </c>
      <c r="K303" s="27">
        <f>(H303/D303-1)</f>
        <v/>
      </c>
      <c r="L303" s="27">
        <f>(I303/D303-1)</f>
        <v/>
      </c>
      <c r="M303" s="27">
        <f>(J303/D303-1)</f>
        <v/>
      </c>
      <c r="N303" t="n">
        <v>31</v>
      </c>
      <c r="O303" s="28">
        <f>(N303+F303)/2</f>
        <v/>
      </c>
      <c r="P303">
        <f>IF(O303="計算不能","計算不能",IF(O303&gt;=80,5,IF(O303&gt;=60,4,IF(O303&gt;=40,3,IF(O303&gt;=28,2,1)))))</f>
        <v/>
      </c>
      <c r="Q303" t="n">
        <v>207</v>
      </c>
      <c r="R303" t="n">
        <v>0</v>
      </c>
      <c r="S303" s="27">
        <f>R303/Q303</f>
        <v/>
      </c>
      <c r="T303" t="inlineStr">
        <is>
          <t>上小阿仁村は2045年までに人口が約47.7%減と急激な過疎・超高齢化が進行。若年労働世代の流出と自然減が重なり、賃貸事業としての持続性は極めて限定的。</t>
        </is>
      </c>
      <c r="U303" t="inlineStr">
        <is>
          <t>上小阿仁村は人口密度7人/km²と過疎的水準で、民間賃貸の新規需要は薄い。実需に裏付けられた格安戸建ての指値取得のみが現実的。 借家の空室率は約0%と需給は比較的引き締まっている。</t>
        </is>
      </c>
      <c r="V303" t="inlineStr">
        <is>
          <t>上小阿仁村（秋田県）：日本海沿岸の津波・海岸侵食、雄物川・米代川の氾濫、豪雪と融雪出水、内陸の地すべりに留意。</t>
        </is>
      </c>
    </row>
    <row r="304">
      <c r="A304" t="inlineStr">
        <is>
          <t>秋田県</t>
        </is>
      </c>
      <c r="B304" t="inlineStr">
        <is>
          <t>藤里町</t>
        </is>
      </c>
      <c r="C304" t="n">
        <v>1302</v>
      </c>
      <c r="D304" t="n">
        <v>2489</v>
      </c>
      <c r="E304" s="6" t="n">
        <v>8.9</v>
      </c>
      <c r="F304" s="7" t="n">
        <v>10.9</v>
      </c>
      <c r="G304" t="n">
        <v>2896</v>
      </c>
      <c r="H304" t="n">
        <v>2489</v>
      </c>
      <c r="I304" t="n">
        <v>2141</v>
      </c>
      <c r="J304" t="n">
        <v>1286</v>
      </c>
      <c r="K304" s="27">
        <f>(H304/D304-1)</f>
        <v/>
      </c>
      <c r="L304" s="27">
        <f>(I304/D304-1)</f>
        <v/>
      </c>
      <c r="M304" s="27">
        <f>(J304/D304-1)</f>
        <v/>
      </c>
      <c r="N304" t="n">
        <v>31.4</v>
      </c>
      <c r="O304" s="28">
        <f>(N304+F304)/2</f>
        <v/>
      </c>
      <c r="P304">
        <f>IF(O304="計算不能","計算不能",IF(O304&gt;=80,5,IF(O304&gt;=60,4,IF(O304&gt;=40,3,IF(O304&gt;=28,2,1)))))</f>
        <v/>
      </c>
      <c r="Q304" t="n">
        <v>267</v>
      </c>
      <c r="R304" t="n">
        <v>0</v>
      </c>
      <c r="S304" s="27">
        <f>R304/Q304</f>
        <v/>
      </c>
      <c r="T304" t="inlineStr">
        <is>
          <t>藤里町は2045年までに人口が約48.3%減と急激な過疎・超高齢化が進行。若年労働世代の流出と自然減が重なり、賃貸事業としての持続性は極めて限定的。</t>
        </is>
      </c>
      <c r="U304" t="inlineStr">
        <is>
          <t>藤里町は人口密度9人/km²と過疎的水準で、民間賃貸の新規需要は薄い。実需に裏付けられた格安戸建ての指値取得のみが現実的。 借家の空室率は約0%と需給は比較的引き締まっている。</t>
        </is>
      </c>
      <c r="V304" t="inlineStr">
        <is>
          <t>藤里町（秋田県）：日本海沿岸の津波・海岸侵食、雄物川・米代川の氾濫、豪雪と融雪出水、内陸の地すべりに留意。</t>
        </is>
      </c>
    </row>
    <row r="305">
      <c r="A305" t="inlineStr">
        <is>
          <t>秋田県</t>
        </is>
      </c>
      <c r="B305" t="inlineStr">
        <is>
          <t>三種町</t>
        </is>
      </c>
      <c r="C305" t="n">
        <v>5590</v>
      </c>
      <c r="D305" t="n">
        <v>13386</v>
      </c>
      <c r="E305" s="6" t="n">
        <v>53</v>
      </c>
      <c r="F305" s="7" t="n">
        <v>15.3</v>
      </c>
      <c r="G305" t="n">
        <v>15254</v>
      </c>
      <c r="H305" t="n">
        <v>13386</v>
      </c>
      <c r="I305" t="n">
        <v>11768</v>
      </c>
      <c r="J305" t="n">
        <v>7499</v>
      </c>
      <c r="K305" s="27">
        <f>(H305/D305-1)</f>
        <v/>
      </c>
      <c r="L305" s="27">
        <f>(I305/D305-1)</f>
        <v/>
      </c>
      <c r="M305" s="27">
        <f>(J305/D305-1)</f>
        <v/>
      </c>
      <c r="N305" t="n">
        <v>34.4</v>
      </c>
      <c r="O305" s="28">
        <f>(N305+F305)/2</f>
        <v/>
      </c>
      <c r="P305">
        <f>IF(O305="計算不能","計算不能",IF(O305&gt;=80,5,IF(O305&gt;=60,4,IF(O305&gt;=40,3,IF(O305&gt;=28,2,1)))))</f>
        <v/>
      </c>
      <c r="Q305" t="n">
        <v>1147</v>
      </c>
      <c r="R305" t="n">
        <v>130</v>
      </c>
      <c r="S305" s="27">
        <f>R305/Q305</f>
        <v/>
      </c>
      <c r="T305" t="inlineStr">
        <is>
          <t>三種町は2045年までに人口が約44.0%減と急激な過疎・超高齢化が進行。若年労働世代の流出と自然減が重なり、賃貸事業としての持続性は極めて限定的。</t>
        </is>
      </c>
      <c r="U305" t="inlineStr">
        <is>
          <t>三種町は人口密度53人/km²と過疎的水準で、民間賃貸の新規需要は薄い。実需に裏付けられた格安戸建ての指値取得のみが現実的。 借家の空室率は約11%と需給は比較的引き締まっている。</t>
        </is>
      </c>
      <c r="V305" t="inlineStr">
        <is>
          <t>三種町（秋田県）：日本海沿岸の津波・海岸侵食、雄物川・米代川の氾濫、豪雪と融雪出水、内陸の地すべりに留意。</t>
        </is>
      </c>
    </row>
    <row r="306">
      <c r="A306" t="inlineStr">
        <is>
          <t>秋田県</t>
        </is>
      </c>
      <c r="B306" t="inlineStr">
        <is>
          <t>八峰町</t>
        </is>
      </c>
      <c r="C306" t="n">
        <v>2925</v>
      </c>
      <c r="D306" t="n">
        <v>5824</v>
      </c>
      <c r="E306" s="6" t="n">
        <v>24.1</v>
      </c>
      <c r="F306" s="7" t="n">
        <v>12.4</v>
      </c>
      <c r="G306" t="n">
        <v>6577</v>
      </c>
      <c r="H306" t="n">
        <v>5824</v>
      </c>
      <c r="I306" t="n">
        <v>5152</v>
      </c>
      <c r="J306" t="n">
        <v>3352</v>
      </c>
      <c r="K306" s="27">
        <f>(H306/D306-1)</f>
        <v/>
      </c>
      <c r="L306" s="27">
        <f>(I306/D306-1)</f>
        <v/>
      </c>
      <c r="M306" s="27">
        <f>(J306/D306-1)</f>
        <v/>
      </c>
      <c r="N306" t="n">
        <v>35.6</v>
      </c>
      <c r="O306" s="28">
        <f>(N306+F306)/2</f>
        <v/>
      </c>
      <c r="P306">
        <f>IF(O306="計算不能","計算不能",IF(O306&gt;=80,5,IF(O306&gt;=60,4,IF(O306&gt;=40,3,IF(O306&gt;=28,2,1)))))</f>
        <v/>
      </c>
      <c r="Q306" t="n">
        <v>600</v>
      </c>
      <c r="R306" t="n">
        <v>0</v>
      </c>
      <c r="S306" s="27">
        <f>R306/Q306</f>
        <v/>
      </c>
      <c r="T306" t="inlineStr">
        <is>
          <t>八峰町は2045年までに人口が約42.4%減と急激な過疎・超高齢化が進行。若年労働世代の流出と自然減が重なり、賃貸事業としての持続性は極めて限定的。</t>
        </is>
      </c>
      <c r="U306" t="inlineStr">
        <is>
          <t>八峰町は人口密度24人/km²と過疎的水準で、民間賃貸の新規需要は薄い。実需に裏付けられた格安戸建ての指値取得のみが現実的。 借家の空室率は約0%と需給は比較的引き締まっている。</t>
        </is>
      </c>
      <c r="V306" t="inlineStr">
        <is>
          <t>八峰町（秋田県）：日本海沿岸の津波・海岸侵食、雄物川・米代川の氾濫、豪雪と融雪出水、内陸の地すべりに留意。</t>
        </is>
      </c>
    </row>
    <row r="307">
      <c r="A307" t="inlineStr">
        <is>
          <t>秋田県</t>
        </is>
      </c>
      <c r="B307" t="inlineStr">
        <is>
          <t>五城目町</t>
        </is>
      </c>
      <c r="C307" t="n">
        <v>3718</v>
      </c>
      <c r="D307" t="n">
        <v>7580</v>
      </c>
      <c r="E307" s="6" t="n">
        <v>33.8</v>
      </c>
      <c r="F307" s="7" t="n">
        <v>13.4</v>
      </c>
      <c r="G307" t="n">
        <v>8538</v>
      </c>
      <c r="H307" t="n">
        <v>7580</v>
      </c>
      <c r="I307" t="n">
        <v>6660</v>
      </c>
      <c r="J307" t="n">
        <v>4230</v>
      </c>
      <c r="K307" s="27">
        <f>(H307/D307-1)</f>
        <v/>
      </c>
      <c r="L307" s="27">
        <f>(I307/D307-1)</f>
        <v/>
      </c>
      <c r="M307" s="27">
        <f>(J307/D307-1)</f>
        <v/>
      </c>
      <c r="N307" t="n">
        <v>35.2</v>
      </c>
      <c r="O307" s="28">
        <f>(N307+F307)/2</f>
        <v/>
      </c>
      <c r="P307">
        <f>IF(O307="計算不能","計算不能",IF(O307&gt;=80,5,IF(O307&gt;=60,4,IF(O307&gt;=40,3,IF(O307&gt;=28,2,1)))))</f>
        <v/>
      </c>
      <c r="Q307" t="n">
        <v>763</v>
      </c>
      <c r="R307" t="n">
        <v>0</v>
      </c>
      <c r="S307" s="27">
        <f>R307/Q307</f>
        <v/>
      </c>
      <c r="T307" t="inlineStr">
        <is>
          <t>五城目町は2045年までに人口が約44.2%減と急激な過疎・超高齢化が進行。若年労働世代の流出と自然減が重なり、賃貸事業としての持続性は極めて限定的。</t>
        </is>
      </c>
      <c r="U307" t="inlineStr">
        <is>
          <t>五城目町は人口密度34人/km²と過疎的水準で、民間賃貸の新規需要は薄い。実需に裏付けられた格安戸建ての指値取得のみが現実的。 借家の空室率は約0%と需給は比較的引き締まっている。</t>
        </is>
      </c>
      <c r="V307" t="inlineStr">
        <is>
          <t>五城目町（秋田県）：日本海沿岸の津波・海岸侵食、雄物川・米代川の氾濫、豪雪と融雪出水、内陸の地すべりに留意。</t>
        </is>
      </c>
    </row>
    <row r="308">
      <c r="A308" t="inlineStr">
        <is>
          <t>秋田県</t>
        </is>
      </c>
      <c r="B308" t="inlineStr">
        <is>
          <t>八郎潟町</t>
        </is>
      </c>
      <c r="C308" t="n">
        <v>2409</v>
      </c>
      <c r="D308" t="n">
        <v>5025</v>
      </c>
      <c r="E308" s="6" t="n">
        <v>291.4</v>
      </c>
      <c r="F308" s="7" t="n">
        <v>34.6</v>
      </c>
      <c r="G308" t="n">
        <v>5583</v>
      </c>
      <c r="H308" t="n">
        <v>5025</v>
      </c>
      <c r="I308" t="n">
        <v>4474</v>
      </c>
      <c r="J308" t="n">
        <v>2992</v>
      </c>
      <c r="K308" s="27">
        <f>(H308/D308-1)</f>
        <v/>
      </c>
      <c r="L308" s="27">
        <f>(I308/D308-1)</f>
        <v/>
      </c>
      <c r="M308" s="27">
        <f>(J308/D308-1)</f>
        <v/>
      </c>
      <c r="N308" t="n">
        <v>37.4</v>
      </c>
      <c r="O308" s="28">
        <f>(N308+F308)/2</f>
        <v/>
      </c>
      <c r="P308">
        <f>IF(O308="計算不能","計算不能",IF(O308&gt;=80,5,IF(O308&gt;=60,4,IF(O308&gt;=40,3,IF(O308&gt;=28,2,1)))))</f>
        <v/>
      </c>
      <c r="Q308" t="n">
        <v>494</v>
      </c>
      <c r="R308" t="n">
        <v>0</v>
      </c>
      <c r="S308" s="27">
        <f>R308/Q308</f>
        <v/>
      </c>
      <c r="T308" t="inlineStr">
        <is>
          <t>八郎潟町は2045年までに人口が約40.5%減と急激な過疎・超高齢化が進行。若年労働世代の流出と自然減が重なり、賃貸事業としての持続性は極めて限定的。</t>
        </is>
      </c>
      <c r="U308" t="inlineStr">
        <is>
          <t>八郎潟町は人口密度291人/km²と低密度で、賃貸需要は限定的。持ち家比率が高く、駐車場完備の戸建て賃貸が有利。 借家の空室率は約0%と需給は比較的引き締まっている。</t>
        </is>
      </c>
      <c r="V308" t="inlineStr">
        <is>
          <t>八郎潟町（秋田県）：日本海沿岸の津波・海岸侵食、雄物川・米代川の氾濫、豪雪と融雪出水、内陸の地すべりに留意。</t>
        </is>
      </c>
    </row>
    <row r="309">
      <c r="A309" t="inlineStr">
        <is>
          <t>秋田県</t>
        </is>
      </c>
      <c r="B309" t="inlineStr">
        <is>
          <t>井川町</t>
        </is>
      </c>
      <c r="C309" t="n">
        <v>1680</v>
      </c>
      <c r="D309" t="n">
        <v>4108</v>
      </c>
      <c r="E309" s="6" t="n">
        <v>83.7</v>
      </c>
      <c r="F309" s="7" t="n">
        <v>18.4</v>
      </c>
      <c r="G309" t="n">
        <v>4566</v>
      </c>
      <c r="H309" t="n">
        <v>4108</v>
      </c>
      <c r="I309" t="n">
        <v>3674</v>
      </c>
      <c r="J309" t="n">
        <v>2501</v>
      </c>
      <c r="K309" s="27">
        <f>(H309/D309-1)</f>
        <v/>
      </c>
      <c r="L309" s="27">
        <f>(I309/D309-1)</f>
        <v/>
      </c>
      <c r="M309" s="27">
        <f>(J309/D309-1)</f>
        <v/>
      </c>
      <c r="N309" t="n">
        <v>37.8</v>
      </c>
      <c r="O309" s="28">
        <f>(N309+F309)/2</f>
        <v/>
      </c>
      <c r="P309">
        <f>IF(O309="計算不能","計算不能",IF(O309&gt;=80,5,IF(O309&gt;=60,4,IF(O309&gt;=40,3,IF(O309&gt;=28,2,1)))))</f>
        <v/>
      </c>
      <c r="Q309" t="n">
        <v>344</v>
      </c>
      <c r="R309" t="n">
        <v>0</v>
      </c>
      <c r="S309" s="27">
        <f>R309/Q309</f>
        <v/>
      </c>
      <c r="T309" t="inlineStr">
        <is>
          <t>井川町は2045年までに人口が約39.1%減と急激な過疎・超高齢化が進行。若年労働世代の流出と自然減が重なり、賃貸事業としての持続性は極めて限定的。</t>
        </is>
      </c>
      <c r="U309" t="inlineStr">
        <is>
          <t>井川町は人口密度84人/km²と過疎的水準で、民間賃貸の新規需要は薄い。実需に裏付けられた格安戸建ての指値取得のみが現実的。 借家の空室率は約0%と需給は比較的引き締まっている。</t>
        </is>
      </c>
      <c r="V309" t="inlineStr">
        <is>
          <t>井川町（秋田県）：日本海沿岸の津波・海岸侵食、雄物川・米代川の氾濫、豪雪と融雪出水、内陸の地すべりに留意。</t>
        </is>
      </c>
    </row>
    <row r="310">
      <c r="A310" t="inlineStr">
        <is>
          <t>秋田県</t>
        </is>
      </c>
      <c r="B310" t="inlineStr">
        <is>
          <t>大潟村</t>
        </is>
      </c>
      <c r="C310" t="n">
        <v>1155</v>
      </c>
      <c r="D310" t="n">
        <v>2794</v>
      </c>
      <c r="E310" s="6" t="n">
        <v>16.6</v>
      </c>
      <c r="F310" s="7" t="n">
        <v>11.7</v>
      </c>
      <c r="G310" t="n">
        <v>3011</v>
      </c>
      <c r="H310" t="n">
        <v>2794</v>
      </c>
      <c r="I310" t="n">
        <v>2555</v>
      </c>
      <c r="J310" t="n">
        <v>1944</v>
      </c>
      <c r="K310" s="27">
        <f>(H310/D310-1)</f>
        <v/>
      </c>
      <c r="L310" s="27">
        <f>(I310/D310-1)</f>
        <v/>
      </c>
      <c r="M310" s="27">
        <f>(J310/D310-1)</f>
        <v/>
      </c>
      <c r="N310" t="n">
        <v>43</v>
      </c>
      <c r="O310" s="28">
        <f>(N310+F310)/2</f>
        <v/>
      </c>
      <c r="P310">
        <f>IF(O310="計算不能","計算不能",IF(O310&gt;=80,5,IF(O310&gt;=60,4,IF(O310&gt;=40,3,IF(O310&gt;=28,2,1)))))</f>
        <v/>
      </c>
      <c r="Q310" t="n">
        <v>237</v>
      </c>
      <c r="R310" t="n">
        <v>0</v>
      </c>
      <c r="S310" s="27">
        <f>R310/Q310</f>
        <v/>
      </c>
      <c r="T310" t="inlineStr">
        <is>
          <t>大潟村は2045年までに人口が約30.4%減と急激な過疎・超高齢化が進行。若年労働世代の流出と自然減が重なり、賃貸事業としての持続性は極めて限定的。</t>
        </is>
      </c>
      <c r="U310" t="inlineStr">
        <is>
          <t>大潟村は人口密度17人/km²と過疎的水準で、民間賃貸の新規需要は薄い。実需に裏付けられた格安戸建ての指値取得のみが現実的。 借家の空室率は約0%と需給は比較的引き締まっている。</t>
        </is>
      </c>
      <c r="V310" t="inlineStr">
        <is>
          <t>大潟村（秋田県）：日本海沿岸の津波・海岸侵食、雄物川・米代川の氾濫、豪雪と融雪出水、内陸の地すべりに留意。</t>
        </is>
      </c>
    </row>
    <row r="311">
      <c r="A311" t="inlineStr">
        <is>
          <t>秋田県</t>
        </is>
      </c>
      <c r="B311" t="inlineStr">
        <is>
          <t>美郷町</t>
        </is>
      </c>
      <c r="C311" t="n">
        <v>4610</v>
      </c>
      <c r="D311" t="n">
        <v>16598</v>
      </c>
      <c r="E311" s="6" t="n">
        <v>9.1</v>
      </c>
      <c r="F311" s="7" t="n">
        <v>10.9</v>
      </c>
      <c r="G311" t="n">
        <v>18613</v>
      </c>
      <c r="H311" t="n">
        <v>16598</v>
      </c>
      <c r="I311" t="n">
        <v>15027</v>
      </c>
      <c r="J311" t="n">
        <v>10679</v>
      </c>
      <c r="K311" s="27">
        <f>(H311/D311-1)</f>
        <v/>
      </c>
      <c r="L311" s="27">
        <f>(I311/D311-1)</f>
        <v/>
      </c>
      <c r="M311" s="27">
        <f>(J311/D311-1)</f>
        <v/>
      </c>
      <c r="N311" t="n">
        <v>38.3</v>
      </c>
      <c r="O311" s="28">
        <f>(N311+F311)/2</f>
        <v/>
      </c>
      <c r="P311">
        <f>IF(O311="計算不能","計算不能",IF(O311&gt;=80,5,IF(O311&gt;=60,4,IF(O311&gt;=40,3,IF(O311&gt;=28,2,1)))))</f>
        <v/>
      </c>
      <c r="Q311" t="n">
        <v>946</v>
      </c>
      <c r="R311" t="n">
        <v>100</v>
      </c>
      <c r="S311" s="27">
        <f>R311/Q311</f>
        <v/>
      </c>
      <c r="T311" t="inlineStr">
        <is>
          <t>美郷町は2045年までに人口が約35.7%減と急激な過疎・超高齢化が進行。若年労働世代の流出と自然減が重なり、賃貸事業としての持続性は極めて限定的。</t>
        </is>
      </c>
      <c r="U311" t="inlineStr">
        <is>
          <t>美郷町は人口密度9人/km²と過疎的水準で、民間賃貸の新規需要は薄い。実需に裏付けられた格安戸建ての指値取得のみが現実的。 借家の空室率は約11%と需給は比較的引き締まっている。</t>
        </is>
      </c>
      <c r="V311" t="inlineStr">
        <is>
          <t>美郷町（秋田県）：日本海沿岸の津波・海岸侵食、雄物川・米代川の氾濫、豪雪と融雪出水、内陸の地すべりに留意。</t>
        </is>
      </c>
    </row>
    <row r="312">
      <c r="A312" t="inlineStr">
        <is>
          <t>秋田県</t>
        </is>
      </c>
      <c r="B312" t="inlineStr">
        <is>
          <t>羽後町</t>
        </is>
      </c>
      <c r="C312" t="n">
        <v>5056</v>
      </c>
      <c r="D312" t="n">
        <v>12484</v>
      </c>
      <c r="E312" s="6" t="n">
        <v>53.2</v>
      </c>
      <c r="F312" s="7" t="n">
        <v>15.3</v>
      </c>
      <c r="G312" t="n">
        <v>13825</v>
      </c>
      <c r="H312" t="n">
        <v>12484</v>
      </c>
      <c r="I312" t="n">
        <v>11226</v>
      </c>
      <c r="J312" t="n">
        <v>7767</v>
      </c>
      <c r="K312" s="27">
        <f>(H312/D312-1)</f>
        <v/>
      </c>
      <c r="L312" s="27">
        <f>(I312/D312-1)</f>
        <v/>
      </c>
      <c r="M312" s="27">
        <f>(J312/D312-1)</f>
        <v/>
      </c>
      <c r="N312" t="n">
        <v>38.6</v>
      </c>
      <c r="O312" s="28">
        <f>(N312+F312)/2</f>
        <v/>
      </c>
      <c r="P312">
        <f>IF(O312="計算不能","計算不能",IF(O312&gt;=80,5,IF(O312&gt;=60,4,IF(O312&gt;=40,3,IF(O312&gt;=28,2,1)))))</f>
        <v/>
      </c>
      <c r="Q312" t="n">
        <v>1037</v>
      </c>
      <c r="R312" t="n">
        <v>0</v>
      </c>
      <c r="S312" s="27">
        <f>R312/Q312</f>
        <v/>
      </c>
      <c r="T312" t="inlineStr">
        <is>
          <t>羽後町は2045年までに人口が約37.8%減と急激な過疎・超高齢化が進行。若年労働世代の流出と自然減が重なり、賃貸事業としての持続性は極めて限定的。</t>
        </is>
      </c>
      <c r="U312" t="inlineStr">
        <is>
          <t>羽後町は人口密度53人/km²と過疎的水準で、民間賃貸の新規需要は薄い。実需に裏付けられた格安戸建ての指値取得のみが現実的。 借家の空室率は約0%と需給は比較的引き締まっている。</t>
        </is>
      </c>
      <c r="V312" t="inlineStr">
        <is>
          <t>羽後町（秋田県）：日本海沿岸の津波・海岸侵食、雄物川・米代川の氾濫、豪雪と融雪出水、内陸の地すべりに留意。</t>
        </is>
      </c>
    </row>
    <row r="313">
      <c r="A313" t="inlineStr">
        <is>
          <t>秋田県</t>
        </is>
      </c>
      <c r="B313" t="inlineStr">
        <is>
          <t>東成瀬村</t>
        </is>
      </c>
      <c r="C313" t="n">
        <v>1029</v>
      </c>
      <c r="D313" t="n">
        <v>2524</v>
      </c>
      <c r="E313" s="6" t="n">
        <v>11.3</v>
      </c>
      <c r="F313" s="7" t="n">
        <v>11.1</v>
      </c>
      <c r="G313" t="n">
        <v>2704</v>
      </c>
      <c r="H313" t="n">
        <v>2524</v>
      </c>
      <c r="I313" t="n">
        <v>2271</v>
      </c>
      <c r="J313" t="n">
        <v>1618</v>
      </c>
      <c r="K313" s="27">
        <f>(H313/D313-1)</f>
        <v/>
      </c>
      <c r="L313" s="27">
        <f>(I313/D313-1)</f>
        <v/>
      </c>
      <c r="M313" s="27">
        <f>(J313/D313-1)</f>
        <v/>
      </c>
      <c r="N313" t="n">
        <v>41.7</v>
      </c>
      <c r="O313" s="28">
        <f>(N313+F313)/2</f>
        <v/>
      </c>
      <c r="P313">
        <f>IF(O313="計算不能","計算不能",IF(O313&gt;=80,5,IF(O313&gt;=60,4,IF(O313&gt;=40,3,IF(O313&gt;=28,2,1)))))</f>
        <v/>
      </c>
      <c r="Q313" t="n">
        <v>211</v>
      </c>
      <c r="R313" t="n">
        <v>0</v>
      </c>
      <c r="S313" s="27">
        <f>R313/Q313</f>
        <v/>
      </c>
      <c r="T313" t="inlineStr">
        <is>
          <t>東成瀬村は2045年までに人口が約35.9%減と急激な過疎・超高齢化が進行。若年労働世代の流出と自然減が重なり、賃貸事業としての持続性は極めて限定的。</t>
        </is>
      </c>
      <c r="U313" t="inlineStr">
        <is>
          <t>東成瀬村は人口密度11人/km²と過疎的水準で、民間賃貸の新規需要は薄い。実需に裏付けられた格安戸建ての指値取得のみが現実的。 借家の空室率は約0%と需給は比較的引き締まっている。</t>
        </is>
      </c>
      <c r="V313" t="inlineStr">
        <is>
          <t>東成瀬村（秋田県）：日本海沿岸の津波・海岸侵食、雄物川・米代川の氾濫、豪雪と融雪出水、内陸の地すべりに留意。</t>
        </is>
      </c>
    </row>
    <row r="314">
      <c r="A314" t="inlineStr">
        <is>
          <t>山形県</t>
        </is>
      </c>
      <c r="B314" t="inlineStr">
        <is>
          <t>山形市</t>
        </is>
      </c>
      <c r="C314" t="n">
        <v>102280</v>
      </c>
      <c r="D314" t="n">
        <v>241236</v>
      </c>
      <c r="E314" s="6" t="n">
        <v>618.1</v>
      </c>
      <c r="F314" s="7" t="n">
        <v>47.4</v>
      </c>
      <c r="G314" t="n">
        <v>247590</v>
      </c>
      <c r="H314" t="n">
        <v>241236</v>
      </c>
      <c r="I314" t="n">
        <v>233788</v>
      </c>
      <c r="J314" t="n">
        <v>208453</v>
      </c>
      <c r="K314" s="27">
        <f>(H314/D314-1)</f>
        <v/>
      </c>
      <c r="L314" s="27">
        <f>(I314/D314-1)</f>
        <v/>
      </c>
      <c r="M314" s="27">
        <f>(J314/D314-1)</f>
        <v/>
      </c>
      <c r="N314" t="n">
        <v>61.1</v>
      </c>
      <c r="O314" s="28">
        <f>(N314+F314)/2</f>
        <v/>
      </c>
      <c r="P314">
        <f>IF(O314="計算不能","計算不能",IF(O314&gt;=80,5,IF(O314&gt;=60,4,IF(O314&gt;=40,3,IF(O314&gt;=28,2,1)))))</f>
        <v/>
      </c>
      <c r="Q314" t="n">
        <v>22774</v>
      </c>
      <c r="R314" t="n">
        <v>8750</v>
      </c>
      <c r="S314" s="27">
        <f>R314/Q314</f>
        <v/>
      </c>
      <c r="T314" t="inlineStr">
        <is>
          <t>山形市は2045年までに人口が約13.6%減と緩やかな減少局面。若年層の都市部流出と高齢化が進むが、当面の賃貸稼働は一定程度維持される見通し。</t>
        </is>
      </c>
      <c r="U314" t="inlineStr">
        <is>
          <t>山形市は人口密度618人/km²で、主要道路沿いや中心市街地に一定の賃貸需要が局在。立地選別が稼働を左右する。 借家の空室率は約38%と供給過多気味で、空室長期化リスクに要警戒。</t>
        </is>
      </c>
      <c r="V314" t="inlineStr">
        <is>
          <t>山形市（山形県）：最上川水系の氾濫が頻発。豪雪・なだれ、内陸の土砂災害、庄内沿岸の津波に注意。</t>
        </is>
      </c>
    </row>
    <row r="315">
      <c r="A315" t="inlineStr">
        <is>
          <t>山形県</t>
        </is>
      </c>
      <c r="B315" t="inlineStr">
        <is>
          <t>米沢市</t>
        </is>
      </c>
      <c r="C315" t="n">
        <v>32320</v>
      </c>
      <c r="D315" t="n">
        <v>76691</v>
      </c>
      <c r="E315" s="6" t="n">
        <v>138.8</v>
      </c>
      <c r="F315" s="7" t="n">
        <v>23.9</v>
      </c>
      <c r="G315" t="n">
        <v>81252</v>
      </c>
      <c r="H315" t="n">
        <v>76691</v>
      </c>
      <c r="I315" t="n">
        <v>71907</v>
      </c>
      <c r="J315" t="n">
        <v>57784</v>
      </c>
      <c r="K315" s="27">
        <f>(H315/D315-1)</f>
        <v/>
      </c>
      <c r="L315" s="27">
        <f>(I315/D315-1)</f>
        <v/>
      </c>
      <c r="M315" s="27">
        <f>(J315/D315-1)</f>
        <v/>
      </c>
      <c r="N315" t="n">
        <v>48</v>
      </c>
      <c r="O315" s="28">
        <f>(N315+F315)/2</f>
        <v/>
      </c>
      <c r="P315">
        <f>IF(O315="計算不能","計算不能",IF(O315&gt;=80,5,IF(O315&gt;=60,4,IF(O315&gt;=40,3,IF(O315&gt;=28,2,1)))))</f>
        <v/>
      </c>
      <c r="Q315" t="n">
        <v>7196</v>
      </c>
      <c r="R315" t="n">
        <v>3500</v>
      </c>
      <c r="S315" s="27">
        <f>R315/Q315</f>
        <v/>
      </c>
      <c r="T315" t="inlineStr">
        <is>
          <t>米沢市は2045年までに人口が約24.7%減と明確な減少トレンド。高齢化の進行と世帯数の縮小により、中長期では賃貸需要の構造的縮小に警戒が必要。</t>
        </is>
      </c>
      <c r="U315" t="inlineStr">
        <is>
          <t>米沢市は人口密度139人/km²と過疎的水準で、民間賃貸の新規需要は薄い。実需に裏付けられた格安戸建ての指値取得のみが現実的。 借家の空室率は約49%と供給過多気味で、空室長期化リスクに要警戒。</t>
        </is>
      </c>
      <c r="V315" t="inlineStr">
        <is>
          <t>米沢市（山形県）：最上川水系の氾濫が頻発。豪雪・なだれ、内陸の土砂災害、庄内沿岸の津波に注意。</t>
        </is>
      </c>
    </row>
    <row r="316">
      <c r="A316" t="inlineStr">
        <is>
          <t>山形県</t>
        </is>
      </c>
      <c r="B316" t="inlineStr">
        <is>
          <t>鶴岡市</t>
        </is>
      </c>
      <c r="C316" t="n">
        <v>43810</v>
      </c>
      <c r="D316" t="n">
        <v>114566</v>
      </c>
      <c r="E316" s="6" t="n">
        <v>86.3</v>
      </c>
      <c r="F316" s="7" t="n">
        <v>18.6</v>
      </c>
      <c r="G316" t="n">
        <v>122347</v>
      </c>
      <c r="H316" t="n">
        <v>114566</v>
      </c>
      <c r="I316" t="n">
        <v>106703</v>
      </c>
      <c r="J316" t="n">
        <v>84250</v>
      </c>
      <c r="K316" s="27">
        <f>(H316/D316-1)</f>
        <v/>
      </c>
      <c r="L316" s="27">
        <f>(I316/D316-1)</f>
        <v/>
      </c>
      <c r="M316" s="27">
        <f>(J316/D316-1)</f>
        <v/>
      </c>
      <c r="N316" t="n">
        <v>45.4</v>
      </c>
      <c r="O316" s="28">
        <f>(N316+F316)/2</f>
        <v/>
      </c>
      <c r="P316">
        <f>IF(O316="計算不能","計算不能",IF(O316&gt;=80,5,IF(O316&gt;=60,4,IF(O316&gt;=40,3,IF(O316&gt;=28,2,1)))))</f>
        <v/>
      </c>
      <c r="Q316" t="n">
        <v>9755</v>
      </c>
      <c r="R316" t="n">
        <v>1500</v>
      </c>
      <c r="S316" s="27">
        <f>R316/Q316</f>
        <v/>
      </c>
      <c r="T316" t="inlineStr">
        <is>
          <t>鶴岡市は2045年までに人口が約26.5%減と明確な減少トレンド。高齢化の進行と世帯数の縮小により、中長期では賃貸需要の構造的縮小に警戒が必要。</t>
        </is>
      </c>
      <c r="U316" t="inlineStr">
        <is>
          <t>鶴岡市は人口密度86人/km²と過疎的水準で、民間賃貸の新規需要は薄い。実需に裏付けられた格安戸建ての指値取得のみが現実的。 借家の空室率は約15%と需給は比較的引き締まっている。</t>
        </is>
      </c>
      <c r="V316" t="inlineStr">
        <is>
          <t>鶴岡市（山形県）：最上川水系の氾濫が頻発。豪雪・なだれ、内陸の土砂災害、庄内沿岸の津波に注意。</t>
        </is>
      </c>
    </row>
    <row r="317">
      <c r="A317" t="inlineStr">
        <is>
          <t>山形県</t>
        </is>
      </c>
      <c r="B317" t="inlineStr">
        <is>
          <t>酒田市</t>
        </is>
      </c>
      <c r="C317" t="n">
        <v>38590</v>
      </c>
      <c r="D317" t="n">
        <v>93675</v>
      </c>
      <c r="E317" s="6" t="n">
        <v>152.8</v>
      </c>
      <c r="F317" s="7" t="n">
        <v>25.3</v>
      </c>
      <c r="G317" t="n">
        <v>100273</v>
      </c>
      <c r="H317" t="n">
        <v>93675</v>
      </c>
      <c r="I317" t="n">
        <v>86969</v>
      </c>
      <c r="J317" t="n">
        <v>67200</v>
      </c>
      <c r="K317" s="27">
        <f>(H317/D317-1)</f>
        <v/>
      </c>
      <c r="L317" s="27">
        <f>(I317/D317-1)</f>
        <v/>
      </c>
      <c r="M317" s="27">
        <f>(J317/D317-1)</f>
        <v/>
      </c>
      <c r="N317" t="n">
        <v>44.5</v>
      </c>
      <c r="O317" s="28">
        <f>(N317+F317)/2</f>
        <v/>
      </c>
      <c r="P317">
        <f>IF(O317="計算不能","計算不能",IF(O317&gt;=80,5,IF(O317&gt;=60,4,IF(O317&gt;=40,3,IF(O317&gt;=28,2,1)))))</f>
        <v/>
      </c>
      <c r="Q317" t="n">
        <v>8592</v>
      </c>
      <c r="R317" t="n">
        <v>1140</v>
      </c>
      <c r="S317" s="27">
        <f>R317/Q317</f>
        <v/>
      </c>
      <c r="T317" t="inlineStr">
        <is>
          <t>酒田市は2045年までに人口が約28.3%減と明確な減少トレンド。高齢化の進行と世帯数の縮小により、中長期では賃貸需要の構造的縮小に警戒が必要。</t>
        </is>
      </c>
      <c r="U317" t="inlineStr">
        <is>
          <t>酒田市は人口密度153人/km²と過疎的水準で、民間賃貸の新規需要は薄い。実需に裏付けられた格安戸建ての指値取得のみが現実的。 借家の空室率は約13%と需給は比較的引き締まっている。</t>
        </is>
      </c>
      <c r="V317" t="inlineStr">
        <is>
          <t>酒田市（山形県）：最上川水系の氾濫が頻発。豪雪・なだれ、内陸の土砂災害、庄内沿岸の津波に注意。</t>
        </is>
      </c>
    </row>
    <row r="318">
      <c r="A318" t="inlineStr">
        <is>
          <t>山形県</t>
        </is>
      </c>
      <c r="B318" t="inlineStr">
        <is>
          <t>新庄市</t>
        </is>
      </c>
      <c r="C318" t="n">
        <v>12740</v>
      </c>
      <c r="D318" t="n">
        <v>31065</v>
      </c>
      <c r="E318" s="6" t="n">
        <v>142</v>
      </c>
      <c r="F318" s="7" t="n">
        <v>24.2</v>
      </c>
      <c r="G318" t="n">
        <v>34432</v>
      </c>
      <c r="H318" t="n">
        <v>31065</v>
      </c>
      <c r="I318" t="n">
        <v>28669</v>
      </c>
      <c r="J318" t="n">
        <v>21870</v>
      </c>
      <c r="K318" s="27">
        <f>(H318/D318-1)</f>
        <v/>
      </c>
      <c r="L318" s="27">
        <f>(I318/D318-1)</f>
        <v/>
      </c>
      <c r="M318" s="27">
        <f>(J318/D318-1)</f>
        <v/>
      </c>
      <c r="N318" t="n">
        <v>41.1</v>
      </c>
      <c r="O318" s="28">
        <f>(N318+F318)/2</f>
        <v/>
      </c>
      <c r="P318">
        <f>IF(O318="計算不能","計算不能",IF(O318&gt;=80,5,IF(O318&gt;=60,4,IF(O318&gt;=40,3,IF(O318&gt;=28,2,1)))))</f>
        <v/>
      </c>
      <c r="Q318" t="n">
        <v>2836</v>
      </c>
      <c r="R318" t="n">
        <v>950</v>
      </c>
      <c r="S318" s="27">
        <f>R318/Q318</f>
        <v/>
      </c>
      <c r="T318" t="inlineStr">
        <is>
          <t>新庄市は2045年までに人口が約29.6%減と明確な減少トレンド。高齢化の進行と世帯数の縮小により、中長期では賃貸需要の構造的縮小に警戒が必要。</t>
        </is>
      </c>
      <c r="U318" t="inlineStr">
        <is>
          <t>新庄市は人口密度142人/km²と過疎的水準で、民間賃貸の新規需要は薄い。実需に裏付けられた格安戸建ての指値取得のみが現実的。 借家の空室率は約33%と供給過多気味で、空室長期化リスクに要警戒。</t>
        </is>
      </c>
      <c r="V318" t="inlineStr">
        <is>
          <t>新庄市（山形県）：最上川水系の氾濫が頻発。豪雪・なだれ、内陸の土砂災害、庄内沿岸の津波に注意。</t>
        </is>
      </c>
    </row>
    <row r="319">
      <c r="A319" t="inlineStr">
        <is>
          <t>山形県</t>
        </is>
      </c>
      <c r="B319" t="inlineStr">
        <is>
          <t>寒河江市</t>
        </is>
      </c>
      <c r="C319" t="n">
        <v>13980</v>
      </c>
      <c r="D319" t="n">
        <v>38422</v>
      </c>
      <c r="E319" s="6" t="n">
        <v>274.6</v>
      </c>
      <c r="F319" s="7" t="n">
        <v>33.7</v>
      </c>
      <c r="G319" t="n">
        <v>40189</v>
      </c>
      <c r="H319" t="n">
        <v>38422</v>
      </c>
      <c r="I319" t="n">
        <v>36572</v>
      </c>
      <c r="J319" t="n">
        <v>30979</v>
      </c>
      <c r="K319" s="27">
        <f>(H319/D319-1)</f>
        <v/>
      </c>
      <c r="L319" s="27">
        <f>(I319/D319-1)</f>
        <v/>
      </c>
      <c r="M319" s="27">
        <f>(J319/D319-1)</f>
        <v/>
      </c>
      <c r="N319" t="n">
        <v>53.7</v>
      </c>
      <c r="O319" s="28">
        <f>(N319+F319)/2</f>
        <v/>
      </c>
      <c r="P319">
        <f>IF(O319="計算不能","計算不能",IF(O319&gt;=80,5,IF(O319&gt;=60,4,IF(O319&gt;=40,3,IF(O319&gt;=28,2,1)))))</f>
        <v/>
      </c>
      <c r="Q319" t="n">
        <v>3112</v>
      </c>
      <c r="R319" t="n">
        <v>870</v>
      </c>
      <c r="S319" s="27">
        <f>R319/Q319</f>
        <v/>
      </c>
      <c r="T319" t="inlineStr">
        <is>
          <t>寒河江市は2045年までに人口が約19.4%減と明確な減少トレンド。高齢化の進行と世帯数の縮小により、中長期では賃貸需要の構造的縮小に警戒が必要。</t>
        </is>
      </c>
      <c r="U319" t="inlineStr">
        <is>
          <t>寒河江市は人口密度275人/km²と低密度で、賃貸需要は限定的。持ち家比率が高く、駐車場完備の戸建て賃貸が有利。 借家の空室率は約28%と供給過多気味で、空室長期化リスクに要警戒。</t>
        </is>
      </c>
      <c r="V319" t="inlineStr">
        <is>
          <t>寒河江市（山形県）：最上川水系の氾濫が頻発。豪雪・なだれ、内陸の土砂災害、庄内沿岸の津波に注意。</t>
        </is>
      </c>
    </row>
    <row r="320">
      <c r="A320" t="inlineStr">
        <is>
          <t>山形県</t>
        </is>
      </c>
      <c r="B320" t="inlineStr">
        <is>
          <t>上山市</t>
        </is>
      </c>
      <c r="C320" t="n">
        <v>10390</v>
      </c>
      <c r="D320" t="n">
        <v>26708</v>
      </c>
      <c r="E320" s="6" t="n">
        <v>111</v>
      </c>
      <c r="F320" s="7" t="n">
        <v>21.1</v>
      </c>
      <c r="G320" t="n">
        <v>29110</v>
      </c>
      <c r="H320" t="n">
        <v>26708</v>
      </c>
      <c r="I320" t="n">
        <v>24311</v>
      </c>
      <c r="J320" t="n">
        <v>17588</v>
      </c>
      <c r="K320" s="27">
        <f>(H320/D320-1)</f>
        <v/>
      </c>
      <c r="L320" s="27">
        <f>(I320/D320-1)</f>
        <v/>
      </c>
      <c r="M320" s="27">
        <f>(J320/D320-1)</f>
        <v/>
      </c>
      <c r="N320" t="n">
        <v>41</v>
      </c>
      <c r="O320" s="28">
        <f>(N320+F320)/2</f>
        <v/>
      </c>
      <c r="P320">
        <f>IF(O320="計算不能","計算不能",IF(O320&gt;=80,5,IF(O320&gt;=60,4,IF(O320&gt;=40,3,IF(O320&gt;=28,2,1)))))</f>
        <v/>
      </c>
      <c r="Q320" t="n">
        <v>2313</v>
      </c>
      <c r="R320" t="n">
        <v>260</v>
      </c>
      <c r="S320" s="27">
        <f>R320/Q320</f>
        <v/>
      </c>
      <c r="T320" t="inlineStr">
        <is>
          <t>上山市は2045年までに人口が約34.1%減と急激な過疎・超高齢化が進行。若年労働世代の流出と自然減が重なり、賃貸事業としての持続性は極めて限定的。</t>
        </is>
      </c>
      <c r="U320" t="inlineStr">
        <is>
          <t>上山市は人口密度111人/km²と過疎的水準で、民間賃貸の新規需要は薄い。実需に裏付けられた格安戸建ての指値取得のみが現実的。 借家の空室率は約11%と需給は比較的引き締まっている。</t>
        </is>
      </c>
      <c r="V320" t="inlineStr">
        <is>
          <t>上山市（山形県）：最上川水系の氾濫が頻発。豪雪・なだれ、内陸の土砂災害、庄内沿岸の津波に注意。</t>
        </is>
      </c>
    </row>
    <row r="321">
      <c r="A321" t="inlineStr">
        <is>
          <t>山形県</t>
        </is>
      </c>
      <c r="B321" t="inlineStr">
        <is>
          <t>村山市</t>
        </is>
      </c>
      <c r="C321" t="n">
        <v>7330</v>
      </c>
      <c r="D321" t="n">
        <v>20094</v>
      </c>
      <c r="E321" s="6" t="n">
        <v>102.6</v>
      </c>
      <c r="F321" s="7" t="n">
        <v>20.3</v>
      </c>
      <c r="G321" t="n">
        <v>22516</v>
      </c>
      <c r="H321" t="n">
        <v>20094</v>
      </c>
      <c r="I321" t="n">
        <v>18193</v>
      </c>
      <c r="J321" t="n">
        <v>13097</v>
      </c>
      <c r="K321" s="27">
        <f>(H321/D321-1)</f>
        <v/>
      </c>
      <c r="L321" s="27">
        <f>(I321/D321-1)</f>
        <v/>
      </c>
      <c r="M321" s="27">
        <f>(J321/D321-1)</f>
        <v/>
      </c>
      <c r="N321" t="n">
        <v>38.5</v>
      </c>
      <c r="O321" s="28">
        <f>(N321+F321)/2</f>
        <v/>
      </c>
      <c r="P321">
        <f>IF(O321="計算不能","計算不能",IF(O321&gt;=80,5,IF(O321&gt;=60,4,IF(O321&gt;=40,3,IF(O321&gt;=28,2,1)))))</f>
        <v/>
      </c>
      <c r="Q321" t="n">
        <v>1632</v>
      </c>
      <c r="R321" t="n">
        <v>160</v>
      </c>
      <c r="S321" s="27">
        <f>R321/Q321</f>
        <v/>
      </c>
      <c r="T321" t="inlineStr">
        <is>
          <t>村山市は2045年までに人口が約34.8%減と急激な過疎・超高齢化が進行。若年労働世代の流出と自然減が重なり、賃貸事業としての持続性は極めて限定的。</t>
        </is>
      </c>
      <c r="U321" t="inlineStr">
        <is>
          <t>村山市は人口密度103人/km²と過疎的水準で、民間賃貸の新規需要は薄い。実需に裏付けられた格安戸建ての指値取得のみが現実的。 借家の空室率は約10%と需給は比較的引き締まっている。</t>
        </is>
      </c>
      <c r="V321" t="inlineStr">
        <is>
          <t>村山市（山形県）：最上川水系の氾濫が頻発。豪雪・なだれ、内陸の土砂災害、庄内沿岸の津波に注意。</t>
        </is>
      </c>
    </row>
    <row r="322">
      <c r="A322" t="inlineStr">
        <is>
          <t>山形県</t>
        </is>
      </c>
      <c r="B322" t="inlineStr">
        <is>
          <t>長井市</t>
        </is>
      </c>
      <c r="C322" t="n">
        <v>9470</v>
      </c>
      <c r="D322" t="n">
        <v>24765</v>
      </c>
      <c r="E322" s="6" t="n">
        <v>114.5</v>
      </c>
      <c r="F322" s="7" t="n">
        <v>21.4</v>
      </c>
      <c r="G322" t="n">
        <v>26543</v>
      </c>
      <c r="H322" t="n">
        <v>24765</v>
      </c>
      <c r="I322" t="n">
        <v>23140</v>
      </c>
      <c r="J322" t="n">
        <v>18441</v>
      </c>
      <c r="K322" s="27">
        <f>(H322/D322-1)</f>
        <v/>
      </c>
      <c r="L322" s="27">
        <f>(I322/D322-1)</f>
        <v/>
      </c>
      <c r="M322" s="27">
        <f>(J322/D322-1)</f>
        <v/>
      </c>
      <c r="N322" t="n">
        <v>45.4</v>
      </c>
      <c r="O322" s="28">
        <f>(N322+F322)/2</f>
        <v/>
      </c>
      <c r="P322">
        <f>IF(O322="計算不能","計算不能",IF(O322&gt;=80,5,IF(O322&gt;=60,4,IF(O322&gt;=40,3,IF(O322&gt;=28,2,1)))))</f>
        <v/>
      </c>
      <c r="Q322" t="n">
        <v>2108</v>
      </c>
      <c r="R322" t="n">
        <v>530</v>
      </c>
      <c r="S322" s="27">
        <f>R322/Q322</f>
        <v/>
      </c>
      <c r="T322" t="inlineStr">
        <is>
          <t>長井市は2045年までに人口が約25.5%減と明確な減少トレンド。高齢化の進行と世帯数の縮小により、中長期では賃貸需要の構造的縮小に警戒が必要。</t>
        </is>
      </c>
      <c r="U322" t="inlineStr">
        <is>
          <t>長井市は人口密度114人/km²と過疎的水準で、民間賃貸の新規需要は薄い。実需に裏付けられた格安戸建ての指値取得のみが現実的。 借家の空室率は約25%と供給過多気味で、空室長期化リスクに要警戒。</t>
        </is>
      </c>
      <c r="V322" t="inlineStr">
        <is>
          <t>長井市（山形県）：最上川水系の氾濫が頻発。豪雪・なだれ、内陸の土砂災害、庄内沿岸の津波に注意。</t>
        </is>
      </c>
    </row>
    <row r="323">
      <c r="A323" t="inlineStr">
        <is>
          <t>山形県</t>
        </is>
      </c>
      <c r="B323" t="inlineStr">
        <is>
          <t>天童市</t>
        </is>
      </c>
      <c r="C323" t="n">
        <v>22420</v>
      </c>
      <c r="D323" t="n">
        <v>60430</v>
      </c>
      <c r="E323" s="6" t="n">
        <v>528.9</v>
      </c>
      <c r="F323" s="7" t="n">
        <v>45.6</v>
      </c>
      <c r="G323" t="n">
        <v>62140</v>
      </c>
      <c r="H323" t="n">
        <v>60430</v>
      </c>
      <c r="I323" t="n">
        <v>58466</v>
      </c>
      <c r="J323" t="n">
        <v>51602</v>
      </c>
      <c r="K323" s="27">
        <f>(H323/D323-1)</f>
        <v/>
      </c>
      <c r="L323" s="27">
        <f>(I323/D323-1)</f>
        <v/>
      </c>
      <c r="M323" s="27">
        <f>(J323/D323-1)</f>
        <v/>
      </c>
      <c r="N323" t="n">
        <v>60.2</v>
      </c>
      <c r="O323" s="28">
        <f>(N323+F323)/2</f>
        <v/>
      </c>
      <c r="P323">
        <f>IF(O323="計算不能","計算不能",IF(O323&gt;=80,5,IF(O323&gt;=60,4,IF(O323&gt;=40,3,IF(O323&gt;=28,2,1)))))</f>
        <v/>
      </c>
      <c r="Q323" t="n">
        <v>4992</v>
      </c>
      <c r="R323" t="n">
        <v>1690</v>
      </c>
      <c r="S323" s="27">
        <f>R323/Q323</f>
        <v/>
      </c>
      <c r="T323" t="inlineStr">
        <is>
          <t>天童市は2045年までに人口が約14.6%減と緩やかな減少局面。若年層の都市部流出と高齢化が進むが、当面の賃貸稼働は一定程度維持される見通し。</t>
        </is>
      </c>
      <c r="U323" t="inlineStr">
        <is>
          <t>天童市は人口密度529人/km²で、主要道路沿いや中心市街地に一定の賃貸需要が局在。立地選別が稼働を左右する。 借家の空室率は約34%と供給過多気味で、空室長期化リスクに要警戒。</t>
        </is>
      </c>
      <c r="V323" t="inlineStr">
        <is>
          <t>天童市（山形県）：最上川水系の氾濫が頻発。豪雪・なだれ、内陸の土砂災害、庄内沿岸の津波に注意。</t>
        </is>
      </c>
    </row>
    <row r="324">
      <c r="A324" t="inlineStr">
        <is>
          <t>山形県</t>
        </is>
      </c>
      <c r="B324" t="inlineStr">
        <is>
          <t>東根市</t>
        </is>
      </c>
      <c r="C324" t="n">
        <v>17300</v>
      </c>
      <c r="D324" t="n">
        <v>47098</v>
      </c>
      <c r="E324" s="6" t="n">
        <v>229.1</v>
      </c>
      <c r="F324" s="7" t="n">
        <v>31.5</v>
      </c>
      <c r="G324" t="n">
        <v>47682</v>
      </c>
      <c r="H324" t="n">
        <v>47098</v>
      </c>
      <c r="I324" t="n">
        <v>46250</v>
      </c>
      <c r="J324" t="n">
        <v>43188</v>
      </c>
      <c r="K324" s="27">
        <f>(H324/D324-1)</f>
        <v/>
      </c>
      <c r="L324" s="27">
        <f>(I324/D324-1)</f>
        <v/>
      </c>
      <c r="M324" s="27">
        <f>(J324/D324-1)</f>
        <v/>
      </c>
      <c r="N324" t="n">
        <v>67.2</v>
      </c>
      <c r="O324" s="28">
        <f>(N324+F324)/2</f>
        <v/>
      </c>
      <c r="P324">
        <f>IF(O324="計算不能","計算不能",IF(O324&gt;=80,5,IF(O324&gt;=60,4,IF(O324&gt;=40,3,IF(O324&gt;=28,2,1)))))</f>
        <v/>
      </c>
      <c r="Q324" t="n">
        <v>3852</v>
      </c>
      <c r="R324" t="n">
        <v>900</v>
      </c>
      <c r="S324" s="27">
        <f>R324/Q324</f>
        <v/>
      </c>
      <c r="T324" t="inlineStr">
        <is>
          <t>東根市は2045年までに人口が約8.3%減と緩やかな減少局面。若年層の都市部流出と高齢化が進むが、当面の賃貸稼働は一定程度維持される見通し。</t>
        </is>
      </c>
      <c r="U324" t="inlineStr">
        <is>
          <t>東根市は人口密度229人/km²と低密度で、賃貸需要は限定的。持ち家比率が高く、駐車場完備の戸建て賃貸が有利。 借家の空室率は約23%とやや高めで、競合との差別化が必要。</t>
        </is>
      </c>
      <c r="V324" t="inlineStr">
        <is>
          <t>東根市（山形県）：最上川水系の氾濫が頻発。豪雪・なだれ、内陸の土砂災害、庄内沿岸の津波に注意。</t>
        </is>
      </c>
    </row>
    <row r="325">
      <c r="A325" t="inlineStr">
        <is>
          <t>山形県</t>
        </is>
      </c>
      <c r="B325" t="inlineStr">
        <is>
          <t>尾花沢市</t>
        </is>
      </c>
      <c r="C325" t="n">
        <v>4530</v>
      </c>
      <c r="D325" t="n">
        <v>12987</v>
      </c>
      <c r="E325" s="6" t="n">
        <v>34.3</v>
      </c>
      <c r="F325" s="7" t="n">
        <v>13.4</v>
      </c>
      <c r="G325" t="n">
        <v>14971</v>
      </c>
      <c r="H325" t="n">
        <v>12987</v>
      </c>
      <c r="I325" t="n">
        <v>11344</v>
      </c>
      <c r="J325" t="n">
        <v>7333</v>
      </c>
      <c r="K325" s="27">
        <f>(H325/D325-1)</f>
        <v/>
      </c>
      <c r="L325" s="27">
        <f>(I325/D325-1)</f>
        <v/>
      </c>
      <c r="M325" s="27">
        <f>(J325/D325-1)</f>
        <v/>
      </c>
      <c r="N325" t="n">
        <v>33.5</v>
      </c>
      <c r="O325" s="28">
        <f>(N325+F325)/2</f>
        <v/>
      </c>
      <c r="P325">
        <f>IF(O325="計算不能","計算不能",IF(O325&gt;=80,5,IF(O325&gt;=60,4,IF(O325&gt;=40,3,IF(O325&gt;=28,2,1)))))</f>
        <v/>
      </c>
      <c r="Q325" t="n">
        <v>1008</v>
      </c>
      <c r="R325" t="n">
        <v>100</v>
      </c>
      <c r="S325" s="27">
        <f>R325/Q325</f>
        <v/>
      </c>
      <c r="T325" t="inlineStr">
        <is>
          <t>尾花沢市は2045年までに人口が約43.5%減と急激な過疎・超高齢化が進行。若年労働世代の流出と自然減が重なり、賃貸事業としての持続性は極めて限定的。</t>
        </is>
      </c>
      <c r="U325" t="inlineStr">
        <is>
          <t>尾花沢市は人口密度34人/km²と過疎的水準で、民間賃貸の新規需要は薄い。実需に裏付けられた格安戸建ての指値取得のみが現実的。 借家の空室率は約10%と需給は比較的引き締まっている。</t>
        </is>
      </c>
      <c r="V325" t="inlineStr">
        <is>
          <t>尾花沢市（山形県）：最上川水系の氾濫が頻発。豪雪・なだれ、内陸の土砂災害、庄内沿岸の津波に注意。</t>
        </is>
      </c>
    </row>
    <row r="326">
      <c r="A326" t="inlineStr">
        <is>
          <t>山形県</t>
        </is>
      </c>
      <c r="B326" t="inlineStr">
        <is>
          <t>南陽市</t>
        </is>
      </c>
      <c r="C326" t="n">
        <v>10570</v>
      </c>
      <c r="D326" t="n">
        <v>28221</v>
      </c>
      <c r="E326" s="6" t="n">
        <v>174.8</v>
      </c>
      <c r="F326" s="7" t="n">
        <v>27.5</v>
      </c>
      <c r="G326" t="n">
        <v>30420</v>
      </c>
      <c r="H326" t="n">
        <v>28221</v>
      </c>
      <c r="I326" t="n">
        <v>26419</v>
      </c>
      <c r="J326" t="n">
        <v>21110</v>
      </c>
      <c r="K326" s="27">
        <f>(H326/D326-1)</f>
        <v/>
      </c>
      <c r="L326" s="27">
        <f>(I326/D326-1)</f>
        <v/>
      </c>
      <c r="M326" s="27">
        <f>(J326/D326-1)</f>
        <v/>
      </c>
      <c r="N326" t="n">
        <v>44.9</v>
      </c>
      <c r="O326" s="28">
        <f>(N326+F326)/2</f>
        <v/>
      </c>
      <c r="P326">
        <f>IF(O326="計算不能","計算不能",IF(O326&gt;=80,5,IF(O326&gt;=60,4,IF(O326&gt;=40,3,IF(O326&gt;=28,2,1)))))</f>
        <v/>
      </c>
      <c r="Q326" t="n">
        <v>2353</v>
      </c>
      <c r="R326" t="n">
        <v>540</v>
      </c>
      <c r="S326" s="27">
        <f>R326/Q326</f>
        <v/>
      </c>
      <c r="T326" t="inlineStr">
        <is>
          <t>南陽市は2045年までに人口が約25.2%減と明確な減少トレンド。高齢化の進行と世帯数の縮小により、中長期では賃貸需要の構造的縮小に警戒が必要。</t>
        </is>
      </c>
      <c r="U326" t="inlineStr">
        <is>
          <t>南陽市は人口密度175人/km²と過疎的水準で、民間賃貸の新規需要は薄い。実需に裏付けられた格安戸建ての指値取得のみが現実的。 借家の空室率は約23%とやや高めで、競合との差別化が必要。</t>
        </is>
      </c>
      <c r="V326" t="inlineStr">
        <is>
          <t>南陽市（山形県）：最上川水系の氾濫が頻発。豪雪・なだれ、内陸の土砂災害、庄内沿岸の津波に注意。</t>
        </is>
      </c>
    </row>
    <row r="327">
      <c r="A327" t="inlineStr">
        <is>
          <t>山形県</t>
        </is>
      </c>
      <c r="B327" t="inlineStr">
        <is>
          <t>山辺町</t>
        </is>
      </c>
      <c r="C327" t="n">
        <v>4864</v>
      </c>
      <c r="D327" t="n">
        <v>12940</v>
      </c>
      <c r="E327" s="6" t="n">
        <v>209.7</v>
      </c>
      <c r="F327" s="7" t="n">
        <v>30.5</v>
      </c>
      <c r="G327" t="n">
        <v>13725</v>
      </c>
      <c r="H327" t="n">
        <v>12940</v>
      </c>
      <c r="I327" t="n">
        <v>12148</v>
      </c>
      <c r="J327" t="n">
        <v>9787</v>
      </c>
      <c r="K327" s="27">
        <f>(H327/D327-1)</f>
        <v/>
      </c>
      <c r="L327" s="27">
        <f>(I327/D327-1)</f>
        <v/>
      </c>
      <c r="M327" s="27">
        <f>(J327/D327-1)</f>
        <v/>
      </c>
      <c r="N327" t="n">
        <v>48</v>
      </c>
      <c r="O327" s="28">
        <f>(N327+F327)/2</f>
        <v/>
      </c>
      <c r="P327">
        <f>IF(O327="計算不能","計算不能",IF(O327&gt;=80,5,IF(O327&gt;=60,4,IF(O327&gt;=40,3,IF(O327&gt;=28,2,1)))))</f>
        <v/>
      </c>
      <c r="Q327" t="n">
        <v>1083</v>
      </c>
      <c r="R327" t="n">
        <v>0</v>
      </c>
      <c r="S327" s="27">
        <f>R327/Q327</f>
        <v/>
      </c>
      <c r="T327" t="inlineStr">
        <is>
          <t>山辺町は2045年までに人口が約24.4%減と明確な減少トレンド。高齢化の進行と世帯数の縮小により、中長期では賃貸需要の構造的縮小に警戒が必要。</t>
        </is>
      </c>
      <c r="U327" t="inlineStr">
        <is>
          <t>山辺町は人口密度210人/km²と低密度で、賃貸需要は限定的。持ち家比率が高く、駐車場完備の戸建て賃貸が有利。 借家の空室率は約0%と需給は比較的引き締まっている。</t>
        </is>
      </c>
      <c r="V327" t="inlineStr">
        <is>
          <t>山辺町（山形県）：最上川水系の氾濫が頻発。豪雪・なだれ、内陸の土砂災害、庄内沿岸の津波に注意。</t>
        </is>
      </c>
    </row>
    <row r="328">
      <c r="A328" t="inlineStr">
        <is>
          <t>山形県</t>
        </is>
      </c>
      <c r="B328" t="inlineStr">
        <is>
          <t>中山町</t>
        </is>
      </c>
      <c r="C328" t="n">
        <v>3786</v>
      </c>
      <c r="D328" t="n">
        <v>9995</v>
      </c>
      <c r="E328" s="6" t="n">
        <v>321.6</v>
      </c>
      <c r="F328" s="7" t="n">
        <v>36.1</v>
      </c>
      <c r="G328" t="n">
        <v>10746</v>
      </c>
      <c r="H328" t="n">
        <v>9995</v>
      </c>
      <c r="I328" t="n">
        <v>9267</v>
      </c>
      <c r="J328" t="n">
        <v>7125</v>
      </c>
      <c r="K328" s="27">
        <f>(H328/D328-1)</f>
        <v/>
      </c>
      <c r="L328" s="27">
        <f>(I328/D328-1)</f>
        <v/>
      </c>
      <c r="M328" s="27">
        <f>(J328/D328-1)</f>
        <v/>
      </c>
      <c r="N328" t="n">
        <v>44</v>
      </c>
      <c r="O328" s="28">
        <f>(N328+F328)/2</f>
        <v/>
      </c>
      <c r="P328">
        <f>IF(O328="計算不能","計算不能",IF(O328&gt;=80,5,IF(O328&gt;=60,4,IF(O328&gt;=40,3,IF(O328&gt;=28,2,1)))))</f>
        <v/>
      </c>
      <c r="Q328" t="n">
        <v>843</v>
      </c>
      <c r="R328" t="n">
        <v>0</v>
      </c>
      <c r="S328" s="27">
        <f>R328/Q328</f>
        <v/>
      </c>
      <c r="T328" t="inlineStr">
        <is>
          <t>中山町は2045年までに人口が約28.7%減と明確な減少トレンド。高齢化の進行と世帯数の縮小により、中長期では賃貸需要の構造的縮小に警戒が必要。</t>
        </is>
      </c>
      <c r="U328" t="inlineStr">
        <is>
          <t>中山町は人口密度322人/km²と低密度で、賃貸需要は限定的。持ち家比率が高く、駐車場完備の戸建て賃貸が有利。 借家の空室率は約0%と需給は比較的引き締まっている。</t>
        </is>
      </c>
      <c r="V328" t="inlineStr">
        <is>
          <t>中山町（山形県）：最上川水系の氾濫が頻発。豪雪・なだれ、内陸の土砂災害、庄内沿岸の津波に注意。</t>
        </is>
      </c>
    </row>
    <row r="329">
      <c r="A329" t="inlineStr">
        <is>
          <t>山形県</t>
        </is>
      </c>
      <c r="B329" t="inlineStr">
        <is>
          <t>河北町</t>
        </is>
      </c>
      <c r="C329" t="n">
        <v>5640</v>
      </c>
      <c r="D329" t="n">
        <v>16421</v>
      </c>
      <c r="E329" s="6" t="n">
        <v>308.7</v>
      </c>
      <c r="F329" s="7" t="n">
        <v>35.4</v>
      </c>
      <c r="G329" t="n">
        <v>17641</v>
      </c>
      <c r="H329" t="n">
        <v>16421</v>
      </c>
      <c r="I329" t="n">
        <v>15188</v>
      </c>
      <c r="J329" t="n">
        <v>11763</v>
      </c>
      <c r="K329" s="27">
        <f>(H329/D329-1)</f>
        <v/>
      </c>
      <c r="L329" s="27">
        <f>(I329/D329-1)</f>
        <v/>
      </c>
      <c r="M329" s="27">
        <f>(J329/D329-1)</f>
        <v/>
      </c>
      <c r="N329" t="n">
        <v>44</v>
      </c>
      <c r="O329" s="28">
        <f>(N329+F329)/2</f>
        <v/>
      </c>
      <c r="P329">
        <f>IF(O329="計算不能","計算不能",IF(O329&gt;=80,5,IF(O329&gt;=60,4,IF(O329&gt;=40,3,IF(O329&gt;=28,2,1)))))</f>
        <v/>
      </c>
      <c r="Q329" t="n">
        <v>1255</v>
      </c>
      <c r="R329" t="n">
        <v>300</v>
      </c>
      <c r="S329" s="27">
        <f>R329/Q329</f>
        <v/>
      </c>
      <c r="T329" t="inlineStr">
        <is>
          <t>河北町は2045年までに人口が約28.4%減と明確な減少トレンド。高齢化の進行と世帯数の縮小により、中長期では賃貸需要の構造的縮小に警戒が必要。</t>
        </is>
      </c>
      <c r="U329" t="inlineStr">
        <is>
          <t>河北町は人口密度309人/km²と低密度で、賃貸需要は限定的。持ち家比率が高く、駐車場完備の戸建て賃貸が有利。 借家の空室率は約24%とやや高めで、競合との差別化が必要。</t>
        </is>
      </c>
      <c r="V329" t="inlineStr">
        <is>
          <t>河北町（山形県）：最上川水系の氾濫が頻発。豪雪・なだれ、内陸の土砂災害、庄内沿岸の津波に注意。</t>
        </is>
      </c>
    </row>
    <row r="330">
      <c r="A330" t="inlineStr">
        <is>
          <t>山形県</t>
        </is>
      </c>
      <c r="B330" t="inlineStr">
        <is>
          <t>西川町</t>
        </is>
      </c>
      <c r="C330" t="n">
        <v>1793</v>
      </c>
      <c r="D330" t="n">
        <v>4296</v>
      </c>
      <c r="E330" s="6" t="n">
        <v>10.8</v>
      </c>
      <c r="F330" s="7" t="n">
        <v>11.1</v>
      </c>
      <c r="G330" t="n">
        <v>4956</v>
      </c>
      <c r="H330" t="n">
        <v>4296</v>
      </c>
      <c r="I330" t="n">
        <v>3735</v>
      </c>
      <c r="J330" t="n">
        <v>2374</v>
      </c>
      <c r="K330" s="27">
        <f>(H330/D330-1)</f>
        <v/>
      </c>
      <c r="L330" s="27">
        <f>(I330/D330-1)</f>
        <v/>
      </c>
      <c r="M330" s="27">
        <f>(J330/D330-1)</f>
        <v/>
      </c>
      <c r="N330" t="n">
        <v>33</v>
      </c>
      <c r="O330" s="28">
        <f>(N330+F330)/2</f>
        <v/>
      </c>
      <c r="P330">
        <f>IF(O330="計算不能","計算不能",IF(O330&gt;=80,5,IF(O330&gt;=60,4,IF(O330&gt;=40,3,IF(O330&gt;=28,2,1)))))</f>
        <v/>
      </c>
      <c r="Q330" t="n">
        <v>399</v>
      </c>
      <c r="R330" t="n">
        <v>0</v>
      </c>
      <c r="S330" s="27">
        <f>R330/Q330</f>
        <v/>
      </c>
      <c r="T330" t="inlineStr">
        <is>
          <t>西川町は2045年までに人口が約44.7%減と急激な過疎・超高齢化が進行。若年労働世代の流出と自然減が重なり、賃貸事業としての持続性は極めて限定的。</t>
        </is>
      </c>
      <c r="U330" t="inlineStr">
        <is>
          <t>西川町は人口密度11人/km²と過疎的水準で、民間賃貸の新規需要は薄い。実需に裏付けられた格安戸建ての指値取得のみが現実的。 借家の空室率は約0%と需給は比較的引き締まっている。</t>
        </is>
      </c>
      <c r="V330" t="inlineStr">
        <is>
          <t>西川町（山形県）：最上川水系の氾濫が頻発。豪雪・なだれ、内陸の土砂災害、庄内沿岸の津波に注意。</t>
        </is>
      </c>
    </row>
    <row r="331">
      <c r="A331" t="inlineStr">
        <is>
          <t>山形県</t>
        </is>
      </c>
      <c r="B331" t="inlineStr">
        <is>
          <t>朝日町</t>
        </is>
      </c>
      <c r="C331" t="n">
        <v>4425</v>
      </c>
      <c r="D331" t="n">
        <v>5633</v>
      </c>
      <c r="E331" s="6" t="n">
        <v>1846.9</v>
      </c>
      <c r="F331" s="7" t="n">
        <v>68.5</v>
      </c>
      <c r="G331" t="n">
        <v>6366</v>
      </c>
      <c r="H331" t="n">
        <v>5633</v>
      </c>
      <c r="I331" t="n">
        <v>4983</v>
      </c>
      <c r="J331" t="n">
        <v>3322</v>
      </c>
      <c r="K331" s="27">
        <f>(H331/D331-1)</f>
        <v/>
      </c>
      <c r="L331" s="27">
        <f>(I331/D331-1)</f>
        <v/>
      </c>
      <c r="M331" s="27">
        <f>(J331/D331-1)</f>
        <v/>
      </c>
      <c r="N331" t="n">
        <v>35.8</v>
      </c>
      <c r="O331" s="28">
        <f>(N331+F331)/2</f>
        <v/>
      </c>
      <c r="P331">
        <f>IF(O331="計算不能","計算不能",IF(O331&gt;=80,5,IF(O331&gt;=60,4,IF(O331&gt;=40,3,IF(O331&gt;=28,2,1)))))</f>
        <v/>
      </c>
      <c r="Q331" t="n">
        <v>985</v>
      </c>
      <c r="R331" t="n">
        <v>0</v>
      </c>
      <c r="S331" s="27">
        <f>R331/Q331</f>
        <v/>
      </c>
      <c r="T331" t="inlineStr">
        <is>
          <t>朝日町は2045年までに人口が約41.0%減と急激な過疎・超高齢化が進行。若年労働世代の流出と自然減が重なり、賃貸事業としての持続性は極めて限定的。</t>
        </is>
      </c>
      <c r="U331" t="inlineStr">
        <is>
          <t>朝日町は人口密度1,847人/km²の都市部で、駅周辺や生活利便施設沿いに安定した賃貸需要がある。適切な家賃設定で高稼働を期待できる。 借家の空室率は約0%と需給は比較的引き締まっている。</t>
        </is>
      </c>
      <c r="V331" t="inlineStr">
        <is>
          <t>朝日町（山形県）：最上川水系の氾濫が頻発。豪雪・なだれ、内陸の土砂災害、庄内沿岸の津波に注意。</t>
        </is>
      </c>
    </row>
    <row r="332">
      <c r="A332" t="inlineStr">
        <is>
          <t>山形県</t>
        </is>
      </c>
      <c r="B332" t="inlineStr">
        <is>
          <t>大江町</t>
        </is>
      </c>
      <c r="C332" t="n">
        <v>2783</v>
      </c>
      <c r="D332" t="n">
        <v>6930</v>
      </c>
      <c r="E332" s="6" t="n">
        <v>43.5</v>
      </c>
      <c r="F332" s="7" t="n">
        <v>14.3</v>
      </c>
      <c r="G332" t="n">
        <v>7646</v>
      </c>
      <c r="H332" t="n">
        <v>6930</v>
      </c>
      <c r="I332" t="n">
        <v>6325</v>
      </c>
      <c r="J332" t="n">
        <v>4599</v>
      </c>
      <c r="K332" s="27">
        <f>(H332/D332-1)</f>
        <v/>
      </c>
      <c r="L332" s="27">
        <f>(I332/D332-1)</f>
        <v/>
      </c>
      <c r="M332" s="27">
        <f>(J332/D332-1)</f>
        <v/>
      </c>
      <c r="N332" t="n">
        <v>40.2</v>
      </c>
      <c r="O332" s="28">
        <f>(N332+F332)/2</f>
        <v/>
      </c>
      <c r="P332">
        <f>IF(O332="計算不能","計算不能",IF(O332&gt;=80,5,IF(O332&gt;=60,4,IF(O332&gt;=40,3,IF(O332&gt;=28,2,1)))))</f>
        <v/>
      </c>
      <c r="Q332" t="n">
        <v>619</v>
      </c>
      <c r="R332" t="n">
        <v>0</v>
      </c>
      <c r="S332" s="27">
        <f>R332/Q332</f>
        <v/>
      </c>
      <c r="T332" t="inlineStr">
        <is>
          <t>大江町は2045年までに人口が約33.6%減と急激な過疎・超高齢化が進行。若年労働世代の流出と自然減が重なり、賃貸事業としての持続性は極めて限定的。</t>
        </is>
      </c>
      <c r="U332" t="inlineStr">
        <is>
          <t>大江町は人口密度44人/km²と過疎的水準で、民間賃貸の新規需要は薄い。実需に裏付けられた格安戸建ての指値取得のみが現実的。 借家の空室率は約0%と需給は比較的引き締まっている。</t>
        </is>
      </c>
      <c r="V332" t="inlineStr">
        <is>
          <t>大江町（山形県）：最上川水系の氾濫が頻発。豪雪・なだれ、内陸の土砂災害、庄内沿岸の津波に注意。</t>
        </is>
      </c>
    </row>
    <row r="333">
      <c r="A333" t="inlineStr">
        <is>
          <t>山形県</t>
        </is>
      </c>
      <c r="B333" t="inlineStr">
        <is>
          <t>大石田町</t>
        </is>
      </c>
      <c r="C333" t="n">
        <v>2220</v>
      </c>
      <c r="D333" t="n">
        <v>5871</v>
      </c>
      <c r="E333" s="6" t="n">
        <v>69.90000000000001</v>
      </c>
      <c r="F333" s="7" t="n">
        <v>17</v>
      </c>
      <c r="G333" t="n">
        <v>6577</v>
      </c>
      <c r="H333" t="n">
        <v>5871</v>
      </c>
      <c r="I333" t="n">
        <v>5244</v>
      </c>
      <c r="J333" t="n">
        <v>3580</v>
      </c>
      <c r="K333" s="27">
        <f>(H333/D333-1)</f>
        <v/>
      </c>
      <c r="L333" s="27">
        <f>(I333/D333-1)</f>
        <v/>
      </c>
      <c r="M333" s="27">
        <f>(J333/D333-1)</f>
        <v/>
      </c>
      <c r="N333" t="n">
        <v>37.2</v>
      </c>
      <c r="O333" s="28">
        <f>(N333+F333)/2</f>
        <v/>
      </c>
      <c r="P333">
        <f>IF(O333="計算不能","計算不能",IF(O333&gt;=80,5,IF(O333&gt;=60,4,IF(O333&gt;=40,3,IF(O333&gt;=28,2,1)))))</f>
        <v/>
      </c>
      <c r="Q333" t="n">
        <v>494</v>
      </c>
      <c r="R333" t="n">
        <v>0</v>
      </c>
      <c r="S333" s="27">
        <f>R333/Q333</f>
        <v/>
      </c>
      <c r="T333" t="inlineStr">
        <is>
          <t>大石田町は2045年までに人口が約39.0%減と急激な過疎・超高齢化が進行。若年労働世代の流出と自然減が重なり、賃貸事業としての持続性は極めて限定的。</t>
        </is>
      </c>
      <c r="U333" t="inlineStr">
        <is>
          <t>大石田町は人口密度70人/km²と過疎的水準で、民間賃貸の新規需要は薄い。実需に裏付けられた格安戸建ての指値取得のみが現実的。 借家の空室率は約0%と需給は比較的引き締まっている。</t>
        </is>
      </c>
      <c r="V333" t="inlineStr">
        <is>
          <t>大石田町（山形県）：最上川水系の氾濫が頻発。豪雪・なだれ、内陸の土砂災害、庄内沿岸の津波に注意。</t>
        </is>
      </c>
    </row>
    <row r="334">
      <c r="A334" t="inlineStr">
        <is>
          <t>山形県</t>
        </is>
      </c>
      <c r="B334" t="inlineStr">
        <is>
          <t>金山町</t>
        </is>
      </c>
      <c r="C334" t="n">
        <v>994</v>
      </c>
      <c r="D334" t="n">
        <v>4509</v>
      </c>
      <c r="E334" s="6" t="n">
        <v>5.6</v>
      </c>
      <c r="F334" s="7" t="n">
        <v>10.6</v>
      </c>
      <c r="G334" t="n">
        <v>5071</v>
      </c>
      <c r="H334" t="n">
        <v>4509</v>
      </c>
      <c r="I334" t="n">
        <v>4027</v>
      </c>
      <c r="J334" t="n">
        <v>2715</v>
      </c>
      <c r="K334" s="27">
        <f>(H334/D334-1)</f>
        <v/>
      </c>
      <c r="L334" s="27">
        <f>(I334/D334-1)</f>
        <v/>
      </c>
      <c r="M334" s="27">
        <f>(J334/D334-1)</f>
        <v/>
      </c>
      <c r="N334" t="n">
        <v>36.7</v>
      </c>
      <c r="O334" s="28">
        <f>(N334+F334)/2</f>
        <v/>
      </c>
      <c r="P334">
        <f>IF(O334="計算不能","計算不能",IF(O334&gt;=80,5,IF(O334&gt;=60,4,IF(O334&gt;=40,3,IF(O334&gt;=28,2,1)))))</f>
        <v/>
      </c>
      <c r="Q334" t="n">
        <v>221</v>
      </c>
      <c r="R334" t="n">
        <v>0</v>
      </c>
      <c r="S334" s="27">
        <f>R334/Q334</f>
        <v/>
      </c>
      <c r="T334" t="inlineStr">
        <is>
          <t>金山町は2045年までに人口が約39.8%減と急激な過疎・超高齢化が進行。若年労働世代の流出と自然減が重なり、賃貸事業としての持続性は極めて限定的。</t>
        </is>
      </c>
      <c r="U334" t="inlineStr">
        <is>
          <t>金山町は人口密度6人/km²と過疎的水準で、民間賃貸の新規需要は薄い。実需に裏付けられた格安戸建ての指値取得のみが現実的。 借家の空室率は約0%と需給は比較的引き締まっている。</t>
        </is>
      </c>
      <c r="V334" t="inlineStr">
        <is>
          <t>金山町（山形県）：最上川水系の氾濫が頻発。豪雪・なだれ、内陸の土砂災害、庄内沿岸の津波に注意。</t>
        </is>
      </c>
    </row>
    <row r="335">
      <c r="A335" t="inlineStr">
        <is>
          <t>山形県</t>
        </is>
      </c>
      <c r="B335" t="inlineStr">
        <is>
          <t>最上町</t>
        </is>
      </c>
      <c r="C335" t="n">
        <v>2755</v>
      </c>
      <c r="D335" t="n">
        <v>7245</v>
      </c>
      <c r="E335" s="6" t="n">
        <v>21.1</v>
      </c>
      <c r="F335" s="7" t="n">
        <v>12.1</v>
      </c>
      <c r="G335" t="n">
        <v>8080</v>
      </c>
      <c r="H335" t="n">
        <v>7245</v>
      </c>
      <c r="I335" t="n">
        <v>6490</v>
      </c>
      <c r="J335" t="n">
        <v>4447</v>
      </c>
      <c r="K335" s="27">
        <f>(H335/D335-1)</f>
        <v/>
      </c>
      <c r="L335" s="27">
        <f>(I335/D335-1)</f>
        <v/>
      </c>
      <c r="M335" s="27">
        <f>(J335/D335-1)</f>
        <v/>
      </c>
      <c r="N335" t="n">
        <v>37.7</v>
      </c>
      <c r="O335" s="28">
        <f>(N335+F335)/2</f>
        <v/>
      </c>
      <c r="P335">
        <f>IF(O335="計算不能","計算不能",IF(O335&gt;=80,5,IF(O335&gt;=60,4,IF(O335&gt;=40,3,IF(O335&gt;=28,2,1)))))</f>
        <v/>
      </c>
      <c r="Q335" t="n">
        <v>613</v>
      </c>
      <c r="R335" t="n">
        <v>0</v>
      </c>
      <c r="S335" s="27">
        <f>R335/Q335</f>
        <v/>
      </c>
      <c r="T335" t="inlineStr">
        <is>
          <t>最上町は2045年までに人口が約38.6%減と急激な過疎・超高齢化が進行。若年労働世代の流出と自然減が重なり、賃貸事業としての持続性は極めて限定的。</t>
        </is>
      </c>
      <c r="U335" t="inlineStr">
        <is>
          <t>最上町は人口密度21人/km²と過疎的水準で、民間賃貸の新規需要は薄い。実需に裏付けられた格安戸建ての指値取得のみが現実的。 借家の空室率は約0%と需給は比較的引き締まっている。</t>
        </is>
      </c>
      <c r="V335" t="inlineStr">
        <is>
          <t>最上町（山形県）：最上川水系の氾濫が頻発。豪雪・なだれ、内陸の土砂災害、庄内沿岸の津波に注意。</t>
        </is>
      </c>
    </row>
    <row r="336">
      <c r="A336" t="inlineStr">
        <is>
          <t>山形県</t>
        </is>
      </c>
      <c r="B336" t="inlineStr">
        <is>
          <t>舟形町</t>
        </is>
      </c>
      <c r="C336" t="n">
        <v>1832</v>
      </c>
      <c r="D336" t="n">
        <v>4484</v>
      </c>
      <c r="E336" s="6" t="n">
        <v>37.6</v>
      </c>
      <c r="F336" s="7" t="n">
        <v>13.8</v>
      </c>
      <c r="G336" t="n">
        <v>5007</v>
      </c>
      <c r="H336" t="n">
        <v>4484</v>
      </c>
      <c r="I336" t="n">
        <v>4012</v>
      </c>
      <c r="J336" t="n">
        <v>2817</v>
      </c>
      <c r="K336" s="27">
        <f>(H336/D336-1)</f>
        <v/>
      </c>
      <c r="L336" s="27">
        <f>(I336/D336-1)</f>
        <v/>
      </c>
      <c r="M336" s="27">
        <f>(J336/D336-1)</f>
        <v/>
      </c>
      <c r="N336" t="n">
        <v>37.9</v>
      </c>
      <c r="O336" s="28">
        <f>(N336+F336)/2</f>
        <v/>
      </c>
      <c r="P336">
        <f>IF(O336="計算不能","計算不能",IF(O336&gt;=80,5,IF(O336&gt;=60,4,IF(O336&gt;=40,3,IF(O336&gt;=28,2,1)))))</f>
        <v/>
      </c>
      <c r="Q336" t="n">
        <v>407</v>
      </c>
      <c r="R336" t="n">
        <v>0</v>
      </c>
      <c r="S336" s="27">
        <f>R336/Q336</f>
        <v/>
      </c>
      <c r="T336" t="inlineStr">
        <is>
          <t>舟形町は2045年までに人口が約37.2%減と急激な過疎・超高齢化が進行。若年労働世代の流出と自然減が重なり、賃貸事業としての持続性は極めて限定的。</t>
        </is>
      </c>
      <c r="U336" t="inlineStr">
        <is>
          <t>舟形町は人口密度38人/km²と過疎的水準で、民間賃貸の新規需要は薄い。実需に裏付けられた格安戸建ての指値取得のみが現実的。 借家の空室率は約0%と需給は比較的引き締まっている。</t>
        </is>
      </c>
      <c r="V336" t="inlineStr">
        <is>
          <t>舟形町（山形県）：最上川水系の氾濫が頻発。豪雪・なだれ、内陸の土砂災害、庄内沿岸の津波に注意。</t>
        </is>
      </c>
    </row>
    <row r="337">
      <c r="A337" t="inlineStr">
        <is>
          <t>山形県</t>
        </is>
      </c>
      <c r="B337" t="inlineStr">
        <is>
          <t>真室川町</t>
        </is>
      </c>
      <c r="C337" t="n">
        <v>2519</v>
      </c>
      <c r="D337" t="n">
        <v>6363</v>
      </c>
      <c r="E337" s="6" t="n">
        <v>16.4</v>
      </c>
      <c r="F337" s="7" t="n">
        <v>11.6</v>
      </c>
      <c r="G337" t="n">
        <v>7203</v>
      </c>
      <c r="H337" t="n">
        <v>6363</v>
      </c>
      <c r="I337" t="n">
        <v>5626</v>
      </c>
      <c r="J337" t="n">
        <v>3728</v>
      </c>
      <c r="K337" s="27">
        <f>(H337/D337-1)</f>
        <v/>
      </c>
      <c r="L337" s="27">
        <f>(I337/D337-1)</f>
        <v/>
      </c>
      <c r="M337" s="27">
        <f>(J337/D337-1)</f>
        <v/>
      </c>
      <c r="N337" t="n">
        <v>35.6</v>
      </c>
      <c r="O337" s="28">
        <f>(N337+F337)/2</f>
        <v/>
      </c>
      <c r="P337">
        <f>IF(O337="計算不能","計算不能",IF(O337&gt;=80,5,IF(O337&gt;=60,4,IF(O337&gt;=40,3,IF(O337&gt;=28,2,1)))))</f>
        <v/>
      </c>
      <c r="Q337" t="n">
        <v>560</v>
      </c>
      <c r="R337" t="n">
        <v>0</v>
      </c>
      <c r="S337" s="27">
        <f>R337/Q337</f>
        <v/>
      </c>
      <c r="T337" t="inlineStr">
        <is>
          <t>真室川町は2045年までに人口が約41.4%減と急激な過疎・超高齢化が進行。若年労働世代の流出と自然減が重なり、賃貸事業としての持続性は極めて限定的。</t>
        </is>
      </c>
      <c r="U337" t="inlineStr">
        <is>
          <t>真室川町は人口密度16人/km²と過疎的水準で、民間賃貸の新規需要は薄い。実需に裏付けられた格安戸建ての指値取得のみが現実的。 借家の空室率は約0%と需給は比較的引き締まっている。</t>
        </is>
      </c>
      <c r="V337" t="inlineStr">
        <is>
          <t>真室川町（山形県）：最上川水系の氾濫が頻発。豪雪・なだれ、内陸の土砂災害、庄内沿岸の津波に注意。</t>
        </is>
      </c>
    </row>
    <row r="338">
      <c r="A338" t="inlineStr">
        <is>
          <t>山形県</t>
        </is>
      </c>
      <c r="B338" t="inlineStr">
        <is>
          <t>大蔵村</t>
        </is>
      </c>
      <c r="C338" t="n">
        <v>1012</v>
      </c>
      <c r="D338" t="n">
        <v>2668</v>
      </c>
      <c r="E338" s="6" t="n">
        <v>12.2</v>
      </c>
      <c r="F338" s="7" t="n">
        <v>11.2</v>
      </c>
      <c r="G338" t="n">
        <v>3028</v>
      </c>
      <c r="H338" t="n">
        <v>2668</v>
      </c>
      <c r="I338" t="n">
        <v>2365</v>
      </c>
      <c r="J338" t="n">
        <v>1583</v>
      </c>
      <c r="K338" s="27">
        <f>(H338/D338-1)</f>
        <v/>
      </c>
      <c r="L338" s="27">
        <f>(I338/D338-1)</f>
        <v/>
      </c>
      <c r="M338" s="27">
        <f>(J338/D338-1)</f>
        <v/>
      </c>
      <c r="N338" t="n">
        <v>35.7</v>
      </c>
      <c r="O338" s="28">
        <f>(N338+F338)/2</f>
        <v/>
      </c>
      <c r="P338">
        <f>IF(O338="計算不能","計算不能",IF(O338&gt;=80,5,IF(O338&gt;=60,4,IF(O338&gt;=40,3,IF(O338&gt;=28,2,1)))))</f>
        <v/>
      </c>
      <c r="Q338" t="n">
        <v>225</v>
      </c>
      <c r="R338" t="n">
        <v>0</v>
      </c>
      <c r="S338" s="27">
        <f>R338/Q338</f>
        <v/>
      </c>
      <c r="T338" t="inlineStr">
        <is>
          <t>大蔵村は2045年までに人口が約40.7%減と急激な過疎・超高齢化が進行。若年労働世代の流出と自然減が重なり、賃貸事業としての持続性は極めて限定的。</t>
        </is>
      </c>
      <c r="U338" t="inlineStr">
        <is>
          <t>大蔵村は人口密度12人/km²と過疎的水準で、民間賃貸の新規需要は薄い。実需に裏付けられた格安戸建ての指値取得のみが現実的。 借家の空室率は約0%と需給は比較的引き締まっている。</t>
        </is>
      </c>
      <c r="V338" t="inlineStr">
        <is>
          <t>大蔵村（山形県）：最上川水系の氾濫が頻発。豪雪・なだれ、内陸の土砂災害、庄内沿岸の津波に注意。</t>
        </is>
      </c>
    </row>
    <row r="339">
      <c r="A339" t="inlineStr">
        <is>
          <t>山形県</t>
        </is>
      </c>
      <c r="B339" t="inlineStr">
        <is>
          <t>鮭川村</t>
        </is>
      </c>
      <c r="C339" t="n">
        <v>1297</v>
      </c>
      <c r="D339" t="n">
        <v>3502</v>
      </c>
      <c r="E339" s="6" t="n">
        <v>28</v>
      </c>
      <c r="F339" s="7" t="n">
        <v>12.8</v>
      </c>
      <c r="G339" t="n">
        <v>3902</v>
      </c>
      <c r="H339" t="n">
        <v>3502</v>
      </c>
      <c r="I339" t="n">
        <v>3125</v>
      </c>
      <c r="J339" t="n">
        <v>2081</v>
      </c>
      <c r="K339" s="27">
        <f>(H339/D339-1)</f>
        <v/>
      </c>
      <c r="L339" s="27">
        <f>(I339/D339-1)</f>
        <v/>
      </c>
      <c r="M339" s="27">
        <f>(J339/D339-1)</f>
        <v/>
      </c>
      <c r="N339" t="n">
        <v>37.3</v>
      </c>
      <c r="O339" s="28">
        <f>(N339+F339)/2</f>
        <v/>
      </c>
      <c r="P339">
        <f>IF(O339="計算不能","計算不能",IF(O339&gt;=80,5,IF(O339&gt;=60,4,IF(O339&gt;=40,3,IF(O339&gt;=28,2,1)))))</f>
        <v/>
      </c>
      <c r="Q339" t="n">
        <v>288</v>
      </c>
      <c r="R339" t="n">
        <v>0</v>
      </c>
      <c r="S339" s="27">
        <f>R339/Q339</f>
        <v/>
      </c>
      <c r="T339" t="inlineStr">
        <is>
          <t>鮭川村は2045年までに人口が約40.6%減と急激な過疎・超高齢化が進行。若年労働世代の流出と自然減が重なり、賃貸事業としての持続性は極めて限定的。</t>
        </is>
      </c>
      <c r="U339" t="inlineStr">
        <is>
          <t>鮭川村は人口密度28人/km²と過疎的水準で、民間賃貸の新規需要は薄い。実需に裏付けられた格安戸建ての指値取得のみが現実的。 借家の空室率は約0%と需給は比較的引き締まっている。</t>
        </is>
      </c>
      <c r="V339" t="inlineStr">
        <is>
          <t>鮭川村（山形県）：最上川水系の氾濫が頻発。豪雪・なだれ、内陸の土砂災害、庄内沿岸の津波に注意。</t>
        </is>
      </c>
    </row>
    <row r="340">
      <c r="A340" t="inlineStr">
        <is>
          <t>山形県</t>
        </is>
      </c>
      <c r="B340" t="inlineStr">
        <is>
          <t>戸沢村</t>
        </is>
      </c>
      <c r="C340" t="n">
        <v>1511</v>
      </c>
      <c r="D340" t="n">
        <v>3718</v>
      </c>
      <c r="E340" s="6" t="n">
        <v>13.6</v>
      </c>
      <c r="F340" s="7" t="n">
        <v>11.4</v>
      </c>
      <c r="G340" t="n">
        <v>4199</v>
      </c>
      <c r="H340" t="n">
        <v>3718</v>
      </c>
      <c r="I340" t="n">
        <v>3310</v>
      </c>
      <c r="J340" t="n">
        <v>2185</v>
      </c>
      <c r="K340" s="27">
        <f>(H340/D340-1)</f>
        <v/>
      </c>
      <c r="L340" s="27">
        <f>(I340/D340-1)</f>
        <v/>
      </c>
      <c r="M340" s="27">
        <f>(J340/D340-1)</f>
        <v/>
      </c>
      <c r="N340" t="n">
        <v>36</v>
      </c>
      <c r="O340" s="28">
        <f>(N340+F340)/2</f>
        <v/>
      </c>
      <c r="P340">
        <f>IF(O340="計算不能","計算不能",IF(O340&gt;=80,5,IF(O340&gt;=60,4,IF(O340&gt;=40,3,IF(O340&gt;=28,2,1)))))</f>
        <v/>
      </c>
      <c r="Q340" t="n">
        <v>336</v>
      </c>
      <c r="R340" t="n">
        <v>0</v>
      </c>
      <c r="S340" s="27">
        <f>R340/Q340</f>
        <v/>
      </c>
      <c r="T340" t="inlineStr">
        <is>
          <t>戸沢村は2045年までに人口が約41.2%減と急激な過疎・超高齢化が進行。若年労働世代の流出と自然減が重なり、賃貸事業としての持続性は極めて限定的。</t>
        </is>
      </c>
      <c r="U340" t="inlineStr">
        <is>
          <t>戸沢村は人口密度14人/km²と過疎的水準で、民間賃貸の新規需要は薄い。実需に裏付けられた格安戸建ての指値取得のみが現実的。 借家の空室率は約0%と需給は比較的引き締まっている。</t>
        </is>
      </c>
      <c r="V340" t="inlineStr">
        <is>
          <t>戸沢村（山形県）：最上川水系の氾濫が頻発。豪雪・なだれ、内陸の土砂災害、庄内沿岸の津波に注意。</t>
        </is>
      </c>
    </row>
    <row r="341">
      <c r="A341" t="inlineStr">
        <is>
          <t>山形県</t>
        </is>
      </c>
      <c r="B341" t="inlineStr">
        <is>
          <t>高畠町</t>
        </is>
      </c>
      <c r="C341" t="n">
        <v>7340</v>
      </c>
      <c r="D341" t="n">
        <v>20643</v>
      </c>
      <c r="E341" s="6" t="n">
        <v>113.3</v>
      </c>
      <c r="F341" s="7" t="n">
        <v>21.3</v>
      </c>
      <c r="G341" t="n">
        <v>22463</v>
      </c>
      <c r="H341" t="n">
        <v>20643</v>
      </c>
      <c r="I341" t="n">
        <v>19257</v>
      </c>
      <c r="J341" t="n">
        <v>15195</v>
      </c>
      <c r="K341" s="27">
        <f>(H341/D341-1)</f>
        <v/>
      </c>
      <c r="L341" s="27">
        <f>(I341/D341-1)</f>
        <v/>
      </c>
      <c r="M341" s="27">
        <f>(J341/D341-1)</f>
        <v/>
      </c>
      <c r="N341" t="n">
        <v>43.7</v>
      </c>
      <c r="O341" s="28">
        <f>(N341+F341)/2</f>
        <v/>
      </c>
      <c r="P341">
        <f>IF(O341="計算不能","計算不能",IF(O341&gt;=80,5,IF(O341&gt;=60,4,IF(O341&gt;=40,3,IF(O341&gt;=28,2,1)))))</f>
        <v/>
      </c>
      <c r="Q341" t="n">
        <v>1634</v>
      </c>
      <c r="R341" t="n">
        <v>260</v>
      </c>
      <c r="S341" s="27">
        <f>R341/Q341</f>
        <v/>
      </c>
      <c r="T341" t="inlineStr">
        <is>
          <t>高畠町は2045年までに人口が約26.4%減と明確な減少トレンド。高齢化の進行と世帯数の縮小により、中長期では賃貸需要の構造的縮小に警戒が必要。</t>
        </is>
      </c>
      <c r="U341" t="inlineStr">
        <is>
          <t>高畠町は人口密度113人/km²と過疎的水準で、民間賃貸の新規需要は薄い。実需に裏付けられた格安戸建ての指値取得のみが現実的。 借家の空室率は約16%と需給は比較的引き締まっている。</t>
        </is>
      </c>
      <c r="V341" t="inlineStr">
        <is>
          <t>高畠町（山形県）：最上川水系の氾濫が頻発。豪雪・なだれ、内陸の土砂災害、庄内沿岸の津波に注意。</t>
        </is>
      </c>
    </row>
    <row r="342">
      <c r="A342" t="inlineStr">
        <is>
          <t>山形県</t>
        </is>
      </c>
      <c r="B342" t="inlineStr">
        <is>
          <t>川西町</t>
        </is>
      </c>
      <c r="C342" t="n">
        <v>3595</v>
      </c>
      <c r="D342" t="n">
        <v>12991</v>
      </c>
      <c r="E342" s="6" t="n">
        <v>1283.3</v>
      </c>
      <c r="F342" s="7" t="n">
        <v>60.7</v>
      </c>
      <c r="G342" t="n">
        <v>14558</v>
      </c>
      <c r="H342" t="n">
        <v>12991</v>
      </c>
      <c r="I342" t="n">
        <v>11636</v>
      </c>
      <c r="J342" t="n">
        <v>8153</v>
      </c>
      <c r="K342" s="27">
        <f>(H342/D342-1)</f>
        <v/>
      </c>
      <c r="L342" s="27">
        <f>(I342/D342-1)</f>
        <v/>
      </c>
      <c r="M342" s="27">
        <f>(J342/D342-1)</f>
        <v/>
      </c>
      <c r="N342" t="n">
        <v>37.7</v>
      </c>
      <c r="O342" s="28">
        <f>(N342+F342)/2</f>
        <v/>
      </c>
      <c r="P342">
        <f>IF(O342="計算不能","計算不能",IF(O342&gt;=80,5,IF(O342&gt;=60,4,IF(O342&gt;=40,3,IF(O342&gt;=28,2,1)))))</f>
        <v/>
      </c>
      <c r="Q342" t="n">
        <v>800</v>
      </c>
      <c r="R342" t="n">
        <v>0</v>
      </c>
      <c r="S342" s="27">
        <f>R342/Q342</f>
        <v/>
      </c>
      <c r="T342" t="inlineStr">
        <is>
          <t>川西町は2045年までに人口が約37.2%減と急激な過疎・超高齢化が進行。若年労働世代の流出と自然減が重なり、賃貸事業としての持続性は極めて限定的。</t>
        </is>
      </c>
      <c r="U342" t="inlineStr">
        <is>
          <t>川西町は人口密度1,283人/km²で、主要道路沿いや中心市街地に一定の賃貸需要が局在。立地選別が稼働を左右する。 借家の空室率は約0%と需給は比較的引き締まっている。</t>
        </is>
      </c>
      <c r="V342" t="inlineStr">
        <is>
          <t>川西町（山形県）：最上川水系の氾濫が頻発。豪雪・なだれ、内陸の土砂災害、庄内沿岸の津波に注意。</t>
        </is>
      </c>
    </row>
    <row r="343">
      <c r="A343" t="inlineStr">
        <is>
          <t>山形県</t>
        </is>
      </c>
      <c r="B343" t="inlineStr">
        <is>
          <t>小国町</t>
        </is>
      </c>
      <c r="C343" t="n">
        <v>2999</v>
      </c>
      <c r="D343" t="n">
        <v>6321</v>
      </c>
      <c r="E343" s="6" t="n">
        <v>42.9</v>
      </c>
      <c r="F343" s="7" t="n">
        <v>14.3</v>
      </c>
      <c r="G343" t="n">
        <v>7107</v>
      </c>
      <c r="H343" t="n">
        <v>6321</v>
      </c>
      <c r="I343" t="n">
        <v>5591</v>
      </c>
      <c r="J343" t="n">
        <v>3803</v>
      </c>
      <c r="K343" s="27">
        <f>(H343/D343-1)</f>
        <v/>
      </c>
      <c r="L343" s="27">
        <f>(I343/D343-1)</f>
        <v/>
      </c>
      <c r="M343" s="27">
        <f>(J343/D343-1)</f>
        <v/>
      </c>
      <c r="N343" t="n">
        <v>36.5</v>
      </c>
      <c r="O343" s="28">
        <f>(N343+F343)/2</f>
        <v/>
      </c>
      <c r="P343">
        <f>IF(O343="計算不能","計算不能",IF(O343&gt;=80,5,IF(O343&gt;=60,4,IF(O343&gt;=40,3,IF(O343&gt;=28,2,1)))))</f>
        <v/>
      </c>
      <c r="Q343" t="n">
        <v>667</v>
      </c>
      <c r="R343" t="n">
        <v>0</v>
      </c>
      <c r="S343" s="27">
        <f>R343/Q343</f>
        <v/>
      </c>
      <c r="T343" t="inlineStr">
        <is>
          <t>小国町は2045年までに人口が約39.8%減と急激な過疎・超高齢化が進行。若年労働世代の流出と自然減が重なり、賃貸事業としての持続性は極めて限定的。</t>
        </is>
      </c>
      <c r="U343" t="inlineStr">
        <is>
          <t>小国町は人口密度43人/km²と過疎的水準で、民間賃貸の新規需要は薄い。実需に裏付けられた格安戸建ての指値取得のみが現実的。 借家の空室率は約0%と需給は比較的引き締まっている。</t>
        </is>
      </c>
      <c r="V343" t="inlineStr">
        <is>
          <t>小国町（山形県）：最上川水系の氾濫が頻発。豪雪・なだれ、内陸の土砂災害、庄内沿岸の津波に注意。</t>
        </is>
      </c>
    </row>
    <row r="344">
      <c r="A344" t="inlineStr">
        <is>
          <t>山形県</t>
        </is>
      </c>
      <c r="B344" t="inlineStr">
        <is>
          <t>白鷹町</t>
        </is>
      </c>
      <c r="C344" t="n">
        <v>4682</v>
      </c>
      <c r="D344" t="n">
        <v>11617</v>
      </c>
      <c r="E344" s="6" t="n">
        <v>73.7</v>
      </c>
      <c r="F344" s="7" t="n">
        <v>17.4</v>
      </c>
      <c r="G344" t="n">
        <v>12890</v>
      </c>
      <c r="H344" t="n">
        <v>11617</v>
      </c>
      <c r="I344" t="n">
        <v>10489</v>
      </c>
      <c r="J344" t="n">
        <v>7554</v>
      </c>
      <c r="K344" s="27">
        <f>(H344/D344-1)</f>
        <v/>
      </c>
      <c r="L344" s="27">
        <f>(I344/D344-1)</f>
        <v/>
      </c>
      <c r="M344" s="27">
        <f>(J344/D344-1)</f>
        <v/>
      </c>
      <c r="N344" t="n">
        <v>39.2</v>
      </c>
      <c r="O344" s="28">
        <f>(N344+F344)/2</f>
        <v/>
      </c>
      <c r="P344">
        <f>IF(O344="計算不能","計算不能",IF(O344&gt;=80,5,IF(O344&gt;=60,4,IF(O344&gt;=40,3,IF(O344&gt;=28,2,1)))))</f>
        <v/>
      </c>
      <c r="Q344" t="n">
        <v>1042</v>
      </c>
      <c r="R344" t="n">
        <v>0</v>
      </c>
      <c r="S344" s="27">
        <f>R344/Q344</f>
        <v/>
      </c>
      <c r="T344" t="inlineStr">
        <is>
          <t>白鷹町は2045年までに人口が約35.0%減と急激な過疎・超高齢化が進行。若年労働世代の流出と自然減が重なり、賃貸事業としての持続性は極めて限定的。</t>
        </is>
      </c>
      <c r="U344" t="inlineStr">
        <is>
          <t>白鷹町は人口密度74人/km²と過疎的水準で、民間賃貸の新規需要は薄い。実需に裏付けられた格安戸建ての指値取得のみが現実的。 借家の空室率は約0%と需給は比較的引き締まっている。</t>
        </is>
      </c>
      <c r="V344" t="inlineStr">
        <is>
          <t>白鷹町（山形県）：最上川水系の氾濫が頻発。豪雪・なだれ、内陸の土砂災害、庄内沿岸の津波に注意。</t>
        </is>
      </c>
    </row>
    <row r="345">
      <c r="A345" t="inlineStr">
        <is>
          <t>山形県</t>
        </is>
      </c>
      <c r="B345" t="inlineStr">
        <is>
          <t>飯豊町</t>
        </is>
      </c>
      <c r="C345" t="n">
        <v>2289</v>
      </c>
      <c r="D345" t="n">
        <v>6001</v>
      </c>
      <c r="E345" s="6" t="n">
        <v>17.8</v>
      </c>
      <c r="F345" s="7" t="n">
        <v>11.8</v>
      </c>
      <c r="G345" t="n">
        <v>6613</v>
      </c>
      <c r="H345" t="n">
        <v>6001</v>
      </c>
      <c r="I345" t="n">
        <v>5435</v>
      </c>
      <c r="J345" t="n">
        <v>3955</v>
      </c>
      <c r="K345" s="27">
        <f>(H345/D345-1)</f>
        <v/>
      </c>
      <c r="L345" s="27">
        <f>(I345/D345-1)</f>
        <v/>
      </c>
      <c r="M345" s="27">
        <f>(J345/D345-1)</f>
        <v/>
      </c>
      <c r="N345" t="n">
        <v>40</v>
      </c>
      <c r="O345" s="28">
        <f>(N345+F345)/2</f>
        <v/>
      </c>
      <c r="P345">
        <f>IF(O345="計算不能","計算不能",IF(O345&gt;=80,5,IF(O345&gt;=60,4,IF(O345&gt;=40,3,IF(O345&gt;=28,2,1)))))</f>
        <v/>
      </c>
      <c r="Q345" t="n">
        <v>509</v>
      </c>
      <c r="R345" t="n">
        <v>0</v>
      </c>
      <c r="S345" s="27">
        <f>R345/Q345</f>
        <v/>
      </c>
      <c r="T345" t="inlineStr">
        <is>
          <t>飯豊町は2045年までに人口が約34.1%減と急激な過疎・超高齢化が進行。若年労働世代の流出と自然減が重なり、賃貸事業としての持続性は極めて限定的。</t>
        </is>
      </c>
      <c r="U345" t="inlineStr">
        <is>
          <t>飯豊町は人口密度18人/km²と過疎的水準で、民間賃貸の新規需要は薄い。実需に裏付けられた格安戸建ての指値取得のみが現実的。 借家の空室率は約0%と需給は比較的引き締まっている。</t>
        </is>
      </c>
      <c r="V345" t="inlineStr">
        <is>
          <t>飯豊町（山形県）：最上川水系の氾濫が頻発。豪雪・なだれ、内陸の土砂災害、庄内沿岸の津波に注意。</t>
        </is>
      </c>
    </row>
    <row r="346">
      <c r="A346" t="inlineStr">
        <is>
          <t>山形県</t>
        </is>
      </c>
      <c r="B346" t="inlineStr">
        <is>
          <t>三川町</t>
        </is>
      </c>
      <c r="C346" t="n">
        <v>2513</v>
      </c>
      <c r="D346" t="n">
        <v>7351</v>
      </c>
      <c r="E346" s="6" t="n">
        <v>215.1</v>
      </c>
      <c r="F346" s="7" t="n">
        <v>30.8</v>
      </c>
      <c r="G346" t="n">
        <v>7601</v>
      </c>
      <c r="H346" t="n">
        <v>7351</v>
      </c>
      <c r="I346" t="n">
        <v>7074</v>
      </c>
      <c r="J346" t="n">
        <v>6180</v>
      </c>
      <c r="K346" s="27">
        <f>(H346/D346-1)</f>
        <v/>
      </c>
      <c r="L346" s="27">
        <f>(I346/D346-1)</f>
        <v/>
      </c>
      <c r="M346" s="27">
        <f>(J346/D346-1)</f>
        <v/>
      </c>
      <c r="N346" t="n">
        <v>58.2</v>
      </c>
      <c r="O346" s="28">
        <f>(N346+F346)/2</f>
        <v/>
      </c>
      <c r="P346">
        <f>IF(O346="計算不能","計算不能",IF(O346&gt;=80,5,IF(O346&gt;=60,4,IF(O346&gt;=40,3,IF(O346&gt;=28,2,1)))))</f>
        <v/>
      </c>
      <c r="Q346" t="n">
        <v>559</v>
      </c>
      <c r="R346" t="n">
        <v>0</v>
      </c>
      <c r="S346" s="27">
        <f>R346/Q346</f>
        <v/>
      </c>
      <c r="T346" t="inlineStr">
        <is>
          <t>三川町は2045年までに人口が約15.9%減と明確な減少トレンド。高齢化の進行と世帯数の縮小により、中長期では賃貸需要の構造的縮小に警戒が必要。</t>
        </is>
      </c>
      <c r="U346" t="inlineStr">
        <is>
          <t>三川町は人口密度215人/km²と低密度で、賃貸需要は限定的。持ち家比率が高く、駐車場完備の戸建て賃貸が有利。 借家の空室率は約0%と需給は比較的引き締まっている。</t>
        </is>
      </c>
      <c r="V346" t="inlineStr">
        <is>
          <t>三川町（山形県）：最上川水系の氾濫が頻発。豪雪・なだれ、内陸の土砂災害、庄内沿岸の津波に注意。</t>
        </is>
      </c>
    </row>
    <row r="347">
      <c r="A347" t="inlineStr">
        <is>
          <t>山形県</t>
        </is>
      </c>
      <c r="B347" t="inlineStr">
        <is>
          <t>庄内町</t>
        </is>
      </c>
      <c r="C347" t="n">
        <v>6460</v>
      </c>
      <c r="D347" t="n">
        <v>18226</v>
      </c>
      <c r="E347" s="6" t="n">
        <v>73.7</v>
      </c>
      <c r="F347" s="7" t="n">
        <v>17.4</v>
      </c>
      <c r="G347" t="n">
        <v>20151</v>
      </c>
      <c r="H347" t="n">
        <v>18226</v>
      </c>
      <c r="I347" t="n">
        <v>16598</v>
      </c>
      <c r="J347" t="n">
        <v>12145</v>
      </c>
      <c r="K347" s="27">
        <f>(H347/D347-1)</f>
        <v/>
      </c>
      <c r="L347" s="27">
        <f>(I347/D347-1)</f>
        <v/>
      </c>
      <c r="M347" s="27">
        <f>(J347/D347-1)</f>
        <v/>
      </c>
      <c r="N347" t="n">
        <v>40.1</v>
      </c>
      <c r="O347" s="28">
        <f>(N347+F347)/2</f>
        <v/>
      </c>
      <c r="P347">
        <f>IF(O347="計算不能","計算不能",IF(O347&gt;=80,5,IF(O347&gt;=60,4,IF(O347&gt;=40,3,IF(O347&gt;=28,2,1)))))</f>
        <v/>
      </c>
      <c r="Q347" t="n">
        <v>1438</v>
      </c>
      <c r="R347" t="n">
        <v>140</v>
      </c>
      <c r="S347" s="27">
        <f>R347/Q347</f>
        <v/>
      </c>
      <c r="T347" t="inlineStr">
        <is>
          <t>庄内町は2045年までに人口が約33.4%減と急激な過疎・超高齢化が進行。若年労働世代の流出と自然減が重なり、賃貸事業としての持続性は極めて限定的。</t>
        </is>
      </c>
      <c r="U347" t="inlineStr">
        <is>
          <t>庄内町は人口密度74人/km²と過疎的水準で、民間賃貸の新規需要は薄い。実需に裏付けられた格安戸建ての指値取得のみが現実的。 借家の空室率は約10%と需給は比較的引き締まっている。</t>
        </is>
      </c>
      <c r="V347" t="inlineStr">
        <is>
          <t>庄内町（山形県）：最上川水系の氾濫が頻発。豪雪・なだれ、内陸の土砂災害、庄内沿岸の津波に注意。</t>
        </is>
      </c>
    </row>
    <row r="348">
      <c r="A348" t="inlineStr">
        <is>
          <t>山形県</t>
        </is>
      </c>
      <c r="B348" t="inlineStr">
        <is>
          <t>遊佐町</t>
        </is>
      </c>
      <c r="C348" t="n">
        <v>4865</v>
      </c>
      <c r="D348" t="n">
        <v>11669</v>
      </c>
      <c r="E348" s="6" t="n">
        <v>55.3</v>
      </c>
      <c r="F348" s="7" t="n">
        <v>15.5</v>
      </c>
      <c r="G348" t="n">
        <v>13032</v>
      </c>
      <c r="H348" t="n">
        <v>11669</v>
      </c>
      <c r="I348" t="n">
        <v>10466</v>
      </c>
      <c r="J348" t="n">
        <v>7144</v>
      </c>
      <c r="K348" s="27">
        <f>(H348/D348-1)</f>
        <v/>
      </c>
      <c r="L348" s="27">
        <f>(I348/D348-1)</f>
        <v/>
      </c>
      <c r="M348" s="27">
        <f>(J348/D348-1)</f>
        <v/>
      </c>
      <c r="N348" t="n">
        <v>37.6</v>
      </c>
      <c r="O348" s="28">
        <f>(N348+F348)/2</f>
        <v/>
      </c>
      <c r="P348">
        <f>IF(O348="計算不能","計算不能",IF(O348&gt;=80,5,IF(O348&gt;=60,4,IF(O348&gt;=40,3,IF(O348&gt;=28,2,1)))))</f>
        <v/>
      </c>
      <c r="Q348" t="n">
        <v>1083</v>
      </c>
      <c r="R348" t="n">
        <v>0</v>
      </c>
      <c r="S348" s="27">
        <f>R348/Q348</f>
        <v/>
      </c>
      <c r="T348" t="inlineStr">
        <is>
          <t>遊佐町は2045年までに人口が約38.8%減と急激な過疎・超高齢化が進行。若年労働世代の流出と自然減が重なり、賃貸事業としての持続性は極めて限定的。</t>
        </is>
      </c>
      <c r="U348" t="inlineStr">
        <is>
          <t>遊佐町は人口密度55人/km²と過疎的水準で、民間賃貸の新規需要は薄い。実需に裏付けられた格安戸建ての指値取得のみが現実的。 借家の空室率は約0%と需給は比較的引き締まっている。</t>
        </is>
      </c>
      <c r="V348" t="inlineStr">
        <is>
          <t>遊佐町（山形県）：最上川水系の氾濫が頻発。豪雪・なだれ、内陸の土砂災害、庄内沿岸の津波に注意。</t>
        </is>
      </c>
    </row>
    <row r="349">
      <c r="A349" t="inlineStr">
        <is>
          <t>福島県</t>
        </is>
      </c>
      <c r="B349" t="inlineStr">
        <is>
          <t>福島市</t>
        </is>
      </c>
      <c r="C349" t="n">
        <v>121350</v>
      </c>
      <c r="D349" t="n">
        <v>273384</v>
      </c>
      <c r="E349" s="6" t="n">
        <v>346.2</v>
      </c>
      <c r="F349" s="7" t="n">
        <v>37.3</v>
      </c>
      <c r="G349" t="n">
        <v>282693</v>
      </c>
      <c r="H349" t="n">
        <v>273384</v>
      </c>
      <c r="I349" t="n">
        <v>262398</v>
      </c>
      <c r="J349" t="n">
        <v>223398</v>
      </c>
      <c r="K349" s="27">
        <f>(H349/D349-1)</f>
        <v/>
      </c>
      <c r="L349" s="27">
        <f>(I349/D349-1)</f>
        <v/>
      </c>
      <c r="M349" s="27">
        <f>(J349/D349-1)</f>
        <v/>
      </c>
      <c r="N349" t="n">
        <v>56.9</v>
      </c>
      <c r="O349" s="28">
        <f>(N349+F349)/2</f>
        <v/>
      </c>
      <c r="P349">
        <f>IF(O349="計算不能","計算不能",IF(O349&gt;=80,5,IF(O349&gt;=60,4,IF(O349&gt;=40,3,IF(O349&gt;=28,2,1)))))</f>
        <v/>
      </c>
      <c r="Q349" t="n">
        <v>31824</v>
      </c>
      <c r="R349" t="n">
        <v>9900</v>
      </c>
      <c r="S349" s="27">
        <f>R349/Q349</f>
        <v/>
      </c>
      <c r="T349" t="inlineStr">
        <is>
          <t>福島市は2045年までに人口が約18.3%減と明確な減少トレンド。高齢化の進行と世帯数の縮小により、中長期では賃貸需要の構造的縮小に警戒が必要。</t>
        </is>
      </c>
      <c r="U349" t="inlineStr">
        <is>
          <t>福島市は人口密度346人/km²と低密度で、賃貸需要は限定的。持ち家比率が高く、駐車場完備の戸建て賃貸が有利。 借家の空室率は約31%と供給過多気味で、空室長期化リスクに要警戒。</t>
        </is>
      </c>
      <c r="V349" t="inlineStr">
        <is>
          <t>福島市（福島県）：阿武隈川・阿賀川の洪水、太平洋沿岸の津波、中通り・会津の豪雪と土砂災害に留意。</t>
        </is>
      </c>
    </row>
    <row r="350">
      <c r="A350" t="inlineStr">
        <is>
          <t>福島県</t>
        </is>
      </c>
      <c r="B350" t="inlineStr">
        <is>
          <t>会津若松市</t>
        </is>
      </c>
      <c r="C350" t="n">
        <v>48120</v>
      </c>
      <c r="D350" t="n">
        <v>109725</v>
      </c>
      <c r="E350" s="6" t="n">
        <v>284.7</v>
      </c>
      <c r="F350" s="7" t="n">
        <v>34.2</v>
      </c>
      <c r="G350" t="n">
        <v>117376</v>
      </c>
      <c r="H350" t="n">
        <v>109725</v>
      </c>
      <c r="I350" t="n">
        <v>103057</v>
      </c>
      <c r="J350" t="n">
        <v>82981</v>
      </c>
      <c r="K350" s="27">
        <f>(H350/D350-1)</f>
        <v/>
      </c>
      <c r="L350" s="27">
        <f>(I350/D350-1)</f>
        <v/>
      </c>
      <c r="M350" s="27">
        <f>(J350/D350-1)</f>
        <v/>
      </c>
      <c r="N350" t="n">
        <v>46.6</v>
      </c>
      <c r="O350" s="28">
        <f>(N350+F350)/2</f>
        <v/>
      </c>
      <c r="P350">
        <f>IF(O350="計算不能","計算不能",IF(O350&gt;=80,5,IF(O350&gt;=60,4,IF(O350&gt;=40,3,IF(O350&gt;=28,2,1)))))</f>
        <v/>
      </c>
      <c r="Q350" t="n">
        <v>12619</v>
      </c>
      <c r="R350" t="n">
        <v>5770</v>
      </c>
      <c r="S350" s="27">
        <f>R350/Q350</f>
        <v/>
      </c>
      <c r="T350" t="inlineStr">
        <is>
          <t>会津若松市は2045年までに人口が約24.4%減と明確な減少トレンド。高齢化の進行と世帯数の縮小により、中長期では賃貸需要の構造的縮小に警戒が必要。</t>
        </is>
      </c>
      <c r="U350" t="inlineStr">
        <is>
          <t>会津若松市は人口密度285人/km²と低密度で、賃貸需要は限定的。持ち家比率が高く、駐車場完備の戸建て賃貸が有利。 借家の空室率は約46%と供給過多気味で、空室長期化リスクに要警戒。</t>
        </is>
      </c>
      <c r="V350" t="inlineStr">
        <is>
          <t>会津若松市（福島県）：阿武隈川・阿賀川の洪水、太平洋沿岸の津波、中通り・会津の豪雪と土砂災害に留意。</t>
        </is>
      </c>
    </row>
    <row r="351">
      <c r="A351" t="inlineStr">
        <is>
          <t>福島県</t>
        </is>
      </c>
      <c r="B351" t="inlineStr">
        <is>
          <t>郡山市</t>
        </is>
      </c>
      <c r="C351" t="n">
        <v>140450</v>
      </c>
      <c r="D351" t="n">
        <v>319847</v>
      </c>
      <c r="E351" s="6" t="n">
        <v>413.5</v>
      </c>
      <c r="F351" s="7" t="n">
        <v>40.7</v>
      </c>
      <c r="G351" t="n">
        <v>327692</v>
      </c>
      <c r="H351" t="n">
        <v>319847</v>
      </c>
      <c r="I351" t="n">
        <v>309854</v>
      </c>
      <c r="J351" t="n">
        <v>271297</v>
      </c>
      <c r="K351" s="27">
        <f>(H351/D351-1)</f>
        <v/>
      </c>
      <c r="L351" s="27">
        <f>(I351/D351-1)</f>
        <v/>
      </c>
      <c r="M351" s="27">
        <f>(J351/D351-1)</f>
        <v/>
      </c>
      <c r="N351" t="n">
        <v>60.7</v>
      </c>
      <c r="O351" s="28">
        <f>(N351+F351)/2</f>
        <v/>
      </c>
      <c r="P351">
        <f>IF(O351="計算不能","計算不能",IF(O351&gt;=80,5,IF(O351&gt;=60,4,IF(O351&gt;=40,3,IF(O351&gt;=28,2,1)))))</f>
        <v/>
      </c>
      <c r="Q351" t="n">
        <v>36833</v>
      </c>
      <c r="R351" t="n">
        <v>13530</v>
      </c>
      <c r="S351" s="27">
        <f>R351/Q351</f>
        <v/>
      </c>
      <c r="T351" t="inlineStr">
        <is>
          <t>郡山市は2045年までに人口が約15.2%減と明確な減少トレンド。高齢化の進行と世帯数の縮小により、中長期では賃貸需要の構造的縮小に警戒が必要。</t>
        </is>
      </c>
      <c r="U351" t="inlineStr">
        <is>
          <t>郡山市は人口密度414人/km²と低密度で、賃貸需要は限定的。持ち家比率が高く、駐車場完備の戸建て賃貸が有利。 借家の空室率は約37%と供給過多気味で、空室長期化リスクに要警戒。</t>
        </is>
      </c>
      <c r="V351" t="inlineStr">
        <is>
          <t>郡山市（福島県）：阿武隈川・阿賀川の洪水、太平洋沿岸の津波、中通り・会津の豪雪と土砂災害に留意。</t>
        </is>
      </c>
    </row>
    <row r="352">
      <c r="A352" t="inlineStr">
        <is>
          <t>福島県</t>
        </is>
      </c>
      <c r="B352" t="inlineStr">
        <is>
          <t>いわき市</t>
        </is>
      </c>
      <c r="C352" t="n">
        <v>140110</v>
      </c>
      <c r="D352" t="n">
        <v>303171</v>
      </c>
      <c r="E352" s="6" t="n">
        <v>248.7</v>
      </c>
      <c r="F352" s="7" t="n">
        <v>32.4</v>
      </c>
      <c r="G352" t="n">
        <v>452508</v>
      </c>
      <c r="H352" t="n">
        <v>421046</v>
      </c>
      <c r="I352" t="n">
        <v>400218</v>
      </c>
      <c r="J352" t="n">
        <v>331391</v>
      </c>
      <c r="K352" s="27" t="n">
        <v>-0.06952805254271748</v>
      </c>
      <c r="L352" s="27" t="n">
        <v>-0.1155559680712827</v>
      </c>
      <c r="M352" s="27" t="n">
        <v>-0.2676571463929919</v>
      </c>
      <c r="N352" t="n">
        <v>48</v>
      </c>
      <c r="O352" s="28">
        <f>(N352+F352)/2</f>
        <v/>
      </c>
      <c r="P352">
        <f>IF(O352="計算不能","計算不能",IF(O352&gt;=80,5,IF(O352&gt;=60,4,IF(O352&gt;=40,3,IF(O352&gt;=28,2,1)))))</f>
        <v/>
      </c>
      <c r="Q352" t="n">
        <v>36744</v>
      </c>
      <c r="R352" t="n">
        <v>12640</v>
      </c>
      <c r="S352" s="27">
        <f>R352/Q352</f>
        <v/>
      </c>
      <c r="T352" t="inlineStr">
        <is>
          <t>いわき市は個別の将来人口推計データが未整備のため、浜通り地域合計（福島県浜通り13市町村）の推計値を参照。浜通り地域全体では2020年比で2045年までに約26.8%減（452,508人→331,391人）と見込まれ、全国平均を上回る急速な人口減少が予測される。東日本大震災・原発事故後の復興途上にあり、帰還・移住動向が人口動態を左右するため、賃貸需要の先行きには不確実性が高い。</t>
        </is>
      </c>
      <c r="U352" t="inlineStr">
        <is>
          <t>いわき市は人口密度249人/km²と低密度で、賃貸需要は限定的。持ち家比率が高く、駐車場完備の戸建て賃貸が有利。 借家の空室率は約34%と供給過多気味で、空室長期化リスクに要警戒。</t>
        </is>
      </c>
      <c r="V352" t="inlineStr">
        <is>
          <t>いわき市（福島県）：阿武隈川・阿賀川の洪水、太平洋沿岸の津波、中通り・会津の豪雪と土砂災害に留意。</t>
        </is>
      </c>
    </row>
    <row r="353">
      <c r="A353" t="inlineStr">
        <is>
          <t>福島県</t>
        </is>
      </c>
      <c r="B353" t="inlineStr">
        <is>
          <t>白河市</t>
        </is>
      </c>
      <c r="C353" t="n">
        <v>23210</v>
      </c>
      <c r="D353" t="n">
        <v>56170</v>
      </c>
      <c r="E353" s="6" t="n">
        <v>181.5</v>
      </c>
      <c r="F353" s="7" t="n">
        <v>28.1</v>
      </c>
      <c r="G353" t="n">
        <v>59491</v>
      </c>
      <c r="H353" t="n">
        <v>56170</v>
      </c>
      <c r="I353" t="n">
        <v>53105</v>
      </c>
      <c r="J353" t="n">
        <v>43705</v>
      </c>
      <c r="K353" s="27">
        <f>(H353/D353-1)</f>
        <v/>
      </c>
      <c r="L353" s="27">
        <f>(I353/D353-1)</f>
        <v/>
      </c>
      <c r="M353" s="27">
        <f>(J353/D353-1)</f>
        <v/>
      </c>
      <c r="N353" t="n">
        <v>49.8</v>
      </c>
      <c r="O353" s="28">
        <f>(N353+F353)/2</f>
        <v/>
      </c>
      <c r="P353">
        <f>IF(O353="計算不能","計算不能",IF(O353&gt;=80,5,IF(O353&gt;=60,4,IF(O353&gt;=40,3,IF(O353&gt;=28,2,1)))))</f>
        <v/>
      </c>
      <c r="Q353" t="n">
        <v>6086</v>
      </c>
      <c r="R353" t="n">
        <v>2340</v>
      </c>
      <c r="S353" s="27">
        <f>R353/Q353</f>
        <v/>
      </c>
      <c r="T353" t="inlineStr">
        <is>
          <t>白河市は2045年までに人口が約22.2%減と明確な減少トレンド。高齢化の進行と世帯数の縮小により、中長期では賃貸需要の構造的縮小に警戒が必要。</t>
        </is>
      </c>
      <c r="U353" t="inlineStr">
        <is>
          <t>白河市は人口密度182人/km²と過疎的水準で、民間賃貸の新規需要は薄い。実需に裏付けられた格安戸建ての指値取得のみが現実的。 借家の空室率は約38%と供給過多気味で、空室長期化リスクに要警戒。</t>
        </is>
      </c>
      <c r="V353" t="inlineStr">
        <is>
          <t>白河市（福島県）：阿武隈川・阿賀川の洪水、太平洋沿岸の津波、中通り・会津の豪雪と土砂災害に留意。</t>
        </is>
      </c>
    </row>
    <row r="354">
      <c r="A354" t="inlineStr">
        <is>
          <t>福島県</t>
        </is>
      </c>
      <c r="B354" t="inlineStr">
        <is>
          <t>須賀川市</t>
        </is>
      </c>
      <c r="C354" t="n">
        <v>27410</v>
      </c>
      <c r="D354" t="n">
        <v>72248</v>
      </c>
      <c r="E354" s="6" t="n">
        <v>254.5</v>
      </c>
      <c r="F354" s="7" t="n">
        <v>32.7</v>
      </c>
      <c r="G354" t="n">
        <v>74992</v>
      </c>
      <c r="H354" t="n">
        <v>72248</v>
      </c>
      <c r="I354" t="n">
        <v>69149</v>
      </c>
      <c r="J354" t="n">
        <v>58078</v>
      </c>
      <c r="K354" s="27">
        <f>(H354/D354-1)</f>
        <v/>
      </c>
      <c r="L354" s="27">
        <f>(I354/D354-1)</f>
        <v/>
      </c>
      <c r="M354" s="27">
        <f>(J354/D354-1)</f>
        <v/>
      </c>
      <c r="N354" t="n">
        <v>55.3</v>
      </c>
      <c r="O354" s="28">
        <f>(N354+F354)/2</f>
        <v/>
      </c>
      <c r="P354">
        <f>IF(O354="計算不能","計算不能",IF(O354&gt;=80,5,IF(O354&gt;=60,4,IF(O354&gt;=40,3,IF(O354&gt;=28,2,1)))))</f>
        <v/>
      </c>
      <c r="Q354" t="n">
        <v>7188</v>
      </c>
      <c r="R354" t="n">
        <v>1620</v>
      </c>
      <c r="S354" s="27">
        <f>R354/Q354</f>
        <v/>
      </c>
      <c r="T354" t="inlineStr">
        <is>
          <t>須賀川市は2045年までに人口が約19.6%減と明確な減少トレンド。高齢化の進行と世帯数の縮小により、中長期では賃貸需要の構造的縮小に警戒が必要。</t>
        </is>
      </c>
      <c r="U354" t="inlineStr">
        <is>
          <t>須賀川市は人口密度254人/km²と低密度で、賃貸需要は限定的。持ち家比率が高く、駐車場完備の戸建て賃貸が有利。 借家の空室率は約23%とやや高めで、競合との差別化が必要。</t>
        </is>
      </c>
      <c r="V354" t="inlineStr">
        <is>
          <t>須賀川市（福島県）：阿武隈川・阿賀川の洪水、太平洋沿岸の津波、中通り・会津の豪雪と土砂災害に留意。</t>
        </is>
      </c>
    </row>
    <row r="355">
      <c r="A355" t="inlineStr">
        <is>
          <t>福島県</t>
        </is>
      </c>
      <c r="B355" t="inlineStr">
        <is>
          <t>喜多方市</t>
        </is>
      </c>
      <c r="C355" t="n">
        <v>15700</v>
      </c>
      <c r="D355" t="n">
        <v>41008</v>
      </c>
      <c r="E355" s="6" t="n">
        <v>75.3</v>
      </c>
      <c r="F355" s="7" t="n">
        <v>17.5</v>
      </c>
      <c r="G355" t="n">
        <v>44760</v>
      </c>
      <c r="H355" t="n">
        <v>41008</v>
      </c>
      <c r="I355" t="n">
        <v>37507</v>
      </c>
      <c r="J355" t="n">
        <v>27881</v>
      </c>
      <c r="K355" s="27">
        <f>(H355/D355-1)</f>
        <v/>
      </c>
      <c r="L355" s="27">
        <f>(I355/D355-1)</f>
        <v/>
      </c>
      <c r="M355" s="27">
        <f>(J355/D355-1)</f>
        <v/>
      </c>
      <c r="N355" t="n">
        <v>41.5</v>
      </c>
      <c r="O355" s="28">
        <f>(N355+F355)/2</f>
        <v/>
      </c>
      <c r="P355">
        <f>IF(O355="計算不能","計算不能",IF(O355&gt;=80,5,IF(O355&gt;=60,4,IF(O355&gt;=40,3,IF(O355&gt;=28,2,1)))))</f>
        <v/>
      </c>
      <c r="Q355" t="n">
        <v>4117</v>
      </c>
      <c r="R355" t="n">
        <v>970</v>
      </c>
      <c r="S355" s="27">
        <f>R355/Q355</f>
        <v/>
      </c>
      <c r="T355" t="inlineStr">
        <is>
          <t>喜多方市は2045年までに人口が約32.0%減と急激な過疎・超高齢化が進行。若年労働世代の流出と自然減が重なり、賃貸事業としての持続性は極めて限定的。</t>
        </is>
      </c>
      <c r="U355" t="inlineStr">
        <is>
          <t>喜多方市は人口密度75人/km²と過疎的水準で、民間賃貸の新規需要は薄い。実需に裏付けられた格安戸建ての指値取得のみが現実的。 借家の空室率は約24%とやや高めで、競合との差別化が必要。</t>
        </is>
      </c>
      <c r="V355" t="inlineStr">
        <is>
          <t>喜多方市（福島県）：阿武隈川・阿賀川の洪水、太平洋沿岸の津波、中通り・会津の豪雪と土砂災害に留意。</t>
        </is>
      </c>
    </row>
    <row r="356">
      <c r="A356" t="inlineStr">
        <is>
          <t>福島県</t>
        </is>
      </c>
      <c r="B356" t="inlineStr">
        <is>
          <t>相馬市</t>
        </is>
      </c>
      <c r="C356" t="n">
        <v>13160</v>
      </c>
      <c r="D356" t="n">
        <v>32261</v>
      </c>
      <c r="E356" s="6" t="n">
        <v>161.2</v>
      </c>
      <c r="F356" s="7" t="n">
        <v>26.1</v>
      </c>
      <c r="G356" t="n">
        <v>452508</v>
      </c>
      <c r="H356" t="n">
        <v>421046</v>
      </c>
      <c r="I356" t="n">
        <v>400218</v>
      </c>
      <c r="J356" t="n">
        <v>331391</v>
      </c>
      <c r="K356" s="27" t="n">
        <v>-0.06952805254271748</v>
      </c>
      <c r="L356" s="27" t="n">
        <v>-0.1155559680712827</v>
      </c>
      <c r="M356" s="27" t="n">
        <v>-0.2676571463929919</v>
      </c>
      <c r="N356" t="n">
        <v>48</v>
      </c>
      <c r="O356" s="28">
        <f>(N356+F356)/2</f>
        <v/>
      </c>
      <c r="P356">
        <f>IF(O356="計算不能","計算不能",IF(O356&gt;=80,5,IF(O356&gt;=60,4,IF(O356&gt;=40,3,IF(O356&gt;=28,2,1)))))</f>
        <v/>
      </c>
      <c r="Q356" t="n">
        <v>3451</v>
      </c>
      <c r="R356" t="n">
        <v>1470</v>
      </c>
      <c r="S356" s="27">
        <f>R356/Q356</f>
        <v/>
      </c>
      <c r="T356" t="inlineStr">
        <is>
          <t>相馬市は個別の将来人口推計データが未整備のため、浜通り地域合計（福島県浜通り13市町村）の推計値を参照。浜通り地域全体では2020年比で2045年までに約26.8%減（452,508人→331,391人）と見込まれ、全国平均を上回る急速な人口減少が予測される。東日本大震災・原発事故後の復興途上にあり、帰還・移住動向が人口動態を左右するため、賃貸需要の先行きには不確実性が高い。</t>
        </is>
      </c>
      <c r="U356" t="inlineStr">
        <is>
          <t>相馬市は人口密度161人/km²と過疎的水準で、民間賃貸の新規需要は薄い。実需に裏付けられた格安戸建ての指値取得のみが現実的。 借家の空室率は約43%と供給過多気味で、空室長期化リスクに要警戒。</t>
        </is>
      </c>
      <c r="V356" t="inlineStr">
        <is>
          <t>相馬市（福島県）：阿武隈川・阿賀川の洪水、太平洋沿岸の津波、中通り・会津の豪雪と土砂災害に留意。</t>
        </is>
      </c>
    </row>
    <row r="357">
      <c r="A357" t="inlineStr">
        <is>
          <t>福島県</t>
        </is>
      </c>
      <c r="B357" t="inlineStr">
        <is>
          <t>二本松市</t>
        </is>
      </c>
      <c r="C357" t="n">
        <v>18820</v>
      </c>
      <c r="D357" t="n">
        <v>50053</v>
      </c>
      <c r="E357" s="6" t="n">
        <v>143.1</v>
      </c>
      <c r="F357" s="7" t="n">
        <v>24.3</v>
      </c>
      <c r="G357" t="n">
        <v>53557</v>
      </c>
      <c r="H357" t="n">
        <v>50053</v>
      </c>
      <c r="I357" t="n">
        <v>46509</v>
      </c>
      <c r="J357" t="n">
        <v>35499</v>
      </c>
      <c r="K357" s="27">
        <f>(H357/D357-1)</f>
        <v/>
      </c>
      <c r="L357" s="27">
        <f>(I357/D357-1)</f>
        <v/>
      </c>
      <c r="M357" s="27">
        <f>(J357/D357-1)</f>
        <v/>
      </c>
      <c r="N357" t="n">
        <v>44.3</v>
      </c>
      <c r="O357" s="28">
        <f>(N357+F357)/2</f>
        <v/>
      </c>
      <c r="P357">
        <f>IF(O357="計算不能","計算不能",IF(O357&gt;=80,5,IF(O357&gt;=60,4,IF(O357&gt;=40,3,IF(O357&gt;=28,2,1)))))</f>
        <v/>
      </c>
      <c r="Q357" t="n">
        <v>4935</v>
      </c>
      <c r="R357" t="n">
        <v>1720</v>
      </c>
      <c r="S357" s="27">
        <f>R357/Q357</f>
        <v/>
      </c>
      <c r="T357" t="inlineStr">
        <is>
          <t>二本松市は2045年までに人口が約29.1%減と明確な減少トレンド。高齢化の進行と世帯数の縮小により、中長期では賃貸需要の構造的縮小に警戒が必要。</t>
        </is>
      </c>
      <c r="U357" t="inlineStr">
        <is>
          <t>二本松市は人口密度143人/km²と過疎的水準で、民間賃貸の新規需要は薄い。実需に裏付けられた格安戸建ての指値取得のみが現実的。 借家の空室率は約35%と供給過多気味で、空室長期化リスクに要警戒。</t>
        </is>
      </c>
      <c r="V357" t="inlineStr">
        <is>
          <t>二本松市（福島県）：阿武隈川・阿賀川の洪水、太平洋沿岸の津波、中通り・会津の豪雪と土砂災害に留意。</t>
        </is>
      </c>
    </row>
    <row r="358">
      <c r="A358" t="inlineStr">
        <is>
          <t>福島県</t>
        </is>
      </c>
      <c r="B358" t="inlineStr">
        <is>
          <t>田村市</t>
        </is>
      </c>
      <c r="C358" t="n">
        <v>11720</v>
      </c>
      <c r="D358" t="n">
        <v>31276</v>
      </c>
      <c r="E358" s="6" t="n">
        <v>69.5</v>
      </c>
      <c r="F358" s="7" t="n">
        <v>16.9</v>
      </c>
      <c r="G358" t="n">
        <v>35169</v>
      </c>
      <c r="H358" t="n">
        <v>31276</v>
      </c>
      <c r="I358" t="n">
        <v>28446</v>
      </c>
      <c r="J358" t="n">
        <v>20581</v>
      </c>
      <c r="K358" s="27">
        <f>(H358/D358-1)</f>
        <v/>
      </c>
      <c r="L358" s="27">
        <f>(I358/D358-1)</f>
        <v/>
      </c>
      <c r="M358" s="27">
        <f>(J358/D358-1)</f>
        <v/>
      </c>
      <c r="N358" t="n">
        <v>38.5</v>
      </c>
      <c r="O358" s="28">
        <f>(N358+F358)/2</f>
        <v/>
      </c>
      <c r="P358">
        <f>IF(O358="計算不能","計算不能",IF(O358&gt;=80,5,IF(O358&gt;=60,4,IF(O358&gt;=40,3,IF(O358&gt;=28,2,1)))))</f>
        <v/>
      </c>
      <c r="Q358" t="n">
        <v>3073</v>
      </c>
      <c r="R358" t="n">
        <v>410</v>
      </c>
      <c r="S358" s="27">
        <f>R358/Q358</f>
        <v/>
      </c>
      <c r="T358" t="inlineStr">
        <is>
          <t>田村市は2045年までに人口が約34.2%減と急激な過疎・超高齢化が進行。若年労働世代の流出と自然減が重なり、賃貸事業としての持続性は極めて限定的。</t>
        </is>
      </c>
      <c r="U358" t="inlineStr">
        <is>
          <t>田村市は人口密度70人/km²と過疎的水準で、民間賃貸の新規需要は薄い。実需に裏付けられた格安戸建ての指値取得のみが現実的。 借家の空室率は約13%と需給は比較的引き締まっている。</t>
        </is>
      </c>
      <c r="V358" t="inlineStr">
        <is>
          <t>田村市（福島県）：阿武隈川・阿賀川の洪水、太平洋沿岸の津波、中通り・会津の豪雪と土砂災害に留意。</t>
        </is>
      </c>
    </row>
    <row r="359">
      <c r="A359" t="inlineStr">
        <is>
          <t>福島県</t>
        </is>
      </c>
      <c r="B359" t="inlineStr">
        <is>
          <t>南相馬市</t>
        </is>
      </c>
      <c r="C359" t="n">
        <v>23670</v>
      </c>
      <c r="D359" t="n">
        <v>55774</v>
      </c>
      <c r="E359" s="6" t="n">
        <v>135.8</v>
      </c>
      <c r="F359" s="7" t="n">
        <v>23.6</v>
      </c>
      <c r="G359" t="n">
        <v>452508</v>
      </c>
      <c r="H359" t="n">
        <v>421046</v>
      </c>
      <c r="I359" t="n">
        <v>400218</v>
      </c>
      <c r="J359" t="n">
        <v>331391</v>
      </c>
      <c r="K359" s="27" t="n">
        <v>-0.06952805254271748</v>
      </c>
      <c r="L359" s="27" t="n">
        <v>-0.1155559680712827</v>
      </c>
      <c r="M359" s="27" t="n">
        <v>-0.2676571463929919</v>
      </c>
      <c r="N359" t="n">
        <v>48</v>
      </c>
      <c r="O359" s="28">
        <f>(N359+F359)/2</f>
        <v/>
      </c>
      <c r="P359">
        <f>IF(O359="計算不能","計算不能",IF(O359&gt;=80,5,IF(O359&gt;=60,4,IF(O359&gt;=40,3,IF(O359&gt;=28,2,1)))))</f>
        <v/>
      </c>
      <c r="Q359" t="n">
        <v>6207</v>
      </c>
      <c r="R359" t="n">
        <v>3980</v>
      </c>
      <c r="S359" s="27">
        <f>R359/Q359</f>
        <v/>
      </c>
      <c r="T359" t="inlineStr">
        <is>
          <t>南相馬市は個別の将来人口推計データが未整備のため、浜通り地域合計（福島県浜通り13市町村）の推計値を参照。浜通り地域全体では2020年比で2045年までに約26.8%減（452,508人→331,391人）と見込まれ、全国平均を上回る急速な人口減少が予測される。東日本大震災・原発事故後の復興途上にあり、帰還・移住動向が人口動態を左右するため、賃貸需要の先行きには不確実性が高い。</t>
        </is>
      </c>
      <c r="U359" t="inlineStr">
        <is>
          <t>南相馬市は人口密度136人/km²と過疎的水準で、民間賃貸の新規需要は薄い。実需に裏付けられた格安戸建ての指値取得のみが現実的。 借家の空室率は約64%と供給過多気味で、空室長期化リスクに要警戒。</t>
        </is>
      </c>
      <c r="V359" t="inlineStr">
        <is>
          <t>南相馬市（福島県）：阿武隈川・阿賀川の洪水、太平洋沿岸の津波、中通り・会津の豪雪と土砂災害に留意。</t>
        </is>
      </c>
    </row>
    <row r="360">
      <c r="A360" t="inlineStr">
        <is>
          <t>福島県</t>
        </is>
      </c>
      <c r="B360" t="inlineStr">
        <is>
          <t>伊達市</t>
        </is>
      </c>
      <c r="C360" t="n">
        <v>20650</v>
      </c>
      <c r="D360" t="n">
        <v>54084</v>
      </c>
      <c r="E360" s="6" t="n">
        <v>204.2</v>
      </c>
      <c r="F360" s="7" t="n">
        <v>30.2</v>
      </c>
      <c r="G360" t="n">
        <v>58240</v>
      </c>
      <c r="H360" t="n">
        <v>54084</v>
      </c>
      <c r="I360" t="n">
        <v>49970</v>
      </c>
      <c r="J360" t="n">
        <v>37553</v>
      </c>
      <c r="K360" s="27">
        <f>(H360/D360-1)</f>
        <v/>
      </c>
      <c r="L360" s="27">
        <f>(I360/D360-1)</f>
        <v/>
      </c>
      <c r="M360" s="27">
        <f>(J360/D360-1)</f>
        <v/>
      </c>
      <c r="N360" t="n">
        <v>43.3</v>
      </c>
      <c r="O360" s="28">
        <f>(N360+F360)/2</f>
        <v/>
      </c>
      <c r="P360">
        <f>IF(O360="計算不能","計算不能",IF(O360&gt;=80,5,IF(O360&gt;=60,4,IF(O360&gt;=40,3,IF(O360&gt;=28,2,1)))))</f>
        <v/>
      </c>
      <c r="Q360" t="n">
        <v>5415</v>
      </c>
      <c r="R360" t="n">
        <v>1260</v>
      </c>
      <c r="S360" s="27">
        <f>R360/Q360</f>
        <v/>
      </c>
      <c r="T360" t="inlineStr">
        <is>
          <t>伊達市は2045年までに人口が約30.6%減と急激な過疎・超高齢化が進行。若年労働世代の流出と自然減が重なり、賃貸事業としての持続性は極めて限定的。</t>
        </is>
      </c>
      <c r="U360" t="inlineStr">
        <is>
          <t>伊達市は人口密度204人/km²と低密度で、賃貸需要は限定的。持ち家比率が高く、駐車場完備の戸建て賃貸が有利。 借家の空室率は約23%とやや高めで、競合との差別化が必要。</t>
        </is>
      </c>
      <c r="V360" t="inlineStr">
        <is>
          <t>伊達市（福島県）：阿武隈川・阿賀川の洪水、太平洋沿岸の津波、中通り・会津の豪雪と土砂災害に留意。</t>
        </is>
      </c>
    </row>
    <row r="361">
      <c r="A361" t="inlineStr">
        <is>
          <t>福島県</t>
        </is>
      </c>
      <c r="B361" t="inlineStr">
        <is>
          <t>本宮市</t>
        </is>
      </c>
      <c r="C361" t="n">
        <v>11170</v>
      </c>
      <c r="D361" t="n">
        <v>29301</v>
      </c>
      <c r="E361" s="6" t="n">
        <v>336.8</v>
      </c>
      <c r="F361" s="7" t="n">
        <v>36.8</v>
      </c>
      <c r="G361" t="n">
        <v>30236</v>
      </c>
      <c r="H361" t="n">
        <v>29301</v>
      </c>
      <c r="I361" t="n">
        <v>28216</v>
      </c>
      <c r="J361" t="n">
        <v>24295</v>
      </c>
      <c r="K361" s="27">
        <f>(H361/D361-1)</f>
        <v/>
      </c>
      <c r="L361" s="27">
        <f>(I361/D361-1)</f>
        <v/>
      </c>
      <c r="M361" s="27">
        <f>(J361/D361-1)</f>
        <v/>
      </c>
      <c r="N361" t="n">
        <v>58</v>
      </c>
      <c r="O361" s="28">
        <f>(N361+F361)/2</f>
        <v/>
      </c>
      <c r="P361">
        <f>IF(O361="計算不能","計算不能",IF(O361&gt;=80,5,IF(O361&gt;=60,4,IF(O361&gt;=40,3,IF(O361&gt;=28,2,1)))))</f>
        <v/>
      </c>
      <c r="Q361" t="n">
        <v>2929</v>
      </c>
      <c r="R361" t="n">
        <v>560</v>
      </c>
      <c r="S361" s="27">
        <f>R361/Q361</f>
        <v/>
      </c>
      <c r="T361" t="inlineStr">
        <is>
          <t>本宮市は2045年までに人口が約17.1%減と明確な減少トレンド。高齢化の進行と世帯数の縮小により、中長期では賃貸需要の構造的縮小に警戒が必要。</t>
        </is>
      </c>
      <c r="U361" t="inlineStr">
        <is>
          <t>本宮市は人口密度337人/km²と低密度で、賃貸需要は限定的。持ち家比率が高く、駐車場完備の戸建て賃貸が有利。 借家の空室率は約19%とやや高めで、競合との差別化が必要。</t>
        </is>
      </c>
      <c r="V361" t="inlineStr">
        <is>
          <t>本宮市（福島県）：阿武隈川・阿賀川の洪水、太平洋沿岸の津波、中通り・会津の豪雪と土砂災害に留意。</t>
        </is>
      </c>
    </row>
    <row r="362">
      <c r="A362" t="inlineStr">
        <is>
          <t>福島県</t>
        </is>
      </c>
      <c r="B362" t="inlineStr">
        <is>
          <t>桑折町</t>
        </is>
      </c>
      <c r="C362" t="n">
        <v>4680</v>
      </c>
      <c r="D362" t="n">
        <v>10624</v>
      </c>
      <c r="E362" s="6" t="n">
        <v>249.1</v>
      </c>
      <c r="F362" s="7" t="n">
        <v>32.5</v>
      </c>
      <c r="G362" t="n">
        <v>11459</v>
      </c>
      <c r="H362" t="n">
        <v>10624</v>
      </c>
      <c r="I362" t="n">
        <v>9877</v>
      </c>
      <c r="J362" t="n">
        <v>7546</v>
      </c>
      <c r="K362" s="27">
        <f>(H362/D362-1)</f>
        <v/>
      </c>
      <c r="L362" s="27">
        <f>(I362/D362-1)</f>
        <v/>
      </c>
      <c r="M362" s="27">
        <f>(J362/D362-1)</f>
        <v/>
      </c>
      <c r="N362" t="n">
        <v>43.7</v>
      </c>
      <c r="O362" s="28">
        <f>(N362+F362)/2</f>
        <v/>
      </c>
      <c r="P362">
        <f>IF(O362="計算不能","計算不能",IF(O362&gt;=80,5,IF(O362&gt;=60,4,IF(O362&gt;=40,3,IF(O362&gt;=28,2,1)))))</f>
        <v/>
      </c>
      <c r="Q362" t="n">
        <v>1227</v>
      </c>
      <c r="R362" t="n">
        <v>0</v>
      </c>
      <c r="S362" s="27">
        <f>R362/Q362</f>
        <v/>
      </c>
      <c r="T362" t="inlineStr">
        <is>
          <t>桑折町は2045年までに人口が約29.0%減と明確な減少トレンド。高齢化の進行と世帯数の縮小により、中長期では賃貸需要の構造的縮小に警戒が必要。</t>
        </is>
      </c>
      <c r="U362" t="inlineStr">
        <is>
          <t>桑折町は人口密度249人/km²と低密度で、賃貸需要は限定的。持ち家比率が高く、駐車場完備の戸建て賃貸が有利。 借家の空室率は約0%と需給は比較的引き締まっている。</t>
        </is>
      </c>
      <c r="V362" t="inlineStr">
        <is>
          <t>桑折町（福島県）：阿武隈川・阿賀川の洪水、太平洋沿岸の津波、中通り・会津の豪雪と土砂災害に留意。</t>
        </is>
      </c>
    </row>
    <row r="363">
      <c r="A363" t="inlineStr">
        <is>
          <t>福島県</t>
        </is>
      </c>
      <c r="B363" t="inlineStr">
        <is>
          <t>国見町</t>
        </is>
      </c>
      <c r="C363" t="n">
        <v>3383</v>
      </c>
      <c r="D363" t="n">
        <v>7828</v>
      </c>
      <c r="E363" s="6" t="n">
        <v>203.1</v>
      </c>
      <c r="F363" s="7" t="n">
        <v>30.2</v>
      </c>
      <c r="G363" t="n">
        <v>8639</v>
      </c>
      <c r="H363" t="n">
        <v>7828</v>
      </c>
      <c r="I363" t="n">
        <v>7037</v>
      </c>
      <c r="J363" t="n">
        <v>4825</v>
      </c>
      <c r="K363" s="27">
        <f>(H363/D363-1)</f>
        <v/>
      </c>
      <c r="L363" s="27">
        <f>(I363/D363-1)</f>
        <v/>
      </c>
      <c r="M363" s="27">
        <f>(J363/D363-1)</f>
        <v/>
      </c>
      <c r="N363" t="n">
        <v>38.7</v>
      </c>
      <c r="O363" s="28">
        <f>(N363+F363)/2</f>
        <v/>
      </c>
      <c r="P363">
        <f>IF(O363="計算不能","計算不能",IF(O363&gt;=80,5,IF(O363&gt;=60,4,IF(O363&gt;=40,3,IF(O363&gt;=28,2,1)))))</f>
        <v/>
      </c>
      <c r="Q363" t="n">
        <v>887</v>
      </c>
      <c r="R363" t="n">
        <v>0</v>
      </c>
      <c r="S363" s="27">
        <f>R363/Q363</f>
        <v/>
      </c>
      <c r="T363" t="inlineStr">
        <is>
          <t>国見町は2045年までに人口が約38.4%減と急激な過疎・超高齢化が進行。若年労働世代の流出と自然減が重なり、賃貸事業としての持続性は極めて限定的。</t>
        </is>
      </c>
      <c r="U363" t="inlineStr">
        <is>
          <t>国見町は人口密度203人/km²と低密度で、賃貸需要は限定的。持ち家比率が高く、駐車場完備の戸建て賃貸が有利。 借家の空室率は約0%と需給は比較的引き締まっている。</t>
        </is>
      </c>
      <c r="V363" t="inlineStr">
        <is>
          <t>国見町（福島県）：阿武隈川・阿賀川の洪水、太平洋沿岸の津波、中通り・会津の豪雪と土砂災害に留意。</t>
        </is>
      </c>
    </row>
    <row r="364">
      <c r="A364" t="inlineStr">
        <is>
          <t>福島県</t>
        </is>
      </c>
      <c r="B364" t="inlineStr">
        <is>
          <t>川俣町</t>
        </is>
      </c>
      <c r="C364" t="n">
        <v>5295</v>
      </c>
      <c r="D364" t="n">
        <v>10716</v>
      </c>
      <c r="E364" s="6" t="n">
        <v>84.90000000000001</v>
      </c>
      <c r="F364" s="7" t="n">
        <v>18.5</v>
      </c>
      <c r="G364" t="n">
        <v>12170</v>
      </c>
      <c r="H364" t="n">
        <v>10716</v>
      </c>
      <c r="I364" t="n">
        <v>9430</v>
      </c>
      <c r="J364" t="n">
        <v>6041</v>
      </c>
      <c r="K364" s="27">
        <f>(H364/D364-1)</f>
        <v/>
      </c>
      <c r="L364" s="27">
        <f>(I364/D364-1)</f>
        <v/>
      </c>
      <c r="M364" s="27">
        <f>(J364/D364-1)</f>
        <v/>
      </c>
      <c r="N364" t="n">
        <v>34.8</v>
      </c>
      <c r="O364" s="28">
        <f>(N364+F364)/2</f>
        <v/>
      </c>
      <c r="P364">
        <f>IF(O364="計算不能","計算不能",IF(O364&gt;=80,5,IF(O364&gt;=60,4,IF(O364&gt;=40,3,IF(O364&gt;=28,2,1)))))</f>
        <v/>
      </c>
      <c r="Q364" t="n">
        <v>1388</v>
      </c>
      <c r="R364" t="n">
        <v>0</v>
      </c>
      <c r="S364" s="27">
        <f>R364/Q364</f>
        <v/>
      </c>
      <c r="T364" t="inlineStr">
        <is>
          <t>川俣町は2045年までに人口が約43.6%減と急激な過疎・超高齢化が進行。若年労働世代の流出と自然減が重なり、賃貸事業としての持続性は極めて限定的。</t>
        </is>
      </c>
      <c r="U364" t="inlineStr">
        <is>
          <t>川俣町は人口密度85人/km²と過疎的水準で、民間賃貸の新規需要は薄い。実需に裏付けられた格安戸建ての指値取得のみが現実的。 借家の空室率は約0%と需給は比較的引き締まっている。</t>
        </is>
      </c>
      <c r="V364" t="inlineStr">
        <is>
          <t>川俣町（福島県）：阿武隈川・阿賀川の洪水、太平洋沿岸の津波、中通り・会津の豪雪と土砂災害に留意。</t>
        </is>
      </c>
    </row>
    <row r="365">
      <c r="A365" t="inlineStr">
        <is>
          <t>福島県</t>
        </is>
      </c>
      <c r="B365" t="inlineStr">
        <is>
          <t>大玉村</t>
        </is>
      </c>
      <c r="C365" t="n">
        <v>3197</v>
      </c>
      <c r="D365" t="n">
        <v>8917</v>
      </c>
      <c r="E365" s="6" t="n">
        <v>112.6</v>
      </c>
      <c r="F365" s="7" t="n">
        <v>21.3</v>
      </c>
      <c r="G365" t="n">
        <v>8900</v>
      </c>
      <c r="H365" t="n">
        <v>8917</v>
      </c>
      <c r="I365" t="n">
        <v>8841</v>
      </c>
      <c r="J365" t="n">
        <v>8247</v>
      </c>
      <c r="K365" s="27">
        <f>(H365/D365-1)</f>
        <v/>
      </c>
      <c r="L365" s="27">
        <f>(I365/D365-1)</f>
        <v/>
      </c>
      <c r="M365" s="27">
        <f>(J365/D365-1)</f>
        <v/>
      </c>
      <c r="N365" t="n">
        <v>71</v>
      </c>
      <c r="O365" s="28">
        <f>(N365+F365)/2</f>
        <v/>
      </c>
      <c r="P365">
        <f>IF(O365="計算不能","計算不能",IF(O365&gt;=80,5,IF(O365&gt;=60,4,IF(O365&gt;=40,3,IF(O365&gt;=28,2,1)))))</f>
        <v/>
      </c>
      <c r="Q365" t="n">
        <v>838</v>
      </c>
      <c r="R365" t="n">
        <v>0</v>
      </c>
      <c r="S365" s="27">
        <f>R365/Q365</f>
        <v/>
      </c>
      <c r="T365" t="inlineStr">
        <is>
          <t>大玉村は2045年までに人口が約7.5%減と緩やかな減少局面。若年層の都市部流出と高齢化が進むが、当面の賃貸稼働は一定程度維持される見通し。</t>
        </is>
      </c>
      <c r="U365" t="inlineStr">
        <is>
          <t>大玉村は人口密度113人/km²と過疎的水準で、民間賃貸の新規需要は薄い。実需に裏付けられた格安戸建ての指値取得のみが現実的。 借家の空室率は約0%と需給は比較的引き締まっている。</t>
        </is>
      </c>
      <c r="V365" t="inlineStr">
        <is>
          <t>大玉村（福島県）：阿武隈川・阿賀川の洪水、太平洋沿岸の津波、中通り・会津の豪雪と土砂災害に留意。</t>
        </is>
      </c>
    </row>
    <row r="366">
      <c r="A366" t="inlineStr">
        <is>
          <t>福島県</t>
        </is>
      </c>
      <c r="B366" t="inlineStr">
        <is>
          <t>鏡石町</t>
        </is>
      </c>
      <c r="C366" t="n">
        <v>5044</v>
      </c>
      <c r="D366" t="n">
        <v>11938</v>
      </c>
      <c r="E366" s="6" t="n">
        <v>383.9</v>
      </c>
      <c r="F366" s="7" t="n">
        <v>39.2</v>
      </c>
      <c r="G366" t="n">
        <v>12318</v>
      </c>
      <c r="H366" t="n">
        <v>11938</v>
      </c>
      <c r="I366" t="n">
        <v>11499</v>
      </c>
      <c r="J366" t="n">
        <v>9936</v>
      </c>
      <c r="K366" s="27">
        <f>(H366/D366-1)</f>
        <v/>
      </c>
      <c r="L366" s="27">
        <f>(I366/D366-1)</f>
        <v/>
      </c>
      <c r="M366" s="27">
        <f>(J366/D366-1)</f>
        <v/>
      </c>
      <c r="N366" t="n">
        <v>58.2</v>
      </c>
      <c r="O366" s="28">
        <f>(N366+F366)/2</f>
        <v/>
      </c>
      <c r="P366">
        <f>IF(O366="計算不能","計算不能",IF(O366&gt;=80,5,IF(O366&gt;=60,4,IF(O366&gt;=40,3,IF(O366&gt;=28,2,1)))))</f>
        <v/>
      </c>
      <c r="Q366" t="n">
        <v>1322</v>
      </c>
      <c r="R366" t="n">
        <v>0</v>
      </c>
      <c r="S366" s="27">
        <f>R366/Q366</f>
        <v/>
      </c>
      <c r="T366" t="inlineStr">
        <is>
          <t>鏡石町は2045年までに人口が約16.8%減と明確な減少トレンド。高齢化の進行と世帯数の縮小により、中長期では賃貸需要の構造的縮小に警戒が必要。</t>
        </is>
      </c>
      <c r="U366" t="inlineStr">
        <is>
          <t>鏡石町は人口密度384人/km²と低密度で、賃貸需要は限定的。持ち家比率が高く、駐車場完備の戸建て賃貸が有利。 借家の空室率は約0%と需給は比較的引き締まっている。</t>
        </is>
      </c>
      <c r="V366" t="inlineStr">
        <is>
          <t>鏡石町（福島県）：阿武隈川・阿賀川の洪水、太平洋沿岸の津波、中通り・会津の豪雪と土砂災害に留意。</t>
        </is>
      </c>
    </row>
    <row r="367">
      <c r="A367" t="inlineStr">
        <is>
          <t>福島県</t>
        </is>
      </c>
      <c r="B367" t="inlineStr">
        <is>
          <t>天栄村</t>
        </is>
      </c>
      <c r="C367" t="n">
        <v>2011</v>
      </c>
      <c r="D367" t="n">
        <v>4760</v>
      </c>
      <c r="E367" s="6" t="n">
        <v>21.4</v>
      </c>
      <c r="F367" s="7" t="n">
        <v>12.1</v>
      </c>
      <c r="G367" t="n">
        <v>5194</v>
      </c>
      <c r="H367" t="n">
        <v>4760</v>
      </c>
      <c r="I367" t="n">
        <v>4374</v>
      </c>
      <c r="J367" t="n">
        <v>3204</v>
      </c>
      <c r="K367" s="27">
        <f>(H367/D367-1)</f>
        <v/>
      </c>
      <c r="L367" s="27">
        <f>(I367/D367-1)</f>
        <v/>
      </c>
      <c r="M367" s="27">
        <f>(J367/D367-1)</f>
        <v/>
      </c>
      <c r="N367" t="n">
        <v>41.6</v>
      </c>
      <c r="O367" s="28">
        <f>(N367+F367)/2</f>
        <v/>
      </c>
      <c r="P367">
        <f>IF(O367="計算不能","計算不能",IF(O367&gt;=80,5,IF(O367&gt;=60,4,IF(O367&gt;=40,3,IF(O367&gt;=28,2,1)))))</f>
        <v/>
      </c>
      <c r="Q367" t="n">
        <v>527</v>
      </c>
      <c r="R367" t="n">
        <v>0</v>
      </c>
      <c r="S367" s="27">
        <f>R367/Q367</f>
        <v/>
      </c>
      <c r="T367" t="inlineStr">
        <is>
          <t>天栄村は2045年までに人口が約32.7%減と急激な過疎・超高齢化が進行。若年労働世代の流出と自然減が重なり、賃貸事業としての持続性は極めて限定的。</t>
        </is>
      </c>
      <c r="U367" t="inlineStr">
        <is>
          <t>天栄村は人口密度21人/km²と過疎的水準で、民間賃貸の新規需要は薄い。実需に裏付けられた格安戸建ての指値取得のみが現実的。 借家の空室率は約0%と需給は比較的引き締まっている。</t>
        </is>
      </c>
      <c r="V367" t="inlineStr">
        <is>
          <t>天栄村（福島県）：阿武隈川・阿賀川の洪水、太平洋沿岸の津波、中通り・会津の豪雪と土砂災害に留意。</t>
        </is>
      </c>
    </row>
    <row r="368">
      <c r="A368" t="inlineStr">
        <is>
          <t>福島県</t>
        </is>
      </c>
      <c r="B368" t="inlineStr">
        <is>
          <t>下郷町</t>
        </is>
      </c>
      <c r="C368" t="n">
        <v>2103</v>
      </c>
      <c r="D368" t="n">
        <v>4648</v>
      </c>
      <c r="E368" s="6" t="n">
        <v>14.1</v>
      </c>
      <c r="F368" s="7" t="n">
        <v>11.4</v>
      </c>
      <c r="G368" t="n">
        <v>5264</v>
      </c>
      <c r="H368" t="n">
        <v>4648</v>
      </c>
      <c r="I368" t="n">
        <v>4092</v>
      </c>
      <c r="J368" t="n">
        <v>2733</v>
      </c>
      <c r="K368" s="27">
        <f>(H368/D368-1)</f>
        <v/>
      </c>
      <c r="L368" s="27">
        <f>(I368/D368-1)</f>
        <v/>
      </c>
      <c r="M368" s="27">
        <f>(J368/D368-1)</f>
        <v/>
      </c>
      <c r="N368" t="n">
        <v>35.5</v>
      </c>
      <c r="O368" s="28">
        <f>(N368+F368)/2</f>
        <v/>
      </c>
      <c r="P368">
        <f>IF(O368="計算不能","計算不能",IF(O368&gt;=80,5,IF(O368&gt;=60,4,IF(O368&gt;=40,3,IF(O368&gt;=28,2,1)))))</f>
        <v/>
      </c>
      <c r="Q368" t="n">
        <v>551</v>
      </c>
      <c r="R368" t="n">
        <v>0</v>
      </c>
      <c r="S368" s="27">
        <f>R368/Q368</f>
        <v/>
      </c>
      <c r="T368" t="inlineStr">
        <is>
          <t>下郷町は2045年までに人口が約41.2%減と急激な過疎・超高齢化が進行。若年労働世代の流出と自然減が重なり、賃貸事業としての持続性は極めて限定的。</t>
        </is>
      </c>
      <c r="U368" t="inlineStr">
        <is>
          <t>下郷町は人口密度14人/km²と過疎的水準で、民間賃貸の新規需要は薄い。実需に裏付けられた格安戸建ての指値取得のみが現実的。 借家の空室率は約0%と需給は比較的引き締まっている。</t>
        </is>
      </c>
      <c r="V368" t="inlineStr">
        <is>
          <t>下郷町（福島県）：阿武隈川・阿賀川の洪水、太平洋沿岸の津波、中通り・会津の豪雪と土砂災害に留意。</t>
        </is>
      </c>
    </row>
    <row r="369">
      <c r="A369" t="inlineStr">
        <is>
          <t>福島県</t>
        </is>
      </c>
      <c r="B369" t="inlineStr">
        <is>
          <t>檜枝岐村</t>
        </is>
      </c>
      <c r="C369" t="n">
        <v>199</v>
      </c>
      <c r="D369" t="n">
        <v>447</v>
      </c>
      <c r="E369" s="6" t="n">
        <v>1.2</v>
      </c>
      <c r="F369" s="7" t="n">
        <v>10.1</v>
      </c>
      <c r="G369" t="n">
        <v>504</v>
      </c>
      <c r="H369" t="n">
        <v>447</v>
      </c>
      <c r="I369" t="n">
        <v>396</v>
      </c>
      <c r="J369" t="n">
        <v>306</v>
      </c>
      <c r="K369" s="27">
        <f>(H369/D369-1)</f>
        <v/>
      </c>
      <c r="L369" s="27">
        <f>(I369/D369-1)</f>
        <v/>
      </c>
      <c r="M369" s="27">
        <f>(J369/D369-1)</f>
        <v/>
      </c>
      <c r="N369" t="n">
        <v>38.2</v>
      </c>
      <c r="O369" s="28">
        <f>(N369+F369)/2</f>
        <v/>
      </c>
      <c r="P369">
        <f>IF(O369="計算不能","計算不能",IF(O369&gt;=80,5,IF(O369&gt;=60,4,IF(O369&gt;=40,3,IF(O369&gt;=28,2,1)))))</f>
        <v/>
      </c>
      <c r="Q369" t="n">
        <v>52</v>
      </c>
      <c r="R369" t="n">
        <v>0</v>
      </c>
      <c r="S369" s="27">
        <f>R369/Q369</f>
        <v/>
      </c>
      <c r="T369" t="inlineStr">
        <is>
          <t>檜枝岐村は2045年までに人口が約31.5%減と急激な過疎・超高齢化が進行。若年労働世代の流出と自然減が重なり、賃貸事業としての持続性は極めて限定的。</t>
        </is>
      </c>
      <c r="U369" t="inlineStr">
        <is>
          <t>檜枝岐村は人口密度1人/km²と過疎的水準で、民間賃貸の新規需要は薄い。実需に裏付けられた格安戸建ての指値取得のみが現実的。 借家の空室率は約0%と需給は比較的引き締まっている。</t>
        </is>
      </c>
      <c r="V369" t="inlineStr">
        <is>
          <t>檜枝岐村（福島県）：阿武隈川・阿賀川の洪水、太平洋沿岸の津波、中通り・会津の豪雪と土砂災害に留意。</t>
        </is>
      </c>
    </row>
    <row r="370">
      <c r="A370" t="inlineStr">
        <is>
          <t>福島県</t>
        </is>
      </c>
      <c r="B370" t="inlineStr">
        <is>
          <t>只見町</t>
        </is>
      </c>
      <c r="C370" t="n">
        <v>1766</v>
      </c>
      <c r="D370" t="n">
        <v>3606</v>
      </c>
      <c r="E370" s="6" t="n">
        <v>4.6</v>
      </c>
      <c r="F370" s="7" t="n">
        <v>10.5</v>
      </c>
      <c r="G370" t="n">
        <v>4044</v>
      </c>
      <c r="H370" t="n">
        <v>3606</v>
      </c>
      <c r="I370" t="n">
        <v>3228</v>
      </c>
      <c r="J370" t="n">
        <v>2335</v>
      </c>
      <c r="K370" s="27">
        <f>(H370/D370-1)</f>
        <v/>
      </c>
      <c r="L370" s="27">
        <f>(I370/D370-1)</f>
        <v/>
      </c>
      <c r="M370" s="27">
        <f>(J370/D370-1)</f>
        <v/>
      </c>
      <c r="N370" t="n">
        <v>38</v>
      </c>
      <c r="O370" s="28">
        <f>(N370+F370)/2</f>
        <v/>
      </c>
      <c r="P370">
        <f>IF(O370="計算不能","計算不能",IF(O370&gt;=80,5,IF(O370&gt;=60,4,IF(O370&gt;=40,3,IF(O370&gt;=28,2,1)))))</f>
        <v/>
      </c>
      <c r="Q370" t="n">
        <v>463</v>
      </c>
      <c r="R370" t="n">
        <v>0</v>
      </c>
      <c r="S370" s="27">
        <f>R370/Q370</f>
        <v/>
      </c>
      <c r="T370" t="inlineStr">
        <is>
          <t>只見町は2045年までに人口が約35.2%減と急激な過疎・超高齢化が進行。若年労働世代の流出と自然減が重なり、賃貸事業としての持続性は極めて限定的。</t>
        </is>
      </c>
      <c r="U370" t="inlineStr">
        <is>
          <t>只見町は人口密度5人/km²と過疎的水準で、民間賃貸の新規需要は薄い。実需に裏付けられた格安戸建ての指値取得のみが現実的。 借家の空室率は約0%と需給は比較的引き締まっている。</t>
        </is>
      </c>
      <c r="V370" t="inlineStr">
        <is>
          <t>只見町（福島県）：阿武隈川・阿賀川の洪水、太平洋沿岸の津波、中通り・会津の豪雪と土砂災害に留意。</t>
        </is>
      </c>
    </row>
    <row r="371">
      <c r="A371" t="inlineStr">
        <is>
          <t>福島県</t>
        </is>
      </c>
      <c r="B371" t="inlineStr">
        <is>
          <t>南会津町</t>
        </is>
      </c>
      <c r="C371" t="n">
        <v>6262</v>
      </c>
      <c r="D371" t="n">
        <v>12592</v>
      </c>
      <c r="E371" s="6" t="n">
        <v>14.2</v>
      </c>
      <c r="F371" s="7" t="n">
        <v>11.4</v>
      </c>
      <c r="G371" t="n">
        <v>14451</v>
      </c>
      <c r="H371" t="n">
        <v>12592</v>
      </c>
      <c r="I371" t="n">
        <v>11126</v>
      </c>
      <c r="J371" t="n">
        <v>7437</v>
      </c>
      <c r="K371" s="27">
        <f>(H371/D371-1)</f>
        <v/>
      </c>
      <c r="L371" s="27">
        <f>(I371/D371-1)</f>
        <v/>
      </c>
      <c r="M371" s="27">
        <f>(J371/D371-1)</f>
        <v/>
      </c>
      <c r="N371" t="n">
        <v>34.7</v>
      </c>
      <c r="O371" s="28">
        <f>(N371+F371)/2</f>
        <v/>
      </c>
      <c r="P371">
        <f>IF(O371="計算不能","計算不能",IF(O371&gt;=80,5,IF(O371&gt;=60,4,IF(O371&gt;=40,3,IF(O371&gt;=28,2,1)))))</f>
        <v/>
      </c>
      <c r="Q371" t="n">
        <v>1642</v>
      </c>
      <c r="R371" t="n">
        <v>0</v>
      </c>
      <c r="S371" s="27">
        <f>R371/Q371</f>
        <v/>
      </c>
      <c r="T371" t="inlineStr">
        <is>
          <t>南会津町は2045年までに人口が約40.9%減と急激な過疎・超高齢化が進行。若年労働世代の流出と自然減が重なり、賃貸事業としての持続性は極めて限定的。</t>
        </is>
      </c>
      <c r="U371" t="inlineStr">
        <is>
          <t>南会津町は人口密度14人/km²と過疎的水準で、民間賃貸の新規需要は薄い。実需に裏付けられた格安戸建ての指値取得のみが現実的。 借家の空室率は約0%と需給は比較的引き締まっている。</t>
        </is>
      </c>
      <c r="V371" t="inlineStr">
        <is>
          <t>南会津町（福島県）：阿武隈川・阿賀川の洪水、太平洋沿岸の津波、中通り・会津の豪雪と土砂災害に留意。</t>
        </is>
      </c>
    </row>
    <row r="372">
      <c r="A372" t="inlineStr">
        <is>
          <t>福島県</t>
        </is>
      </c>
      <c r="B372" t="inlineStr">
        <is>
          <t>北塩原村</t>
        </is>
      </c>
      <c r="C372" t="n">
        <v>1103</v>
      </c>
      <c r="D372" t="n">
        <v>2315</v>
      </c>
      <c r="E372" s="6" t="n">
        <v>9.300000000000001</v>
      </c>
      <c r="F372" s="7" t="n">
        <v>10.9</v>
      </c>
      <c r="G372" t="n">
        <v>2556</v>
      </c>
      <c r="H372" t="n">
        <v>2315</v>
      </c>
      <c r="I372" t="n">
        <v>2075</v>
      </c>
      <c r="J372" t="n">
        <v>1447</v>
      </c>
      <c r="K372" s="27">
        <f>(H372/D372-1)</f>
        <v/>
      </c>
      <c r="L372" s="27">
        <f>(I372/D372-1)</f>
        <v/>
      </c>
      <c r="M372" s="27">
        <f>(J372/D372-1)</f>
        <v/>
      </c>
      <c r="N372" t="n">
        <v>38.8</v>
      </c>
      <c r="O372" s="28">
        <f>(N372+F372)/2</f>
        <v/>
      </c>
      <c r="P372">
        <f>IF(O372="計算不能","計算不能",IF(O372&gt;=80,5,IF(O372&gt;=60,4,IF(O372&gt;=40,3,IF(O372&gt;=28,2,1)))))</f>
        <v/>
      </c>
      <c r="Q372" t="n">
        <v>289</v>
      </c>
      <c r="R372" t="n">
        <v>0</v>
      </c>
      <c r="S372" s="27">
        <f>R372/Q372</f>
        <v/>
      </c>
      <c r="T372" t="inlineStr">
        <is>
          <t>北塩原村は2045年までに人口が約37.5%減と急激な過疎・超高齢化が進行。若年労働世代の流出と自然減が重なり、賃貸事業としての持続性は極めて限定的。</t>
        </is>
      </c>
      <c r="U372" t="inlineStr">
        <is>
          <t>北塩原村は人口密度9人/km²と過疎的水準で、民間賃貸の新規需要は薄い。実需に裏付けられた格安戸建ての指値取得のみが現実的。 借家の空室率は約0%と需給は比較的引き締まっている。</t>
        </is>
      </c>
      <c r="V372" t="inlineStr">
        <is>
          <t>北塩原村（福島県）：阿武隈川・阿賀川の洪水、太平洋沿岸の津波、中通り・会津の豪雪と土砂災害に留意。</t>
        </is>
      </c>
    </row>
    <row r="373">
      <c r="A373" t="inlineStr">
        <is>
          <t>福島県</t>
        </is>
      </c>
      <c r="B373" t="inlineStr">
        <is>
          <t>西会津町</t>
        </is>
      </c>
      <c r="C373" t="n">
        <v>2478</v>
      </c>
      <c r="D373" t="n">
        <v>5112</v>
      </c>
      <c r="E373" s="6" t="n">
        <v>17</v>
      </c>
      <c r="F373" s="7" t="n">
        <v>11.7</v>
      </c>
      <c r="G373" t="n">
        <v>5770</v>
      </c>
      <c r="H373" t="n">
        <v>5112</v>
      </c>
      <c r="I373" t="n">
        <v>4508</v>
      </c>
      <c r="J373" t="n">
        <v>3006</v>
      </c>
      <c r="K373" s="27">
        <f>(H373/D373-1)</f>
        <v/>
      </c>
      <c r="L373" s="27">
        <f>(I373/D373-1)</f>
        <v/>
      </c>
      <c r="M373" s="27">
        <f>(J373/D373-1)</f>
        <v/>
      </c>
      <c r="N373" t="n">
        <v>35.8</v>
      </c>
      <c r="O373" s="28">
        <f>(N373+F373)/2</f>
        <v/>
      </c>
      <c r="P373">
        <f>IF(O373="計算不能","計算不能",IF(O373&gt;=80,5,IF(O373&gt;=60,4,IF(O373&gt;=40,3,IF(O373&gt;=28,2,1)))))</f>
        <v/>
      </c>
      <c r="Q373" t="n">
        <v>649</v>
      </c>
      <c r="R373" t="n">
        <v>0</v>
      </c>
      <c r="S373" s="27">
        <f>R373/Q373</f>
        <v/>
      </c>
      <c r="T373" t="inlineStr">
        <is>
          <t>西会津町は2045年までに人口が約41.2%減と急激な過疎・超高齢化が進行。若年労働世代の流出と自然減が重なり、賃貸事業としての持続性は極めて限定的。</t>
        </is>
      </c>
      <c r="U373" t="inlineStr">
        <is>
          <t>西会津町は人口密度17人/km²と過疎的水準で、民間賃貸の新規需要は薄い。実需に裏付けられた格安戸建ての指値取得のみが現実的。 借家の空室率は約0%と需給は比較的引き締まっている。</t>
        </is>
      </c>
      <c r="V373" t="inlineStr">
        <is>
          <t>西会津町（福島県）：阿武隈川・阿賀川の洪水、太平洋沿岸の津波、中通り・会津の豪雪と土砂災害に留意。</t>
        </is>
      </c>
    </row>
    <row r="374">
      <c r="A374" t="inlineStr">
        <is>
          <t>福島県</t>
        </is>
      </c>
      <c r="B374" t="inlineStr">
        <is>
          <t>磐梯町</t>
        </is>
      </c>
      <c r="C374" t="n">
        <v>1189</v>
      </c>
      <c r="D374" t="n">
        <v>3069</v>
      </c>
      <c r="E374" s="6" t="n">
        <v>50.7</v>
      </c>
      <c r="F374" s="7" t="n">
        <v>15.1</v>
      </c>
      <c r="G374" t="n">
        <v>3322</v>
      </c>
      <c r="H374" t="n">
        <v>3069</v>
      </c>
      <c r="I374" t="n">
        <v>2831</v>
      </c>
      <c r="J374" t="n">
        <v>2212</v>
      </c>
      <c r="K374" s="27">
        <f>(H374/D374-1)</f>
        <v/>
      </c>
      <c r="L374" s="27">
        <f>(I374/D374-1)</f>
        <v/>
      </c>
      <c r="M374" s="27">
        <f>(J374/D374-1)</f>
        <v/>
      </c>
      <c r="N374" t="n">
        <v>43.4</v>
      </c>
      <c r="O374" s="28">
        <f>(N374+F374)/2</f>
        <v/>
      </c>
      <c r="P374">
        <f>IF(O374="計算不能","計算不能",IF(O374&gt;=80,5,IF(O374&gt;=60,4,IF(O374&gt;=40,3,IF(O374&gt;=28,2,1)))))</f>
        <v/>
      </c>
      <c r="Q374" t="n">
        <v>311</v>
      </c>
      <c r="R374" t="n">
        <v>0</v>
      </c>
      <c r="S374" s="27">
        <f>R374/Q374</f>
        <v/>
      </c>
      <c r="T374" t="inlineStr">
        <is>
          <t>磐梯町は2045年までに人口が約27.9%減と明確な減少トレンド。高齢化の進行と世帯数の縮小により、中長期では賃貸需要の構造的縮小に警戒が必要。</t>
        </is>
      </c>
      <c r="U374" t="inlineStr">
        <is>
          <t>磐梯町は人口密度51人/km²と過疎的水準で、民間賃貸の新規需要は薄い。実需に裏付けられた格安戸建ての指値取得のみが現実的。 借家の空室率は約0%と需給は比較的引き締まっている。</t>
        </is>
      </c>
      <c r="V374" t="inlineStr">
        <is>
          <t>磐梯町（福島県）：阿武隈川・阿賀川の洪水、太平洋沿岸の津波、中通り・会津の豪雪と土砂災害に留意。</t>
        </is>
      </c>
    </row>
    <row r="375">
      <c r="A375" t="inlineStr">
        <is>
          <t>福島県</t>
        </is>
      </c>
      <c r="B375" t="inlineStr">
        <is>
          <t>猪苗代町</t>
        </is>
      </c>
      <c r="C375" t="n">
        <v>5257</v>
      </c>
      <c r="D375" t="n">
        <v>12033</v>
      </c>
      <c r="E375" s="6" t="n">
        <v>30.3</v>
      </c>
      <c r="F375" s="7" t="n">
        <v>13</v>
      </c>
      <c r="G375" t="n">
        <v>13552</v>
      </c>
      <c r="H375" t="n">
        <v>12033</v>
      </c>
      <c r="I375" t="n">
        <v>10830</v>
      </c>
      <c r="J375" t="n">
        <v>7638</v>
      </c>
      <c r="K375" s="27">
        <f>(H375/D375-1)</f>
        <v/>
      </c>
      <c r="L375" s="27">
        <f>(I375/D375-1)</f>
        <v/>
      </c>
      <c r="M375" s="27">
        <f>(J375/D375-1)</f>
        <v/>
      </c>
      <c r="N375" t="n">
        <v>37.6</v>
      </c>
      <c r="O375" s="28">
        <f>(N375+F375)/2</f>
        <v/>
      </c>
      <c r="P375">
        <f>IF(O375="計算不能","計算不能",IF(O375&gt;=80,5,IF(O375&gt;=60,4,IF(O375&gt;=40,3,IF(O375&gt;=28,2,1)))))</f>
        <v/>
      </c>
      <c r="Q375" t="n">
        <v>1378</v>
      </c>
      <c r="R375" t="n">
        <v>0</v>
      </c>
      <c r="S375" s="27">
        <f>R375/Q375</f>
        <v/>
      </c>
      <c r="T375" t="inlineStr">
        <is>
          <t>猪苗代町は2045年までに人口が約36.5%減と急激な過疎・超高齢化が進行。若年労働世代の流出と自然減が重なり、賃貸事業としての持続性は極めて限定的。</t>
        </is>
      </c>
      <c r="U375" t="inlineStr">
        <is>
          <t>猪苗代町は人口密度30人/km²と過疎的水準で、民間賃貸の新規需要は薄い。実需に裏付けられた格安戸建ての指値取得のみが現実的。 借家の空室率は約0%と需給は比較的引き締まっている。</t>
        </is>
      </c>
      <c r="V375" t="inlineStr">
        <is>
          <t>猪苗代町（福島県）：阿武隈川・阿賀川の洪水、太平洋沿岸の津波、中通り・会津の豪雪と土砂災害に留意。</t>
        </is>
      </c>
    </row>
    <row r="376">
      <c r="A376" t="inlineStr">
        <is>
          <t>福島県</t>
        </is>
      </c>
      <c r="B376" t="inlineStr">
        <is>
          <t>会津坂下町</t>
        </is>
      </c>
      <c r="C376" t="n">
        <v>5380</v>
      </c>
      <c r="D376" t="n">
        <v>13898</v>
      </c>
      <c r="E376" s="6" t="n">
        <v>148.2</v>
      </c>
      <c r="F376" s="7" t="n">
        <v>24.8</v>
      </c>
      <c r="G376" t="n">
        <v>15068</v>
      </c>
      <c r="H376" t="n">
        <v>13898</v>
      </c>
      <c r="I376" t="n">
        <v>12787</v>
      </c>
      <c r="J376" t="n">
        <v>9667</v>
      </c>
      <c r="K376" s="27">
        <f>(H376/D376-1)</f>
        <v/>
      </c>
      <c r="L376" s="27">
        <f>(I376/D376-1)</f>
        <v/>
      </c>
      <c r="M376" s="27">
        <f>(J376/D376-1)</f>
        <v/>
      </c>
      <c r="N376" t="n">
        <v>42.6</v>
      </c>
      <c r="O376" s="28">
        <f>(N376+F376)/2</f>
        <v/>
      </c>
      <c r="P376">
        <f>IF(O376="計算不能","計算不能",IF(O376&gt;=80,5,IF(O376&gt;=60,4,IF(O376&gt;=40,3,IF(O376&gt;=28,2,1)))))</f>
        <v/>
      </c>
      <c r="Q376" t="n">
        <v>1410</v>
      </c>
      <c r="R376" t="n">
        <v>100</v>
      </c>
      <c r="S376" s="27">
        <f>R376/Q376</f>
        <v/>
      </c>
      <c r="T376" t="inlineStr">
        <is>
          <t>会津坂下町は2045年までに人口が約30.4%減と急激な過疎・超高齢化が進行。若年労働世代の流出と自然減が重なり、賃貸事業としての持続性は極めて限定的。</t>
        </is>
      </c>
      <c r="U376" t="inlineStr">
        <is>
          <t>会津坂下町は人口密度148人/km²と過疎的水準で、民間賃貸の新規需要は薄い。実需に裏付けられた格安戸建ての指値取得のみが現実的。 借家の空室率は約7%と需給は比較的引き締まっている。</t>
        </is>
      </c>
      <c r="V376" t="inlineStr">
        <is>
          <t>会津坂下町（福島県）：阿武隈川・阿賀川の洪水、太平洋沿岸の津波、中通り・会津の豪雪と土砂災害に留意。</t>
        </is>
      </c>
    </row>
    <row r="377">
      <c r="A377" t="inlineStr">
        <is>
          <t>福島県</t>
        </is>
      </c>
      <c r="B377" t="inlineStr">
        <is>
          <t>湯川村</t>
        </is>
      </c>
      <c r="C377" t="n">
        <v>1027</v>
      </c>
      <c r="D377" t="n">
        <v>2890</v>
      </c>
      <c r="E377" s="6" t="n">
        <v>173.1</v>
      </c>
      <c r="F377" s="7" t="n">
        <v>27.3</v>
      </c>
      <c r="G377" t="n">
        <v>3081</v>
      </c>
      <c r="H377" t="n">
        <v>2890</v>
      </c>
      <c r="I377" t="n">
        <v>2731</v>
      </c>
      <c r="J377" t="n">
        <v>2201</v>
      </c>
      <c r="K377" s="27">
        <f>(H377/D377-1)</f>
        <v/>
      </c>
      <c r="L377" s="27">
        <f>(I377/D377-1)</f>
        <v/>
      </c>
      <c r="M377" s="27">
        <f>(J377/D377-1)</f>
        <v/>
      </c>
      <c r="N377" t="n">
        <v>47.8</v>
      </c>
      <c r="O377" s="28">
        <f>(N377+F377)/2</f>
        <v/>
      </c>
      <c r="P377">
        <f>IF(O377="計算不能","計算不能",IF(O377&gt;=80,5,IF(O377&gt;=60,4,IF(O377&gt;=40,3,IF(O377&gt;=28,2,1)))))</f>
        <v/>
      </c>
      <c r="Q377" t="n">
        <v>269</v>
      </c>
      <c r="R377" t="n">
        <v>0</v>
      </c>
      <c r="S377" s="27">
        <f>R377/Q377</f>
        <v/>
      </c>
      <c r="T377" t="inlineStr">
        <is>
          <t>湯川村は2045年までに人口が約23.8%減と明確な減少トレンド。高齢化の進行と世帯数の縮小により、中長期では賃貸需要の構造的縮小に警戒が必要。</t>
        </is>
      </c>
      <c r="U377" t="inlineStr">
        <is>
          <t>湯川村は人口密度173人/km²と過疎的水準で、民間賃貸の新規需要は薄い。実需に裏付けられた格安戸建ての指値取得のみが現実的。 借家の空室率は約0%と需給は比較的引き締まっている。</t>
        </is>
      </c>
      <c r="V377" t="inlineStr">
        <is>
          <t>湯川村（福島県）：阿武隈川・阿賀川の洪水、太平洋沿岸の津波、中通り・会津の豪雪と土砂災害に留意。</t>
        </is>
      </c>
    </row>
    <row r="378">
      <c r="A378" t="inlineStr">
        <is>
          <t>福島県</t>
        </is>
      </c>
      <c r="B378" t="inlineStr">
        <is>
          <t>柳津町</t>
        </is>
      </c>
      <c r="C378" t="n">
        <v>1187</v>
      </c>
      <c r="D378" t="n">
        <v>2769</v>
      </c>
      <c r="E378" s="6" t="n">
        <v>14.9</v>
      </c>
      <c r="F378" s="7" t="n">
        <v>11.5</v>
      </c>
      <c r="G378" t="n">
        <v>3081</v>
      </c>
      <c r="H378" t="n">
        <v>2769</v>
      </c>
      <c r="I378" t="n">
        <v>2497</v>
      </c>
      <c r="J378" t="n">
        <v>1834</v>
      </c>
      <c r="K378" s="27">
        <f>(H378/D378-1)</f>
        <v/>
      </c>
      <c r="L378" s="27">
        <f>(I378/D378-1)</f>
        <v/>
      </c>
      <c r="M378" s="27">
        <f>(J378/D378-1)</f>
        <v/>
      </c>
      <c r="N378" t="n">
        <v>39.2</v>
      </c>
      <c r="O378" s="28">
        <f>(N378+F378)/2</f>
        <v/>
      </c>
      <c r="P378">
        <f>IF(O378="計算不能","計算不能",IF(O378&gt;=80,5,IF(O378&gt;=60,4,IF(O378&gt;=40,3,IF(O378&gt;=28,2,1)))))</f>
        <v/>
      </c>
      <c r="Q378" t="n">
        <v>311</v>
      </c>
      <c r="R378" t="n">
        <v>0</v>
      </c>
      <c r="S378" s="27">
        <f>R378/Q378</f>
        <v/>
      </c>
      <c r="T378" t="inlineStr">
        <is>
          <t>柳津町は2045年までに人口が約33.8%減と急激な過疎・超高齢化が進行。若年労働世代の流出と自然減が重なり、賃貸事業としての持続性は極めて限定的。</t>
        </is>
      </c>
      <c r="U378" t="inlineStr">
        <is>
          <t>柳津町は人口密度15人/km²と過疎的水準で、民間賃貸の新規需要は薄い。実需に裏付けられた格安戸建ての指値取得のみが現実的。 借家の空室率は約0%と需給は比較的引き締まっている。</t>
        </is>
      </c>
      <c r="V378" t="inlineStr">
        <is>
          <t>柳津町（福島県）：阿武隈川・阿賀川の洪水、太平洋沿岸の津波、中通り・会津の豪雪と土砂災害に留意。</t>
        </is>
      </c>
    </row>
    <row r="379">
      <c r="A379" t="inlineStr">
        <is>
          <t>福島県</t>
        </is>
      </c>
      <c r="B379" t="inlineStr">
        <is>
          <t>三島町</t>
        </is>
      </c>
      <c r="C379" t="n">
        <v>673</v>
      </c>
      <c r="D379" t="n">
        <v>1237</v>
      </c>
      <c r="E379" s="6" t="n">
        <v>13.4</v>
      </c>
      <c r="F379" s="7" t="n">
        <v>11.3</v>
      </c>
      <c r="G379" t="n">
        <v>1452</v>
      </c>
      <c r="H379" t="n">
        <v>1237</v>
      </c>
      <c r="I379" t="n">
        <v>1049</v>
      </c>
      <c r="J379" t="n">
        <v>635</v>
      </c>
      <c r="K379" s="27">
        <f>(H379/D379-1)</f>
        <v/>
      </c>
      <c r="L379" s="27">
        <f>(I379/D379-1)</f>
        <v/>
      </c>
      <c r="M379" s="27">
        <f>(J379/D379-1)</f>
        <v/>
      </c>
      <c r="N379" t="n">
        <v>30.3</v>
      </c>
      <c r="O379" s="28">
        <f>(N379+F379)/2</f>
        <v/>
      </c>
      <c r="P379">
        <f>IF(O379="計算不能","計算不能",IF(O379&gt;=80,5,IF(O379&gt;=60,4,IF(O379&gt;=40,3,IF(O379&gt;=28,2,1)))))</f>
        <v/>
      </c>
      <c r="Q379" t="n">
        <v>176</v>
      </c>
      <c r="R379" t="n">
        <v>0</v>
      </c>
      <c r="S379" s="27">
        <f>R379/Q379</f>
        <v/>
      </c>
      <c r="T379" t="inlineStr">
        <is>
          <t>三島町は2045年までに人口が約48.7%減と急激な過疎・超高齢化が進行。若年労働世代の流出と自然減が重なり、賃貸事業としての持続性は極めて限定的。</t>
        </is>
      </c>
      <c r="U379" t="inlineStr">
        <is>
          <t>三島町は人口密度13人/km²と過疎的水準で、民間賃貸の新規需要は薄い。実需に裏付けられた格安戸建ての指値取得のみが現実的。 借家の空室率は約0%と需給は比較的引き締まっている。</t>
        </is>
      </c>
      <c r="V379" t="inlineStr">
        <is>
          <t>三島町（福島県）：阿武隈川・阿賀川の洪水、太平洋沿岸の津波、中通り・会津の豪雪と土砂災害に留意。</t>
        </is>
      </c>
    </row>
    <row r="380">
      <c r="A380" t="inlineStr">
        <is>
          <t>福島県</t>
        </is>
      </c>
      <c r="B380" t="inlineStr">
        <is>
          <t>金山町</t>
        </is>
      </c>
      <c r="C380" t="n">
        <v>994</v>
      </c>
      <c r="D380" t="n">
        <v>1573</v>
      </c>
      <c r="E380" s="6" t="n">
        <v>5.6</v>
      </c>
      <c r="F380" s="7" t="n">
        <v>10.6</v>
      </c>
      <c r="G380" t="n">
        <v>1862</v>
      </c>
      <c r="H380" t="n">
        <v>1573</v>
      </c>
      <c r="I380" t="n">
        <v>1339</v>
      </c>
      <c r="J380" t="n">
        <v>835</v>
      </c>
      <c r="K380" s="27">
        <f>(H380/D380-1)</f>
        <v/>
      </c>
      <c r="L380" s="27">
        <f>(I380/D380-1)</f>
        <v/>
      </c>
      <c r="M380" s="27">
        <f>(J380/D380-1)</f>
        <v/>
      </c>
      <c r="N380" t="n">
        <v>30.2</v>
      </c>
      <c r="O380" s="28">
        <f>(N380+F380)/2</f>
        <v/>
      </c>
      <c r="P380">
        <f>IF(O380="計算不能","計算不能",IF(O380&gt;=80,5,IF(O380&gt;=60,4,IF(O380&gt;=40,3,IF(O380&gt;=28,2,1)))))</f>
        <v/>
      </c>
      <c r="Q380" t="n">
        <v>260</v>
      </c>
      <c r="R380" t="n">
        <v>0</v>
      </c>
      <c r="S380" s="27">
        <f>R380/Q380</f>
        <v/>
      </c>
      <c r="T380" t="inlineStr">
        <is>
          <t>金山町は2045年までに人口が約46.9%減と急激な過疎・超高齢化が進行。若年労働世代の流出と自然減が重なり、賃貸事業としての持続性は極めて限定的。</t>
        </is>
      </c>
      <c r="U380" t="inlineStr">
        <is>
          <t>金山町は人口密度6人/km²と過疎的水準で、民間賃貸の新規需要は薄い。実需に裏付けられた格安戸建ての指値取得のみが現実的。 借家の空室率は約0%と需給は比較的引き締まっている。</t>
        </is>
      </c>
      <c r="V380" t="inlineStr">
        <is>
          <t>金山町（福島県）：阿武隈川・阿賀川の洪水、太平洋沿岸の津波、中通り・会津の豪雪と土砂災害に留意。</t>
        </is>
      </c>
    </row>
    <row r="381">
      <c r="A381" t="inlineStr">
        <is>
          <t>福島県</t>
        </is>
      </c>
      <c r="B381" t="inlineStr">
        <is>
          <t>昭和村</t>
        </is>
      </c>
      <c r="C381" t="n">
        <v>2975</v>
      </c>
      <c r="D381" t="n">
        <v>1079</v>
      </c>
      <c r="E381" s="6" t="n">
        <v>104.3</v>
      </c>
      <c r="F381" s="7" t="n">
        <v>20.4</v>
      </c>
      <c r="G381" t="n">
        <v>1246</v>
      </c>
      <c r="H381" t="n">
        <v>1079</v>
      </c>
      <c r="I381" t="n">
        <v>960</v>
      </c>
      <c r="J381" t="n">
        <v>722</v>
      </c>
      <c r="K381" s="27">
        <f>(H381/D381-1)</f>
        <v/>
      </c>
      <c r="L381" s="27">
        <f>(I381/D381-1)</f>
        <v/>
      </c>
      <c r="M381" s="27">
        <f>(J381/D381-1)</f>
        <v/>
      </c>
      <c r="N381" t="n">
        <v>36.1</v>
      </c>
      <c r="O381" s="28">
        <f>(N381+F381)/2</f>
        <v/>
      </c>
      <c r="P381">
        <f>IF(O381="計算不能","計算不能",IF(O381&gt;=80,5,IF(O381&gt;=60,4,IF(O381&gt;=40,3,IF(O381&gt;=28,2,1)))))</f>
        <v/>
      </c>
      <c r="Q381" t="n">
        <v>780</v>
      </c>
      <c r="R381" t="n">
        <v>0</v>
      </c>
      <c r="S381" s="27">
        <f>R381/Q381</f>
        <v/>
      </c>
      <c r="T381" t="inlineStr">
        <is>
          <t>昭和村は2045年までに人口が約33.1%減と急激な過疎・超高齢化が進行。若年労働世代の流出と自然減が重なり、賃貸事業としての持続性は極めて限定的。</t>
        </is>
      </c>
      <c r="U381" t="inlineStr">
        <is>
          <t>昭和村は人口密度104人/km²と過疎的水準で、民間賃貸の新規需要は薄い。実需に裏付けられた格安戸建ての指値取得のみが現実的。 借家の空室率は約0%と需給は比較的引き締まっている。</t>
        </is>
      </c>
      <c r="V381" t="inlineStr">
        <is>
          <t>昭和村（福島県）：阿武隈川・阿賀川の洪水、太平洋沿岸の津波、中通り・会津の豪雪と土砂災害に留意。</t>
        </is>
      </c>
    </row>
    <row r="382">
      <c r="A382" t="inlineStr">
        <is>
          <t>福島県</t>
        </is>
      </c>
      <c r="B382" t="inlineStr">
        <is>
          <t>会津美里町</t>
        </is>
      </c>
      <c r="C382" t="n">
        <v>6170</v>
      </c>
      <c r="D382" t="n">
        <v>16993</v>
      </c>
      <c r="E382" s="6" t="n">
        <v>62.6</v>
      </c>
      <c r="F382" s="7" t="n">
        <v>16.3</v>
      </c>
      <c r="G382" t="n">
        <v>19014</v>
      </c>
      <c r="H382" t="n">
        <v>16993</v>
      </c>
      <c r="I382" t="n">
        <v>15263</v>
      </c>
      <c r="J382" t="n">
        <v>10630</v>
      </c>
      <c r="K382" s="27">
        <f>(H382/D382-1)</f>
        <v/>
      </c>
      <c r="L382" s="27">
        <f>(I382/D382-1)</f>
        <v/>
      </c>
      <c r="M382" s="27">
        <f>(J382/D382-1)</f>
        <v/>
      </c>
      <c r="N382" t="n">
        <v>37.8</v>
      </c>
      <c r="O382" s="28">
        <f>(N382+F382)/2</f>
        <v/>
      </c>
      <c r="P382">
        <f>IF(O382="計算不能","計算不能",IF(O382&gt;=80,5,IF(O382&gt;=60,4,IF(O382&gt;=40,3,IF(O382&gt;=28,2,1)))))</f>
        <v/>
      </c>
      <c r="Q382" t="n">
        <v>1618</v>
      </c>
      <c r="R382" t="n">
        <v>140</v>
      </c>
      <c r="S382" s="27">
        <f>R382/Q382</f>
        <v/>
      </c>
      <c r="T382" t="inlineStr">
        <is>
          <t>会津美里町は2045年までに人口が約37.4%減と急激な過疎・超高齢化が進行。若年労働世代の流出と自然減が重なり、賃貸事業としての持続性は極めて限定的。</t>
        </is>
      </c>
      <c r="U382" t="inlineStr">
        <is>
          <t>会津美里町は人口密度63人/km²と過疎的水準で、民間賃貸の新規需要は薄い。実需に裏付けられた格安戸建ての指値取得のみが現実的。 借家の空室率は約9%と需給は比較的引き締まっている。</t>
        </is>
      </c>
      <c r="V382" t="inlineStr">
        <is>
          <t>会津美里町（福島県）：阿武隈川・阿賀川の洪水、太平洋沿岸の津波、中通り・会津の豪雪と土砂災害に留意。</t>
        </is>
      </c>
    </row>
    <row r="383">
      <c r="A383" t="inlineStr">
        <is>
          <t>福島県</t>
        </is>
      </c>
      <c r="B383" t="inlineStr">
        <is>
          <t>西郷村</t>
        </is>
      </c>
      <c r="C383" t="n">
        <v>8010</v>
      </c>
      <c r="D383" t="n">
        <v>20695</v>
      </c>
      <c r="E383" s="6" t="n">
        <v>108.6</v>
      </c>
      <c r="F383" s="7" t="n">
        <v>20.9</v>
      </c>
      <c r="G383" t="n">
        <v>20808</v>
      </c>
      <c r="H383" t="n">
        <v>20695</v>
      </c>
      <c r="I383" t="n">
        <v>20478</v>
      </c>
      <c r="J383" t="n">
        <v>19027</v>
      </c>
      <c r="K383" s="27">
        <f>(H383/D383-1)</f>
        <v/>
      </c>
      <c r="L383" s="27">
        <f>(I383/D383-1)</f>
        <v/>
      </c>
      <c r="M383" s="27">
        <f>(J383/D383-1)</f>
        <v/>
      </c>
      <c r="N383" t="n">
        <v>69.2</v>
      </c>
      <c r="O383" s="28">
        <f>(N383+F383)/2</f>
        <v/>
      </c>
      <c r="P383">
        <f>IF(O383="計算不能","計算不能",IF(O383&gt;=80,5,IF(O383&gt;=60,4,IF(O383&gt;=40,3,IF(O383&gt;=28,2,1)))))</f>
        <v/>
      </c>
      <c r="Q383" t="n">
        <v>2100</v>
      </c>
      <c r="R383" t="n">
        <v>710</v>
      </c>
      <c r="S383" s="27">
        <f>R383/Q383</f>
        <v/>
      </c>
      <c r="T383" t="inlineStr">
        <is>
          <t>西郷村は2045年までに人口が約8.1%減と緩やかな減少局面。若年層の都市部流出と高齢化が進むが、当面の賃貸稼働は一定程度維持される見通し。</t>
        </is>
      </c>
      <c r="U383" t="inlineStr">
        <is>
          <t>西郷村は人口密度109人/km²と過疎的水準で、民間賃貸の新規需要は薄い。実需に裏付けられた格安戸建ての指値取得のみが現実的。 借家の空室率は約34%と供給過多気味で、空室長期化リスクに要警戒。</t>
        </is>
      </c>
      <c r="V383" t="inlineStr">
        <is>
          <t>西郷村（福島県）：阿武隈川・阿賀川の洪水、太平洋沿岸の津波、中通り・会津の豪雪と土砂災害に留意。</t>
        </is>
      </c>
    </row>
    <row r="384">
      <c r="A384" t="inlineStr">
        <is>
          <t>福島県</t>
        </is>
      </c>
      <c r="B384" t="inlineStr">
        <is>
          <t>泉崎村</t>
        </is>
      </c>
      <c r="C384" t="n">
        <v>2441</v>
      </c>
      <c r="D384" t="n">
        <v>5913</v>
      </c>
      <c r="E384" s="6" t="n">
        <v>164.4</v>
      </c>
      <c r="F384" s="7" t="n">
        <v>26.4</v>
      </c>
      <c r="G384" t="n">
        <v>6213</v>
      </c>
      <c r="H384" t="n">
        <v>5913</v>
      </c>
      <c r="I384" t="n">
        <v>5581</v>
      </c>
      <c r="J384" t="n">
        <v>4536</v>
      </c>
      <c r="K384" s="27">
        <f>(H384/D384-1)</f>
        <v/>
      </c>
      <c r="L384" s="27">
        <f>(I384/D384-1)</f>
        <v/>
      </c>
      <c r="M384" s="27">
        <f>(J384/D384-1)</f>
        <v/>
      </c>
      <c r="N384" t="n">
        <v>50.5</v>
      </c>
      <c r="O384" s="28">
        <f>(N384+F384)/2</f>
        <v/>
      </c>
      <c r="P384">
        <f>IF(O384="計算不能","計算不能",IF(O384&gt;=80,5,IF(O384&gt;=60,4,IF(O384&gt;=40,3,IF(O384&gt;=28,2,1)))))</f>
        <v/>
      </c>
      <c r="Q384" t="n">
        <v>640</v>
      </c>
      <c r="R384" t="n">
        <v>0</v>
      </c>
      <c r="S384" s="27">
        <f>R384/Q384</f>
        <v/>
      </c>
      <c r="T384" t="inlineStr">
        <is>
          <t>泉崎村は2045年までに人口が約23.3%減と明確な減少トレンド。高齢化の進行と世帯数の縮小により、中長期では賃貸需要の構造的縮小に警戒が必要。</t>
        </is>
      </c>
      <c r="U384" t="inlineStr">
        <is>
          <t>泉崎村は人口密度164人/km²と過疎的水準で、民間賃貸の新規需要は薄い。実需に裏付けられた格安戸建ての指値取得のみが現実的。 借家の空室率は約0%と需給は比較的引き締まっている。</t>
        </is>
      </c>
      <c r="V384" t="inlineStr">
        <is>
          <t>泉崎村（福島県）：阿武隈川・阿賀川の洪水、太平洋沿岸の津波、中通り・会津の豪雪と土砂災害に留意。</t>
        </is>
      </c>
    </row>
    <row r="385">
      <c r="A385" t="inlineStr">
        <is>
          <t>福島県</t>
        </is>
      </c>
      <c r="B385" t="inlineStr">
        <is>
          <t>中島村</t>
        </is>
      </c>
      <c r="C385" t="n">
        <v>1762</v>
      </c>
      <c r="D385" t="n">
        <v>4688</v>
      </c>
      <c r="E385" s="6" t="n">
        <v>238.1</v>
      </c>
      <c r="F385" s="7" t="n">
        <v>31.9</v>
      </c>
      <c r="G385" t="n">
        <v>4885</v>
      </c>
      <c r="H385" t="n">
        <v>4688</v>
      </c>
      <c r="I385" t="n">
        <v>4469</v>
      </c>
      <c r="J385" t="n">
        <v>3782</v>
      </c>
      <c r="K385" s="27">
        <f>(H385/D385-1)</f>
        <v/>
      </c>
      <c r="L385" s="27">
        <f>(I385/D385-1)</f>
        <v/>
      </c>
      <c r="M385" s="27">
        <f>(J385/D385-1)</f>
        <v/>
      </c>
      <c r="N385" t="n">
        <v>54.5</v>
      </c>
      <c r="O385" s="28">
        <f>(N385+F385)/2</f>
        <v/>
      </c>
      <c r="P385">
        <f>IF(O385="計算不能","計算不能",IF(O385&gt;=80,5,IF(O385&gt;=60,4,IF(O385&gt;=40,3,IF(O385&gt;=28,2,1)))))</f>
        <v/>
      </c>
      <c r="Q385" t="n">
        <v>462</v>
      </c>
      <c r="R385" t="n">
        <v>0</v>
      </c>
      <c r="S385" s="27">
        <f>R385/Q385</f>
        <v/>
      </c>
      <c r="T385" t="inlineStr">
        <is>
          <t>中島村は2045年までに人口が約19.3%減と明確な減少トレンド。高齢化の進行と世帯数の縮小により、中長期では賃貸需要の構造的縮小に警戒が必要。</t>
        </is>
      </c>
      <c r="U385" t="inlineStr">
        <is>
          <t>中島村は人口密度238人/km²と低密度で、賃貸需要は限定的。持ち家比率が高く、駐車場完備の戸建て賃貸が有利。 借家の空室率は約0%と需給は比較的引き締まっている。</t>
        </is>
      </c>
      <c r="V385" t="inlineStr">
        <is>
          <t>中島村（福島県）：阿武隈川・阿賀川の洪水、太平洋沿岸の津波、中通り・会津の豪雪と土砂災害に留意。</t>
        </is>
      </c>
    </row>
    <row r="386">
      <c r="A386" t="inlineStr">
        <is>
          <t>福島県</t>
        </is>
      </c>
      <c r="B386" t="inlineStr">
        <is>
          <t>矢吹町</t>
        </is>
      </c>
      <c r="C386" t="n">
        <v>5970</v>
      </c>
      <c r="D386" t="n">
        <v>16751</v>
      </c>
      <c r="E386" s="6" t="n">
        <v>272.6</v>
      </c>
      <c r="F386" s="7" t="n">
        <v>33.6</v>
      </c>
      <c r="G386" t="n">
        <v>17287</v>
      </c>
      <c r="H386" t="n">
        <v>16751</v>
      </c>
      <c r="I386" t="n">
        <v>15968</v>
      </c>
      <c r="J386" t="n">
        <v>13546</v>
      </c>
      <c r="K386" s="27">
        <f>(H386/D386-1)</f>
        <v/>
      </c>
      <c r="L386" s="27">
        <f>(I386/D386-1)</f>
        <v/>
      </c>
      <c r="M386" s="27">
        <f>(J386/D386-1)</f>
        <v/>
      </c>
      <c r="N386" t="n">
        <v>56.4</v>
      </c>
      <c r="O386" s="28">
        <f>(N386+F386)/2</f>
        <v/>
      </c>
      <c r="P386">
        <f>IF(O386="計算不能","計算不能",IF(O386&gt;=80,5,IF(O386&gt;=60,4,IF(O386&gt;=40,3,IF(O386&gt;=28,2,1)))))</f>
        <v/>
      </c>
      <c r="Q386" t="n">
        <v>1565</v>
      </c>
      <c r="R386" t="n">
        <v>450</v>
      </c>
      <c r="S386" s="27">
        <f>R386/Q386</f>
        <v/>
      </c>
      <c r="T386" t="inlineStr">
        <is>
          <t>矢吹町は2045年までに人口が約19.1%減と明確な減少トレンド。高齢化の進行と世帯数の縮小により、中長期では賃貸需要の構造的縮小に警戒が必要。</t>
        </is>
      </c>
      <c r="U386" t="inlineStr">
        <is>
          <t>矢吹町は人口密度273人/km²と低密度で、賃貸需要は限定的。持ち家比率が高く、駐車場完備の戸建て賃貸が有利。 借家の空室率は約29%と供給過多気味で、空室長期化リスクに要警戒。</t>
        </is>
      </c>
      <c r="V386" t="inlineStr">
        <is>
          <t>矢吹町（福島県）：阿武隈川・阿賀川の洪水、太平洋沿岸の津波、中通り・会津の豪雪と土砂災害に留意。</t>
        </is>
      </c>
    </row>
    <row r="387">
      <c r="A387" t="inlineStr">
        <is>
          <t>福島県</t>
        </is>
      </c>
      <c r="B387" t="inlineStr">
        <is>
          <t>棚倉町</t>
        </is>
      </c>
      <c r="C387" t="n">
        <v>5100</v>
      </c>
      <c r="D387" t="n">
        <v>12196</v>
      </c>
      <c r="E387" s="6" t="n">
        <v>74.8</v>
      </c>
      <c r="F387" s="7" t="n">
        <v>17.5</v>
      </c>
      <c r="G387" t="n">
        <v>13343</v>
      </c>
      <c r="H387" t="n">
        <v>12196</v>
      </c>
      <c r="I387" t="n">
        <v>11279</v>
      </c>
      <c r="J387" t="n">
        <v>8702</v>
      </c>
      <c r="K387" s="27">
        <f>(H387/D387-1)</f>
        <v/>
      </c>
      <c r="L387" s="27">
        <f>(I387/D387-1)</f>
        <v/>
      </c>
      <c r="M387" s="27">
        <f>(J387/D387-1)</f>
        <v/>
      </c>
      <c r="N387" t="n">
        <v>42.5</v>
      </c>
      <c r="O387" s="28">
        <f>(N387+F387)/2</f>
        <v/>
      </c>
      <c r="P387">
        <f>IF(O387="計算不能","計算不能",IF(O387&gt;=80,5,IF(O387&gt;=60,4,IF(O387&gt;=40,3,IF(O387&gt;=28,2,1)))))</f>
        <v/>
      </c>
      <c r="Q387" t="n">
        <v>1337</v>
      </c>
      <c r="R387" t="n">
        <v>0</v>
      </c>
      <c r="S387" s="27">
        <f>R387/Q387</f>
        <v/>
      </c>
      <c r="T387" t="inlineStr">
        <is>
          <t>棚倉町は2045年までに人口が約28.6%減と明確な減少トレンド。高齢化の進行と世帯数の縮小により、中長期では賃貸需要の構造的縮小に警戒が必要。</t>
        </is>
      </c>
      <c r="U387" t="inlineStr">
        <is>
          <t>棚倉町は人口密度75人/km²と過疎的水準で、民間賃貸の新規需要は薄い。実需に裏付けられた格安戸建ての指値取得のみが現実的。 借家の空室率は約0%と需給は比較的引き締まっている。</t>
        </is>
      </c>
      <c r="V387" t="inlineStr">
        <is>
          <t>棚倉町（福島県）：阿武隈川・阿賀川の洪水、太平洋沿岸の津波、中通り・会津の豪雪と土砂災害に留意。</t>
        </is>
      </c>
    </row>
    <row r="388">
      <c r="A388" t="inlineStr">
        <is>
          <t>福島県</t>
        </is>
      </c>
      <c r="B388" t="inlineStr">
        <is>
          <t>矢祭町</t>
        </is>
      </c>
      <c r="C388" t="n">
        <v>2089</v>
      </c>
      <c r="D388" t="n">
        <v>4949</v>
      </c>
      <c r="E388" s="6" t="n">
        <v>40.1</v>
      </c>
      <c r="F388" s="7" t="n">
        <v>14</v>
      </c>
      <c r="G388" t="n">
        <v>5392</v>
      </c>
      <c r="H388" t="n">
        <v>4949</v>
      </c>
      <c r="I388" t="n">
        <v>4513</v>
      </c>
      <c r="J388" t="n">
        <v>3352</v>
      </c>
      <c r="K388" s="27">
        <f>(H388/D388-1)</f>
        <v/>
      </c>
      <c r="L388" s="27">
        <f>(I388/D388-1)</f>
        <v/>
      </c>
      <c r="M388" s="27">
        <f>(J388/D388-1)</f>
        <v/>
      </c>
      <c r="N388" t="n">
        <v>41.5</v>
      </c>
      <c r="O388" s="28">
        <f>(N388+F388)/2</f>
        <v/>
      </c>
      <c r="P388">
        <f>IF(O388="計算不能","計算不能",IF(O388&gt;=80,5,IF(O388&gt;=60,4,IF(O388&gt;=40,3,IF(O388&gt;=28,2,1)))))</f>
        <v/>
      </c>
      <c r="Q388" t="n">
        <v>547</v>
      </c>
      <c r="R388" t="n">
        <v>0</v>
      </c>
      <c r="S388" s="27">
        <f>R388/Q388</f>
        <v/>
      </c>
      <c r="T388" t="inlineStr">
        <is>
          <t>矢祭町は2045年までに人口が約32.3%減と急激な過疎・超高齢化が進行。若年労働世代の流出と自然減が重なり、賃貸事業としての持続性は極めて限定的。</t>
        </is>
      </c>
      <c r="U388" t="inlineStr">
        <is>
          <t>矢祭町は人口密度40人/km²と過疎的水準で、民間賃貸の新規需要は薄い。実需に裏付けられた格安戸建ての指値取得のみが現実的。 借家の空室率は約0%と需給は比較的引き締まっている。</t>
        </is>
      </c>
      <c r="V388" t="inlineStr">
        <is>
          <t>矢祭町（福島県）：阿武隈川・阿賀川の洪水、太平洋沿岸の津波、中通り・会津の豪雪と土砂災害に留意。</t>
        </is>
      </c>
    </row>
    <row r="389">
      <c r="A389" t="inlineStr">
        <is>
          <t>福島県</t>
        </is>
      </c>
      <c r="B389" t="inlineStr">
        <is>
          <t>塙町</t>
        </is>
      </c>
      <c r="C389" t="n">
        <v>3280</v>
      </c>
      <c r="D389" t="n">
        <v>7569</v>
      </c>
      <c r="E389" s="6" t="n">
        <v>35.1</v>
      </c>
      <c r="F389" s="7" t="n">
        <v>13.5</v>
      </c>
      <c r="G389" t="n">
        <v>8302</v>
      </c>
      <c r="H389" t="n">
        <v>7569</v>
      </c>
      <c r="I389" t="n">
        <v>6828</v>
      </c>
      <c r="J389" t="n">
        <v>4929</v>
      </c>
      <c r="K389" s="27">
        <f>(H389/D389-1)</f>
        <v/>
      </c>
      <c r="L389" s="27">
        <f>(I389/D389-1)</f>
        <v/>
      </c>
      <c r="M389" s="27">
        <f>(J389/D389-1)</f>
        <v/>
      </c>
      <c r="N389" t="n">
        <v>40.1</v>
      </c>
      <c r="O389" s="28">
        <f>(N389+F389)/2</f>
        <v/>
      </c>
      <c r="P389">
        <f>IF(O389="計算不能","計算不能",IF(O389&gt;=80,5,IF(O389&gt;=60,4,IF(O389&gt;=40,3,IF(O389&gt;=28,2,1)))))</f>
        <v/>
      </c>
      <c r="Q389" t="n">
        <v>860</v>
      </c>
      <c r="R389" t="n">
        <v>0</v>
      </c>
      <c r="S389" s="27">
        <f>R389/Q389</f>
        <v/>
      </c>
      <c r="T389" t="inlineStr">
        <is>
          <t>塙町は2045年までに人口が約34.9%減と急激な過疎・超高齢化が進行。若年労働世代の流出と自然減が重なり、賃貸事業としての持続性は極めて限定的。</t>
        </is>
      </c>
      <c r="U389" t="inlineStr">
        <is>
          <t>塙町は人口密度35人/km²と過疎的水準で、民間賃貸の新規需要は薄い。実需に裏付けられた格安戸建ての指値取得のみが現実的。 借家の空室率は約0%と需給は比較的引き締まっている。</t>
        </is>
      </c>
      <c r="V389" t="inlineStr">
        <is>
          <t>塙町（福島県）：阿武隈川・阿賀川の洪水、太平洋沿岸の津波、中通り・会津の豪雪と土砂災害に留意。</t>
        </is>
      </c>
    </row>
    <row r="390">
      <c r="A390" t="inlineStr">
        <is>
          <t>福島県</t>
        </is>
      </c>
      <c r="B390" t="inlineStr">
        <is>
          <t>鮫川村</t>
        </is>
      </c>
      <c r="C390" t="n">
        <v>1056</v>
      </c>
      <c r="D390" t="n">
        <v>2675</v>
      </c>
      <c r="E390" s="6" t="n">
        <v>20</v>
      </c>
      <c r="F390" s="7" t="n">
        <v>12</v>
      </c>
      <c r="G390" t="n">
        <v>3049</v>
      </c>
      <c r="H390" t="n">
        <v>2675</v>
      </c>
      <c r="I390" t="n">
        <v>2346</v>
      </c>
      <c r="J390" t="n">
        <v>1527</v>
      </c>
      <c r="K390" s="27">
        <f>(H390/D390-1)</f>
        <v/>
      </c>
      <c r="L390" s="27">
        <f>(I390/D390-1)</f>
        <v/>
      </c>
      <c r="M390" s="27">
        <f>(J390/D390-1)</f>
        <v/>
      </c>
      <c r="N390" t="n">
        <v>34.5</v>
      </c>
      <c r="O390" s="28">
        <f>(N390+F390)/2</f>
        <v/>
      </c>
      <c r="P390">
        <f>IF(O390="計算不能","計算不能",IF(O390&gt;=80,5,IF(O390&gt;=60,4,IF(O390&gt;=40,3,IF(O390&gt;=28,2,1)))))</f>
        <v/>
      </c>
      <c r="Q390" t="n">
        <v>276</v>
      </c>
      <c r="R390" t="n">
        <v>0</v>
      </c>
      <c r="S390" s="27">
        <f>R390/Q390</f>
        <v/>
      </c>
      <c r="T390" t="inlineStr">
        <is>
          <t>鮫川村は2045年までに人口が約42.9%減と急激な過疎・超高齢化が進行。若年労働世代の流出と自然減が重なり、賃貸事業としての持続性は極めて限定的。</t>
        </is>
      </c>
      <c r="U390" t="inlineStr">
        <is>
          <t>鮫川村は人口密度20人/km²と過疎的水準で、民間賃貸の新規需要は薄い。実需に裏付けられた格安戸建ての指値取得のみが現実的。 借家の空室率は約0%と需給は比較的引き締まっている。</t>
        </is>
      </c>
      <c r="V390" t="inlineStr">
        <is>
          <t>鮫川村（福島県）：阿武隈川・阿賀川の洪水、太平洋沿岸の津波、中通り・会津の豪雪と土砂災害に留意。</t>
        </is>
      </c>
    </row>
    <row r="391">
      <c r="A391" t="inlineStr">
        <is>
          <t>福島県</t>
        </is>
      </c>
      <c r="B391" t="inlineStr">
        <is>
          <t>石川町</t>
        </is>
      </c>
      <c r="C391" t="n">
        <v>5792</v>
      </c>
      <c r="D391" t="n">
        <v>13210</v>
      </c>
      <c r="E391" s="6" t="n">
        <v>114.5</v>
      </c>
      <c r="F391" s="7" t="n">
        <v>21.4</v>
      </c>
      <c r="G391" t="n">
        <v>14644</v>
      </c>
      <c r="H391" t="n">
        <v>13210</v>
      </c>
      <c r="I391" t="n">
        <v>11874</v>
      </c>
      <c r="J391" t="n">
        <v>8277</v>
      </c>
      <c r="K391" s="27">
        <f>(H391/D391-1)</f>
        <v/>
      </c>
      <c r="L391" s="27">
        <f>(I391/D391-1)</f>
        <v/>
      </c>
      <c r="M391" s="27">
        <f>(J391/D391-1)</f>
        <v/>
      </c>
      <c r="N391" t="n">
        <v>38.6</v>
      </c>
      <c r="O391" s="28">
        <f>(N391+F391)/2</f>
        <v/>
      </c>
      <c r="P391">
        <f>IF(O391="計算不能","計算不能",IF(O391&gt;=80,5,IF(O391&gt;=60,4,IF(O391&gt;=40,3,IF(O391&gt;=28,2,1)))))</f>
        <v/>
      </c>
      <c r="Q391" t="n">
        <v>1518</v>
      </c>
      <c r="R391" t="n">
        <v>0</v>
      </c>
      <c r="S391" s="27">
        <f>R391/Q391</f>
        <v/>
      </c>
      <c r="T391" t="inlineStr">
        <is>
          <t>石川町は2045年までに人口が約37.3%減と急激な過疎・超高齢化が進行。若年労働世代の流出と自然減が重なり、賃貸事業としての持続性は極めて限定的。</t>
        </is>
      </c>
      <c r="U391" t="inlineStr">
        <is>
          <t>石川町は人口密度114人/km²と過疎的水準で、民間賃貸の新規需要は薄い。実需に裏付けられた格安戸建ての指値取得のみが現実的。 借家の空室率は約0%と需給は比較的引き締まっている。</t>
        </is>
      </c>
      <c r="V391" t="inlineStr">
        <is>
          <t>石川町（福島県）：阿武隈川・阿賀川の洪水、太平洋沿岸の津波、中通り・会津の豪雪と土砂災害に留意。</t>
        </is>
      </c>
    </row>
    <row r="392">
      <c r="A392" t="inlineStr">
        <is>
          <t>福島県</t>
        </is>
      </c>
      <c r="B392" t="inlineStr">
        <is>
          <t>玉川村</t>
        </is>
      </c>
      <c r="C392" t="n">
        <v>2204</v>
      </c>
      <c r="D392" t="n">
        <v>5943</v>
      </c>
      <c r="E392" s="6" t="n">
        <v>122.2</v>
      </c>
      <c r="F392" s="7" t="n">
        <v>22.2</v>
      </c>
      <c r="G392" t="n">
        <v>6392</v>
      </c>
      <c r="H392" t="n">
        <v>5943</v>
      </c>
      <c r="I392" t="n">
        <v>5529</v>
      </c>
      <c r="J392" t="n">
        <v>4252</v>
      </c>
      <c r="K392" s="27">
        <f>(H392/D392-1)</f>
        <v/>
      </c>
      <c r="L392" s="27">
        <f>(I392/D392-1)</f>
        <v/>
      </c>
      <c r="M392" s="27">
        <f>(J392/D392-1)</f>
        <v/>
      </c>
      <c r="N392" t="n">
        <v>44.1</v>
      </c>
      <c r="O392" s="28">
        <f>(N392+F392)/2</f>
        <v/>
      </c>
      <c r="P392">
        <f>IF(O392="計算不能","計算不能",IF(O392&gt;=80,5,IF(O392&gt;=60,4,IF(O392&gt;=40,3,IF(O392&gt;=28,2,1)))))</f>
        <v/>
      </c>
      <c r="Q392" t="n">
        <v>578</v>
      </c>
      <c r="R392" t="n">
        <v>0</v>
      </c>
      <c r="S392" s="27">
        <f>R392/Q392</f>
        <v/>
      </c>
      <c r="T392" t="inlineStr">
        <is>
          <t>玉川村は2045年までに人口が約28.5%減と明確な減少トレンド。高齢化の進行と世帯数の縮小により、中長期では賃貸需要の構造的縮小に警戒が必要。</t>
        </is>
      </c>
      <c r="U392" t="inlineStr">
        <is>
          <t>玉川村は人口密度122人/km²と過疎的水準で、民間賃貸の新規需要は薄い。実需に裏付けられた格安戸建ての指値取得のみが現実的。 借家の空室率は約0%と需給は比較的引き締まっている。</t>
        </is>
      </c>
      <c r="V392" t="inlineStr">
        <is>
          <t>玉川村（福島県）：阿武隈川・阿賀川の洪水、太平洋沿岸の津波、中通り・会津の豪雪と土砂災害に留意。</t>
        </is>
      </c>
    </row>
    <row r="393">
      <c r="A393" t="inlineStr">
        <is>
          <t>福島県</t>
        </is>
      </c>
      <c r="B393" t="inlineStr">
        <is>
          <t>平田村</t>
        </is>
      </c>
      <c r="C393" t="n">
        <v>2173</v>
      </c>
      <c r="D393" t="n">
        <v>5269</v>
      </c>
      <c r="E393" s="6" t="n">
        <v>55.7</v>
      </c>
      <c r="F393" s="7" t="n">
        <v>15.6</v>
      </c>
      <c r="G393" t="n">
        <v>5826</v>
      </c>
      <c r="H393" t="n">
        <v>5269</v>
      </c>
      <c r="I393" t="n">
        <v>4728</v>
      </c>
      <c r="J393" t="n">
        <v>3303</v>
      </c>
      <c r="K393" s="27">
        <f>(H393/D393-1)</f>
        <v/>
      </c>
      <c r="L393" s="27">
        <f>(I393/D393-1)</f>
        <v/>
      </c>
      <c r="M393" s="27">
        <f>(J393/D393-1)</f>
        <v/>
      </c>
      <c r="N393" t="n">
        <v>38.8</v>
      </c>
      <c r="O393" s="28">
        <f>(N393+F393)/2</f>
        <v/>
      </c>
      <c r="P393">
        <f>IF(O393="計算不能","計算不能",IF(O393&gt;=80,5,IF(O393&gt;=60,4,IF(O393&gt;=40,3,IF(O393&gt;=28,2,1)))))</f>
        <v/>
      </c>
      <c r="Q393" t="n">
        <v>569</v>
      </c>
      <c r="R393" t="n">
        <v>0</v>
      </c>
      <c r="S393" s="27">
        <f>R393/Q393</f>
        <v/>
      </c>
      <c r="T393" t="inlineStr">
        <is>
          <t>平田村は2045年までに人口が約37.3%減と急激な過疎・超高齢化が進行。若年労働世代の流出と自然減が重なり、賃貸事業としての持続性は極めて限定的。</t>
        </is>
      </c>
      <c r="U393" t="inlineStr">
        <is>
          <t>平田村は人口密度56人/km²と過疎的水準で、民間賃貸の新規需要は薄い。実需に裏付けられた格安戸建ての指値取得のみが現実的。 借家の空室率は約0%と需給は比較的引き締まっている。</t>
        </is>
      </c>
      <c r="V393" t="inlineStr">
        <is>
          <t>平田村（福島県）：阿武隈川・阿賀川の洪水、太平洋沿岸の津波、中通り・会津の豪雪と土砂災害に留意。</t>
        </is>
      </c>
    </row>
    <row r="394">
      <c r="A394" t="inlineStr">
        <is>
          <t>福島県</t>
        </is>
      </c>
      <c r="B394" t="inlineStr">
        <is>
          <t>浅川町</t>
        </is>
      </c>
      <c r="C394" t="n">
        <v>2190</v>
      </c>
      <c r="D394" t="n">
        <v>5525</v>
      </c>
      <c r="E394" s="6" t="n">
        <v>144.8</v>
      </c>
      <c r="F394" s="7" t="n">
        <v>24.5</v>
      </c>
      <c r="G394" t="n">
        <v>6036</v>
      </c>
      <c r="H394" t="n">
        <v>5525</v>
      </c>
      <c r="I394" t="n">
        <v>5054</v>
      </c>
      <c r="J394" t="n">
        <v>3789</v>
      </c>
      <c r="K394" s="27">
        <f>(H394/D394-1)</f>
        <v/>
      </c>
      <c r="L394" s="27">
        <f>(I394/D394-1)</f>
        <v/>
      </c>
      <c r="M394" s="27">
        <f>(J394/D394-1)</f>
        <v/>
      </c>
      <c r="N394" t="n">
        <v>41.6</v>
      </c>
      <c r="O394" s="28">
        <f>(N394+F394)/2</f>
        <v/>
      </c>
      <c r="P394">
        <f>IF(O394="計算不能","計算不能",IF(O394&gt;=80,5,IF(O394&gt;=60,4,IF(O394&gt;=40,3,IF(O394&gt;=28,2,1)))))</f>
        <v/>
      </c>
      <c r="Q394" t="n">
        <v>574</v>
      </c>
      <c r="R394" t="n">
        <v>0</v>
      </c>
      <c r="S394" s="27">
        <f>R394/Q394</f>
        <v/>
      </c>
      <c r="T394" t="inlineStr">
        <is>
          <t>浅川町は2045年までに人口が約31.4%減と急激な過疎・超高齢化が進行。若年労働世代の流出と自然減が重なり、賃貸事業としての持続性は極めて限定的。</t>
        </is>
      </c>
      <c r="U394" t="inlineStr">
        <is>
          <t>浅川町は人口密度145人/km²と過疎的水準で、民間賃貸の新規需要は薄い。実需に裏付けられた格安戸建ての指値取得のみが現実的。 借家の空室率は約0%と需給は比較的引き締まっている。</t>
        </is>
      </c>
      <c r="V394" t="inlineStr">
        <is>
          <t>浅川町（福島県）：阿武隈川・阿賀川の洪水、太平洋沿岸の津波、中通り・会津の豪雪と土砂災害に留意。</t>
        </is>
      </c>
    </row>
    <row r="395">
      <c r="A395" t="inlineStr">
        <is>
          <t>福島県</t>
        </is>
      </c>
      <c r="B395" t="inlineStr">
        <is>
          <t>古殿町</t>
        </is>
      </c>
      <c r="C395" t="n">
        <v>1760</v>
      </c>
      <c r="D395" t="n">
        <v>4289</v>
      </c>
      <c r="E395" s="6" t="n">
        <v>25.4</v>
      </c>
      <c r="F395" s="7" t="n">
        <v>12.5</v>
      </c>
      <c r="G395" t="n">
        <v>4825</v>
      </c>
      <c r="H395" t="n">
        <v>4289</v>
      </c>
      <c r="I395" t="n">
        <v>3785</v>
      </c>
      <c r="J395" t="n">
        <v>2568</v>
      </c>
      <c r="K395" s="27">
        <f>(H395/D395-1)</f>
        <v/>
      </c>
      <c r="L395" s="27">
        <f>(I395/D395-1)</f>
        <v/>
      </c>
      <c r="M395" s="27">
        <f>(J395/D395-1)</f>
        <v/>
      </c>
      <c r="N395" t="n">
        <v>36.3</v>
      </c>
      <c r="O395" s="28">
        <f>(N395+F395)/2</f>
        <v/>
      </c>
      <c r="P395">
        <f>IF(O395="計算不能","計算不能",IF(O395&gt;=80,5,IF(O395&gt;=60,4,IF(O395&gt;=40,3,IF(O395&gt;=28,2,1)))))</f>
        <v/>
      </c>
      <c r="Q395" t="n">
        <v>461</v>
      </c>
      <c r="R395" t="n">
        <v>0</v>
      </c>
      <c r="S395" s="27">
        <f>R395/Q395</f>
        <v/>
      </c>
      <c r="T395" t="inlineStr">
        <is>
          <t>古殿町は2045年までに人口が約40.1%減と急激な過疎・超高齢化が進行。若年労働世代の流出と自然減が重なり、賃貸事業としての持続性は極めて限定的。</t>
        </is>
      </c>
      <c r="U395" t="inlineStr">
        <is>
          <t>古殿町は人口密度25人/km²と過疎的水準で、民間賃貸の新規需要は薄い。実需に裏付けられた格安戸建ての指値取得のみが現実的。 借家の空室率は約0%と需給は比較的引き締まっている。</t>
        </is>
      </c>
      <c r="V395" t="inlineStr">
        <is>
          <t>古殿町（福島県）：阿武隈川・阿賀川の洪水、太平洋沿岸の津波、中通り・会津の豪雪と土砂災害に留意。</t>
        </is>
      </c>
    </row>
    <row r="396">
      <c r="A396" t="inlineStr">
        <is>
          <t>福島県</t>
        </is>
      </c>
      <c r="B396" t="inlineStr">
        <is>
          <t>三春町</t>
        </is>
      </c>
      <c r="C396" t="n">
        <v>5980</v>
      </c>
      <c r="D396" t="n">
        <v>16105</v>
      </c>
      <c r="E396" s="6" t="n">
        <v>217.4</v>
      </c>
      <c r="F396" s="7" t="n">
        <v>30.9</v>
      </c>
      <c r="G396" t="n">
        <v>17018</v>
      </c>
      <c r="H396" t="n">
        <v>16105</v>
      </c>
      <c r="I396" t="n">
        <v>15051</v>
      </c>
      <c r="J396" t="n">
        <v>11583</v>
      </c>
      <c r="K396" s="27">
        <f>(H396/D396-1)</f>
        <v/>
      </c>
      <c r="L396" s="27">
        <f>(I396/D396-1)</f>
        <v/>
      </c>
      <c r="M396" s="27">
        <f>(J396/D396-1)</f>
        <v/>
      </c>
      <c r="N396" t="n">
        <v>46.6</v>
      </c>
      <c r="O396" s="28">
        <f>(N396+F396)/2</f>
        <v/>
      </c>
      <c r="P396">
        <f>IF(O396="計算不能","計算不能",IF(O396&gt;=80,5,IF(O396&gt;=60,4,IF(O396&gt;=40,3,IF(O396&gt;=28,2,1)))))</f>
        <v/>
      </c>
      <c r="Q396" t="n">
        <v>1568</v>
      </c>
      <c r="R396" t="n">
        <v>190</v>
      </c>
      <c r="S396" s="27">
        <f>R396/Q396</f>
        <v/>
      </c>
      <c r="T396" t="inlineStr">
        <is>
          <t>三春町は2045年までに人口が約28.1%減と明確な減少トレンド。高齢化の進行と世帯数の縮小により、中長期では賃貸需要の構造的縮小に警戒が必要。</t>
        </is>
      </c>
      <c r="U396" t="inlineStr">
        <is>
          <t>三春町は人口密度217人/km²と低密度で、賃貸需要は限定的。持ち家比率が高く、駐車場完備の戸建て賃貸が有利。 借家の空室率は約12%と需給は比較的引き締まっている。</t>
        </is>
      </c>
      <c r="V396" t="inlineStr">
        <is>
          <t>三春町（福島県）：阿武隈川・阿賀川の洪水、太平洋沿岸の津波、中通り・会津の豪雪と土砂災害に留意。</t>
        </is>
      </c>
    </row>
    <row r="397">
      <c r="A397" t="inlineStr">
        <is>
          <t>福島県</t>
        </is>
      </c>
      <c r="B397" t="inlineStr">
        <is>
          <t>小野町</t>
        </is>
      </c>
      <c r="C397" t="n">
        <v>3737</v>
      </c>
      <c r="D397" t="n">
        <v>8586</v>
      </c>
      <c r="E397" s="6" t="n">
        <v>66.59999999999999</v>
      </c>
      <c r="F397" s="7" t="n">
        <v>16.7</v>
      </c>
      <c r="G397" t="n">
        <v>9471</v>
      </c>
      <c r="H397" t="n">
        <v>8586</v>
      </c>
      <c r="I397" t="n">
        <v>7749</v>
      </c>
      <c r="J397" t="n">
        <v>5465</v>
      </c>
      <c r="K397" s="27">
        <f>(H397/D397-1)</f>
        <v/>
      </c>
      <c r="L397" s="27">
        <f>(I397/D397-1)</f>
        <v/>
      </c>
      <c r="M397" s="27">
        <f>(J397/D397-1)</f>
        <v/>
      </c>
      <c r="N397" t="n">
        <v>39.3</v>
      </c>
      <c r="O397" s="28">
        <f>(N397+F397)/2</f>
        <v/>
      </c>
      <c r="P397">
        <f>IF(O397="計算不能","計算不能",IF(O397&gt;=80,5,IF(O397&gt;=60,4,IF(O397&gt;=40,3,IF(O397&gt;=28,2,1)))))</f>
        <v/>
      </c>
      <c r="Q397" t="n">
        <v>980</v>
      </c>
      <c r="R397" t="n">
        <v>0</v>
      </c>
      <c r="S397" s="27">
        <f>R397/Q397</f>
        <v/>
      </c>
      <c r="T397" t="inlineStr">
        <is>
          <t>小野町は2045年までに人口が約36.3%減と急激な過疎・超高齢化が進行。若年労働世代の流出と自然減が重なり、賃貸事業としての持続性は極めて限定的。</t>
        </is>
      </c>
      <c r="U397" t="inlineStr">
        <is>
          <t>小野町は人口密度67人/km²と過疎的水準で、民間賃貸の新規需要は薄い。実需に裏付けられた格安戸建ての指値取得のみが現実的。 借家の空室率は約0%と需給は比較的引き締まっている。</t>
        </is>
      </c>
      <c r="V397" t="inlineStr">
        <is>
          <t>小野町（福島県）：阿武隈川・阿賀川の洪水、太平洋沿岸の津波、中通り・会津の豪雪と土砂災害に留意。</t>
        </is>
      </c>
    </row>
    <row r="398">
      <c r="A398" t="inlineStr">
        <is>
          <t>福島県</t>
        </is>
      </c>
      <c r="B398" t="inlineStr">
        <is>
          <t>広野町</t>
        </is>
      </c>
      <c r="C398" t="n">
        <v>2271</v>
      </c>
      <c r="D398" t="n">
        <v>4531</v>
      </c>
      <c r="E398" s="6" t="n">
        <v>81.5</v>
      </c>
      <c r="F398" s="7" t="n">
        <v>18.1</v>
      </c>
      <c r="G398" t="n">
        <v>452508</v>
      </c>
      <c r="H398" t="n">
        <v>421046</v>
      </c>
      <c r="I398" t="n">
        <v>400218</v>
      </c>
      <c r="J398" t="n">
        <v>331391</v>
      </c>
      <c r="K398" s="27" t="n">
        <v>-0.06952805254271748</v>
      </c>
      <c r="L398" s="27" t="n">
        <v>-0.1155559680712827</v>
      </c>
      <c r="M398" s="27" t="n">
        <v>-0.2676571463929919</v>
      </c>
      <c r="N398" t="n">
        <v>48</v>
      </c>
      <c r="O398" s="28">
        <f>(N398+F398)/2</f>
        <v/>
      </c>
      <c r="P398">
        <f>IF(O398="計算不能","計算不能",IF(O398&gt;=80,5,IF(O398&gt;=60,4,IF(O398&gt;=40,3,IF(O398&gt;=28,2,1)))))</f>
        <v/>
      </c>
      <c r="Q398" t="n">
        <v>595</v>
      </c>
      <c r="R398" t="n">
        <v>0</v>
      </c>
      <c r="S398" s="27">
        <f>R398/Q398</f>
        <v/>
      </c>
      <c r="T398" t="inlineStr">
        <is>
          <t>広野町は個別の将来人口推計データが未整備のため、浜通り地域合計（福島県浜通り13市町村）の推計値を参照。浜通り地域全体では2020年比で2045年までに約26.8%減（452,508人→331,391人）と見込まれ、全国平均を上回る急速な人口減少が予測される。東日本大震災・原発事故後の復興途上にあり、帰還・移住動向が人口動態を左右するため、賃貸需要の先行きには不確実性が高い。</t>
        </is>
      </c>
      <c r="U398" t="inlineStr">
        <is>
          <t>広野町は人口密度82人/km²と過疎的水準で、民間賃貸の新規需要は薄い。実需に裏付けられた格安戸建ての指値取得のみが現実的。 借家の空室率は約0%と需給は比較的引き締まっている。</t>
        </is>
      </c>
      <c r="V398" t="inlineStr">
        <is>
          <t>広野町（福島県）：阿武隈川・阿賀川の洪水、太平洋沿岸の津波、中通り・会津の豪雪と土砂災害に留意。</t>
        </is>
      </c>
    </row>
    <row r="399">
      <c r="A399" t="inlineStr">
        <is>
          <t>福島県</t>
        </is>
      </c>
      <c r="B399" t="inlineStr">
        <is>
          <t>楢葉町</t>
        </is>
      </c>
      <c r="C399" t="n">
        <v>3194</v>
      </c>
      <c r="D399" t="n">
        <v>6409</v>
      </c>
      <c r="E399" s="6" t="n">
        <v>43.8</v>
      </c>
      <c r="F399" s="7" t="n">
        <v>14.4</v>
      </c>
      <c r="G399" t="n">
        <v>452508</v>
      </c>
      <c r="H399" t="n">
        <v>421046</v>
      </c>
      <c r="I399" t="n">
        <v>400218</v>
      </c>
      <c r="J399" t="n">
        <v>331391</v>
      </c>
      <c r="K399" s="27" t="n">
        <v>-0.06952805254271748</v>
      </c>
      <c r="L399" s="27" t="n">
        <v>-0.1155559680712827</v>
      </c>
      <c r="M399" s="27" t="n">
        <v>-0.2676571463929919</v>
      </c>
      <c r="N399" t="n">
        <v>48</v>
      </c>
      <c r="O399" s="28">
        <f>(N399+F399)/2</f>
        <v/>
      </c>
      <c r="P399">
        <f>IF(O399="計算不能","計算不能",IF(O399&gt;=80,5,IF(O399&gt;=60,4,IF(O399&gt;=40,3,IF(O399&gt;=28,2,1)))))</f>
        <v/>
      </c>
      <c r="Q399" t="n">
        <v>837</v>
      </c>
      <c r="R399" t="n">
        <v>0</v>
      </c>
      <c r="S399" s="27">
        <f>R399/Q399</f>
        <v/>
      </c>
      <c r="T399" t="inlineStr">
        <is>
          <t>楢葉町は個別の将来人口推計データが未整備のため、浜通り地域合計（福島県浜通り13市町村）の推計値を参照。浜通り地域全体では2020年比で2045年までに約26.8%減（452,508人→331,391人）と見込まれ、全国平均を上回る急速な人口減少が予測される。東日本大震災・原発事故後の復興途上にあり、帰還・移住動向が人口動態を左右するため、賃貸需要の先行きには不確実性が高い。</t>
        </is>
      </c>
      <c r="U399" t="inlineStr">
        <is>
          <t>楢葉町は人口密度44人/km²と過疎的水準で、民間賃貸の新規需要は薄い。実需に裏付けられた格安戸建ての指値取得のみが現実的。 借家の空室率は約0%と需給は比較的引き締まっている。</t>
        </is>
      </c>
      <c r="V399" t="inlineStr">
        <is>
          <t>楢葉町（福島県）：阿武隈川・阿賀川の洪水、太平洋沿岸の津波、中通り・会津の豪雪と土砂災害に留意。</t>
        </is>
      </c>
    </row>
    <row r="400">
      <c r="A400" t="inlineStr">
        <is>
          <t>福島県</t>
        </is>
      </c>
      <c r="B400" t="inlineStr">
        <is>
          <t>富岡町</t>
        </is>
      </c>
      <c r="C400" t="n">
        <v>5762</v>
      </c>
      <c r="D400" t="n">
        <v>11316</v>
      </c>
      <c r="E400" s="6" t="n">
        <v>42.3</v>
      </c>
      <c r="F400" s="7" t="n">
        <v>14.2</v>
      </c>
      <c r="G400" t="n">
        <v>452508</v>
      </c>
      <c r="H400" t="n">
        <v>421046</v>
      </c>
      <c r="I400" t="n">
        <v>400218</v>
      </c>
      <c r="J400" t="n">
        <v>331391</v>
      </c>
      <c r="K400" s="27" t="n">
        <v>-0.06952805254271748</v>
      </c>
      <c r="L400" s="27" t="n">
        <v>-0.1155559680712827</v>
      </c>
      <c r="M400" s="27" t="n">
        <v>-0.2676571463929919</v>
      </c>
      <c r="N400" t="n">
        <v>48</v>
      </c>
      <c r="O400" s="28">
        <f>(N400+F400)/2</f>
        <v/>
      </c>
      <c r="P400">
        <f>IF(O400="計算不能","計算不能",IF(O400&gt;=80,5,IF(O400&gt;=60,4,IF(O400&gt;=40,3,IF(O400&gt;=28,2,1)))))</f>
        <v/>
      </c>
      <c r="Q400" t="n">
        <v>1511</v>
      </c>
      <c r="R400" t="n">
        <v>0</v>
      </c>
      <c r="S400" s="27">
        <f>R400/Q400</f>
        <v/>
      </c>
      <c r="T400" t="inlineStr">
        <is>
          <t>富岡町は個別の将来人口推計データが未整備のため、浜通り地域合計（福島県浜通り13市町村）の推計値を参照。浜通り地域全体では2020年比で2045年までに約26.8%減（452,508人→331,391人）と見込まれ、全国平均を上回る急速な人口減少が予測される。東日本大震災・原発事故後の復興途上にあり、帰還・移住動向が人口動態を左右するため、賃貸需要の先行きには不確実性が高い。</t>
        </is>
      </c>
      <c r="U400" t="inlineStr">
        <is>
          <t>富岡町は人口密度42人/km²と過疎的水準で、民間賃貸の新規需要は薄い。実需に裏付けられた格安戸建ての指値取得のみが現実的。 借家の空室率は約0%と需給は比較的引き締まっている。</t>
        </is>
      </c>
      <c r="V400" t="inlineStr">
        <is>
          <t>富岡町（福島県）：阿武隈川・阿賀川の洪水、太平洋沿岸の津波、中通り・会津の豪雪と土砂災害に留意。</t>
        </is>
      </c>
    </row>
    <row r="401">
      <c r="A401" t="inlineStr">
        <is>
          <t>福島県</t>
        </is>
      </c>
      <c r="B401" t="inlineStr">
        <is>
          <t>川内村</t>
        </is>
      </c>
      <c r="C401" t="n">
        <v>1140</v>
      </c>
      <c r="D401" t="n">
        <v>2233</v>
      </c>
      <c r="E401" s="6" t="n">
        <v>8.6</v>
      </c>
      <c r="F401" s="7" t="n">
        <v>10.9</v>
      </c>
      <c r="G401" t="n">
        <v>452508</v>
      </c>
      <c r="H401" t="n">
        <v>421046</v>
      </c>
      <c r="I401" t="n">
        <v>400218</v>
      </c>
      <c r="J401" t="n">
        <v>331391</v>
      </c>
      <c r="K401" s="27" t="n">
        <v>-0.06952805254271748</v>
      </c>
      <c r="L401" s="27" t="n">
        <v>-0.1155559680712827</v>
      </c>
      <c r="M401" s="27" t="n">
        <v>-0.2676571463929919</v>
      </c>
      <c r="N401" t="n">
        <v>48</v>
      </c>
      <c r="O401" s="28">
        <f>(N401+F401)/2</f>
        <v/>
      </c>
      <c r="P401">
        <f>IF(O401="計算不能","計算不能",IF(O401&gt;=80,5,IF(O401&gt;=60,4,IF(O401&gt;=40,3,IF(O401&gt;=28,2,1)))))</f>
        <v/>
      </c>
      <c r="Q401" t="n">
        <v>298</v>
      </c>
      <c r="R401" t="n">
        <v>0</v>
      </c>
      <c r="S401" s="27">
        <f>R401/Q401</f>
        <v/>
      </c>
      <c r="T401" t="inlineStr">
        <is>
          <t>川内村は個別の将来人口推計データが未整備のため、浜通り地域合計（福島県浜通り13市町村）の推計値を参照。浜通り地域全体では2020年比で2045年までに約26.8%減（452,508人→331,391人）と見込まれ、全国平均を上回る急速な人口減少が予測される。東日本大震災・原発事故後の復興途上にあり、帰還・移住動向が人口動態を左右するため、賃貸需要の先行きには不確実性が高い。</t>
        </is>
      </c>
      <c r="U401" t="inlineStr">
        <is>
          <t>川内村は人口密度9人/km²と過疎的水準で、民間賃貸の新規需要は薄い。実需に裏付けられた格安戸建ての指値取得のみが現実的。 借家の空室率は約0%と需給は比較的引き締まっている。</t>
        </is>
      </c>
      <c r="V401" t="inlineStr">
        <is>
          <t>川内村（福島県）：阿武隈川・阿賀川の洪水、太平洋沿岸の津波、中通り・会津の豪雪と土砂災害に留意。</t>
        </is>
      </c>
    </row>
    <row r="402">
      <c r="A402" t="inlineStr">
        <is>
          <t>福島県</t>
        </is>
      </c>
      <c r="B402" t="inlineStr">
        <is>
          <t>大熊町</t>
        </is>
      </c>
      <c r="C402" t="n">
        <v>4096</v>
      </c>
      <c r="D402" t="n">
        <v>9944</v>
      </c>
      <c r="E402" s="6" t="n">
        <v>19.5</v>
      </c>
      <c r="F402" s="7" t="n">
        <v>11.9</v>
      </c>
      <c r="G402" t="n">
        <v>452508</v>
      </c>
      <c r="H402" t="n">
        <v>421046</v>
      </c>
      <c r="I402" t="n">
        <v>400218</v>
      </c>
      <c r="J402" t="n">
        <v>331391</v>
      </c>
      <c r="K402" s="27" t="n">
        <v>-0.06952805254271748</v>
      </c>
      <c r="L402" s="27" t="n">
        <v>-0.1155559680712827</v>
      </c>
      <c r="M402" s="27" t="n">
        <v>-0.2676571463929919</v>
      </c>
      <c r="N402" t="n">
        <v>48</v>
      </c>
      <c r="O402" s="28">
        <f>(N402+F402)/2</f>
        <v/>
      </c>
      <c r="P402">
        <f>IF(O402="計算不能","計算不能",IF(O402&gt;=80,5,IF(O402&gt;=60,4,IF(O402&gt;=40,3,IF(O402&gt;=28,2,1)))))</f>
        <v/>
      </c>
      <c r="Q402" t="n">
        <v>1074</v>
      </c>
      <c r="R402" t="n">
        <v>0</v>
      </c>
      <c r="S402" s="27">
        <f>R402/Q402</f>
        <v/>
      </c>
      <c r="T402" t="inlineStr">
        <is>
          <t>大熊町は個別の将来人口推計データが未整備のため、浜通り地域合計（福島県浜通り13市町村）の推計値を参照。浜通り地域全体では2020年比で2045年までに約26.8%減（452,508人→331,391人）と見込まれ、全国平均を上回る急速な人口減少が予測される。東日本大震災・原発事故後の復興途上にあり、帰還・移住動向が人口動態を左右するため、賃貸需要の先行きには不確実性が高い。</t>
        </is>
      </c>
      <c r="U402" t="inlineStr">
        <is>
          <t>大熊町は人口密度20人/km²と過疎的水準で、民間賃貸の新規需要は薄い。実需に裏付けられた格安戸建ての指値取得のみが現実的。 借家の空室率は約0%と需給は比較的引き締まっている。</t>
        </is>
      </c>
      <c r="V402" t="inlineStr">
        <is>
          <t>大熊町（福島県）：阿武隈川・阿賀川の洪水、太平洋沿岸の津波、中通り・会津の豪雪と土砂災害に留意。</t>
        </is>
      </c>
    </row>
    <row r="403">
      <c r="A403" t="inlineStr">
        <is>
          <t>福島県</t>
        </is>
      </c>
      <c r="B403" t="inlineStr">
        <is>
          <t>双葉町</t>
        </is>
      </c>
      <c r="C403" t="n">
        <v>2196</v>
      </c>
      <c r="D403" t="n">
        <v>5294</v>
      </c>
      <c r="E403" s="6" t="n">
        <v>4.1</v>
      </c>
      <c r="F403" s="7" t="n">
        <v>10.4</v>
      </c>
      <c r="G403" t="n">
        <v>452508</v>
      </c>
      <c r="H403" t="n">
        <v>421046</v>
      </c>
      <c r="I403" t="n">
        <v>400218</v>
      </c>
      <c r="J403" t="n">
        <v>331391</v>
      </c>
      <c r="K403" s="27" t="n">
        <v>-0.06952805254271748</v>
      </c>
      <c r="L403" s="27" t="n">
        <v>-0.1155559680712827</v>
      </c>
      <c r="M403" s="27" t="n">
        <v>-0.2676571463929919</v>
      </c>
      <c r="N403" t="n">
        <v>48</v>
      </c>
      <c r="O403" s="28">
        <f>(N403+F403)/2</f>
        <v/>
      </c>
      <c r="P403">
        <f>IF(O403="計算不能","計算不能",IF(O403&gt;=80,5,IF(O403&gt;=60,4,IF(O403&gt;=40,3,IF(O403&gt;=28,2,1)))))</f>
        <v/>
      </c>
      <c r="Q403" t="n">
        <v>575</v>
      </c>
      <c r="R403" t="n">
        <v>0</v>
      </c>
      <c r="S403" s="27">
        <f>R403/Q403</f>
        <v/>
      </c>
      <c r="T403" t="inlineStr">
        <is>
          <t>双葉町は個別の将来人口推計データが未整備のため、浜通り地域合計（福島県浜通り13市町村）の推計値を参照。浜通り地域全体では2020年比で2045年までに約26.8%減（452,508人→331,391人）と見込まれ、全国平均を上回る急速な人口減少が予測される。東日本大震災・原発事故後の復興途上にあり、帰還・移住動向が人口動態を左右するため、賃貸需要の先行きには不確実性が高い。</t>
        </is>
      </c>
      <c r="U403" t="inlineStr">
        <is>
          <t>双葉町は人口密度4人/km²と過疎的水準で、民間賃貸の新規需要は薄い。実需に裏付けられた格安戸建ての指値取得のみが現実的。 借家の空室率は約0%と需給は比較的引き締まっている。</t>
        </is>
      </c>
      <c r="V403" t="inlineStr">
        <is>
          <t>双葉町（福島県）：阿武隈川・阿賀川の洪水、太平洋沿岸の津波、中通り・会津の豪雪と土砂災害に留意。</t>
        </is>
      </c>
    </row>
    <row r="404">
      <c r="A404" t="inlineStr">
        <is>
          <t>福島県</t>
        </is>
      </c>
      <c r="B404" t="inlineStr">
        <is>
          <t>浪江町</t>
        </is>
      </c>
      <c r="C404" t="n">
        <v>6565</v>
      </c>
      <c r="D404" t="n">
        <v>14632</v>
      </c>
      <c r="E404" s="6" t="n">
        <v>11.5</v>
      </c>
      <c r="F404" s="7" t="n">
        <v>11.2</v>
      </c>
      <c r="G404" t="n">
        <v>452508</v>
      </c>
      <c r="H404" t="n">
        <v>421046</v>
      </c>
      <c r="I404" t="n">
        <v>400218</v>
      </c>
      <c r="J404" t="n">
        <v>331391</v>
      </c>
      <c r="K404" s="27" t="n">
        <v>-0.06952805254271748</v>
      </c>
      <c r="L404" s="27" t="n">
        <v>-0.1155559680712827</v>
      </c>
      <c r="M404" s="27" t="n">
        <v>-0.2676571463929919</v>
      </c>
      <c r="N404" t="n">
        <v>48</v>
      </c>
      <c r="O404" s="28">
        <f>(N404+F404)/2</f>
        <v/>
      </c>
      <c r="P404">
        <f>IF(O404="計算不能","計算不能",IF(O404&gt;=80,5,IF(O404&gt;=60,4,IF(O404&gt;=40,3,IF(O404&gt;=28,2,1)))))</f>
        <v/>
      </c>
      <c r="Q404" t="n">
        <v>1721</v>
      </c>
      <c r="R404" t="n">
        <v>0</v>
      </c>
      <c r="S404" s="27">
        <f>R404/Q404</f>
        <v/>
      </c>
      <c r="T404" t="inlineStr">
        <is>
          <t>浪江町は個別の将来人口推計データが未整備のため、浜通り地域合計（福島県浜通り13市町村）の推計値を参照。浜通り地域全体では2020年比で2045年までに約26.8%減（452,508人→331,391人）と見込まれ、全国平均を上回る急速な人口減少が予測される。東日本大震災・原発事故後の復興途上にあり、帰還・移住動向が人口動態を左右するため、賃貸需要の先行きには不確実性が高い。</t>
        </is>
      </c>
      <c r="U404" t="inlineStr">
        <is>
          <t>浪江町は人口密度12人/km²と過疎的水準で、民間賃貸の新規需要は薄い。実需に裏付けられた格安戸建ての指値取得のみが現実的。 借家の空室率は約0%と需給は比較的引き締まっている。</t>
        </is>
      </c>
      <c r="V404" t="inlineStr">
        <is>
          <t>浪江町（福島県）：阿武隈川・阿賀川の洪水、太平洋沿岸の津波、中通り・会津の豪雪と土砂災害に留意。</t>
        </is>
      </c>
    </row>
    <row r="405">
      <c r="A405" t="inlineStr">
        <is>
          <t>福島県</t>
        </is>
      </c>
      <c r="B405" t="inlineStr">
        <is>
          <t>葛尾村</t>
        </is>
      </c>
      <c r="C405" t="n">
        <v>466</v>
      </c>
      <c r="D405" t="n">
        <v>1216</v>
      </c>
      <c r="E405" s="6" t="n">
        <v>5</v>
      </c>
      <c r="F405" s="7" t="n">
        <v>10.5</v>
      </c>
      <c r="G405" t="n">
        <v>452508</v>
      </c>
      <c r="H405" t="n">
        <v>421046</v>
      </c>
      <c r="I405" t="n">
        <v>400218</v>
      </c>
      <c r="J405" t="n">
        <v>331391</v>
      </c>
      <c r="K405" s="27" t="n">
        <v>-0.06952805254271748</v>
      </c>
      <c r="L405" s="27" t="n">
        <v>-0.1155559680712827</v>
      </c>
      <c r="M405" s="27" t="n">
        <v>-0.2676571463929919</v>
      </c>
      <c r="N405" t="n">
        <v>48</v>
      </c>
      <c r="O405" s="28">
        <f>(N405+F405)/2</f>
        <v/>
      </c>
      <c r="P405">
        <f>IF(O405="計算不能","計算不能",IF(O405&gt;=80,5,IF(O405&gt;=60,4,IF(O405&gt;=40,3,IF(O405&gt;=28,2,1)))))</f>
        <v/>
      </c>
      <c r="Q405" t="n">
        <v>122</v>
      </c>
      <c r="R405" t="n">
        <v>0</v>
      </c>
      <c r="S405" s="27">
        <f>R405/Q405</f>
        <v/>
      </c>
      <c r="T405" t="inlineStr">
        <is>
          <t>葛尾村は個別の将来人口推計データが未整備のため、浜通り地域合計（福島県浜通り13市町村）の推計値を参照。浜通り地域全体では2020年比で2045年までに約26.8%減（452,508人→331,391人）と見込まれ、全国平均を上回る急速な人口減少が予測される。東日本大震災・原発事故後の復興途上にあり、帰還・移住動向が人口動態を左右するため、賃貸需要の先行きには不確実性が高い。</t>
        </is>
      </c>
      <c r="U405" t="inlineStr">
        <is>
          <t>葛尾村は人口密度5人/km²と過疎的水準で、民間賃貸の新規需要は薄い。実需に裏付けられた格安戸建ての指値取得のみが現実的。 借家の空室率は約0%と需給は比較的引き締まっている。</t>
        </is>
      </c>
      <c r="V405" t="inlineStr">
        <is>
          <t>葛尾村（福島県）：阿武隈川・阿賀川の洪水、太平洋沿岸の津波、中通り・会津の豪雪と土砂災害に留意。</t>
        </is>
      </c>
    </row>
    <row r="406">
      <c r="A406" t="inlineStr">
        <is>
          <t>福島県</t>
        </is>
      </c>
      <c r="B406" t="inlineStr">
        <is>
          <t>新地町</t>
        </is>
      </c>
      <c r="C406" t="n">
        <v>2922</v>
      </c>
      <c r="D406" t="n">
        <v>7445</v>
      </c>
      <c r="E406" s="6" t="n">
        <v>160.2</v>
      </c>
      <c r="F406" s="7" t="n">
        <v>26</v>
      </c>
      <c r="G406" t="n">
        <v>452508</v>
      </c>
      <c r="H406" t="n">
        <v>421046</v>
      </c>
      <c r="I406" t="n">
        <v>400218</v>
      </c>
      <c r="J406" t="n">
        <v>331391</v>
      </c>
      <c r="K406" s="27" t="n">
        <v>-0.06952805254271748</v>
      </c>
      <c r="L406" s="27" t="n">
        <v>-0.1155559680712827</v>
      </c>
      <c r="M406" s="27" t="n">
        <v>-0.2676571463929919</v>
      </c>
      <c r="N406" t="n">
        <v>48</v>
      </c>
      <c r="O406" s="28">
        <f>(N406+F406)/2</f>
        <v/>
      </c>
      <c r="P406">
        <f>IF(O406="計算不能","計算不能",IF(O406&gt;=80,5,IF(O406&gt;=60,4,IF(O406&gt;=40,3,IF(O406&gt;=28,2,1)))))</f>
        <v/>
      </c>
      <c r="Q406" t="n">
        <v>766</v>
      </c>
      <c r="R406" t="n">
        <v>0</v>
      </c>
      <c r="S406" s="27">
        <f>R406/Q406</f>
        <v/>
      </c>
      <c r="T406" t="inlineStr">
        <is>
          <t>新地町は個別の将来人口推計データが未整備のため、浜通り地域合計（福島県浜通り13市町村）の推計値を参照。浜通り地域全体では2020年比で2045年までに約26.8%減（452,508人→331,391人）と見込まれ、全国平均を上回る急速な人口減少が予測される。東日本大震災・原発事故後の復興途上にあり、帰還・移住動向が人口動態を左右するため、賃貸需要の先行きには不確実性が高い。</t>
        </is>
      </c>
      <c r="U406" t="inlineStr">
        <is>
          <t>新地町は人口密度160人/km²と過疎的水準で、民間賃貸の新規需要は薄い。実需に裏付けられた格安戸建ての指値取得のみが現実的。 借家の空室率は約0%と需給は比較的引き締まっている。</t>
        </is>
      </c>
      <c r="V406" t="inlineStr">
        <is>
          <t>新地町（福島県）：阿武隈川・阿賀川の洪水、太平洋沿岸の津波、中通り・会津の豪雪と土砂災害に留意。</t>
        </is>
      </c>
    </row>
    <row r="407">
      <c r="A407" t="inlineStr">
        <is>
          <t>福島県</t>
        </is>
      </c>
      <c r="B407" t="inlineStr">
        <is>
          <t>飯舘村</t>
        </is>
      </c>
      <c r="C407" t="n">
        <v>1793</v>
      </c>
      <c r="D407" t="n">
        <v>4506</v>
      </c>
      <c r="E407" s="6" t="n">
        <v>6</v>
      </c>
      <c r="F407" s="7" t="n">
        <v>10.6</v>
      </c>
      <c r="G407" t="n">
        <v>452508</v>
      </c>
      <c r="H407" t="n">
        <v>421046</v>
      </c>
      <c r="I407" t="n">
        <v>400218</v>
      </c>
      <c r="J407" t="n">
        <v>331391</v>
      </c>
      <c r="K407" s="27" t="n">
        <v>-0.06952805254271748</v>
      </c>
      <c r="L407" s="27" t="n">
        <v>-0.1155559680712827</v>
      </c>
      <c r="M407" s="27" t="n">
        <v>-0.2676571463929919</v>
      </c>
      <c r="N407" t="n">
        <v>48</v>
      </c>
      <c r="O407" s="28">
        <f>(N407+F407)/2</f>
        <v/>
      </c>
      <c r="P407">
        <f>IF(O407="計算不能","計算不能",IF(O407&gt;=80,5,IF(O407&gt;=60,4,IF(O407&gt;=40,3,IF(O407&gt;=28,2,1)))))</f>
        <v/>
      </c>
      <c r="Q407" t="n">
        <v>470</v>
      </c>
      <c r="R407" t="n">
        <v>0</v>
      </c>
      <c r="S407" s="27">
        <f>R407/Q407</f>
        <v/>
      </c>
      <c r="T407" t="inlineStr">
        <is>
          <t>飯舘村は個別の将来人口推計データが未整備のため、浜通り地域合計（福島県浜通り13市町村）の推計値を参照。浜通り地域全体では2020年比で2045年までに約26.8%減（452,508人→331,391人）と見込まれ、全国平均を上回る急速な人口減少が予測される。東日本大震災・原発事故後の復興途上にあり、帰還・移住動向が人口動態を左右するため、賃貸需要の先行きには不確実性が高い。</t>
        </is>
      </c>
      <c r="U407" t="inlineStr">
        <is>
          <t>飯舘村は人口密度6人/km²と過疎的水準で、民間賃貸の新規需要は薄い。実需に裏付けられた格安戸建ての指値取得のみが現実的。 借家の空室率は約0%と需給は比較的引き締まっている。</t>
        </is>
      </c>
      <c r="V407" t="inlineStr">
        <is>
          <t>飯舘村（福島県）：阿武隈川・阿賀川の洪水、太平洋沿岸の津波、中通り・会津の豪雪と土砂災害に留意。</t>
        </is>
      </c>
    </row>
    <row r="408">
      <c r="A408" t="inlineStr">
        <is>
          <t>茨城県</t>
        </is>
      </c>
      <c r="B408" t="inlineStr">
        <is>
          <t>水戸市</t>
        </is>
      </c>
      <c r="C408" t="n">
        <v>122520</v>
      </c>
      <c r="D408" t="n">
        <v>266163</v>
      </c>
      <c r="E408" s="6" t="n">
        <v>1223</v>
      </c>
      <c r="F408" s="7" t="n">
        <v>59.5</v>
      </c>
      <c r="G408" t="n">
        <v>270685</v>
      </c>
      <c r="H408" t="n">
        <v>266163</v>
      </c>
      <c r="I408" t="n">
        <v>263049</v>
      </c>
      <c r="J408" t="n">
        <v>249683</v>
      </c>
      <c r="K408" s="27">
        <f>(H408/D408-1)</f>
        <v/>
      </c>
      <c r="L408" s="27">
        <f>(I408/D408-1)</f>
        <v/>
      </c>
      <c r="M408" s="27">
        <f>(J408/D408-1)</f>
        <v/>
      </c>
      <c r="N408" t="n">
        <v>67.8</v>
      </c>
      <c r="O408" s="28">
        <f>(N408+F408)/2</f>
        <v/>
      </c>
      <c r="P408">
        <f>IF(O408="計算不能","計算不能",IF(O408&gt;=80,5,IF(O408&gt;=60,4,IF(O408&gt;=40,3,IF(O408&gt;=28,2,1)))))</f>
        <v/>
      </c>
      <c r="Q408" t="n">
        <v>31897</v>
      </c>
      <c r="R408" t="n">
        <v>16010</v>
      </c>
      <c r="S408" s="27">
        <f>R408/Q408</f>
        <v/>
      </c>
      <c r="T408" t="inlineStr">
        <is>
          <t>水戸市は2045年までに人口が約6.2%減と緩やかな減少局面。若年層の都市部流出と高齢化が進むが、当面の賃貸稼働は一定程度維持される見通し。</t>
        </is>
      </c>
      <c r="U408" t="inlineStr">
        <is>
          <t>水戸市は人口密度1,223人/km²で、主要道路沿いや中心市街地に一定の賃貸需要が局在。立地選別が稼働を左右する。 借家の空室率は約50%と供給過多気味で、空室長期化リスクに要警戒。</t>
        </is>
      </c>
      <c r="V408" t="inlineStr">
        <is>
          <t>水戸市（茨城県）：利根川・那珂川・久慈川水系の浸水想定が広い。沿岸の津波、台地縁辺の崖崩れに注意。</t>
        </is>
      </c>
    </row>
    <row r="409">
      <c r="A409" t="inlineStr">
        <is>
          <t>茨城県</t>
        </is>
      </c>
      <c r="B409" t="inlineStr">
        <is>
          <t>日立市</t>
        </is>
      </c>
      <c r="C409" t="n">
        <v>76470</v>
      </c>
      <c r="D409" t="n">
        <v>160753</v>
      </c>
      <c r="E409" s="6" t="n">
        <v>703.3</v>
      </c>
      <c r="F409" s="7" t="n">
        <v>49.1</v>
      </c>
      <c r="G409" t="n">
        <v>174508</v>
      </c>
      <c r="H409" t="n">
        <v>160753</v>
      </c>
      <c r="I409" t="n">
        <v>149141</v>
      </c>
      <c r="J409" t="n">
        <v>114894</v>
      </c>
      <c r="K409" s="27">
        <f>(H409/D409-1)</f>
        <v/>
      </c>
      <c r="L409" s="27">
        <f>(I409/D409-1)</f>
        <v/>
      </c>
      <c r="M409" s="27">
        <f>(J409/D409-1)</f>
        <v/>
      </c>
      <c r="N409" t="n">
        <v>43.2</v>
      </c>
      <c r="O409" s="28">
        <f>(N409+F409)/2</f>
        <v/>
      </c>
      <c r="P409">
        <f>IF(O409="計算不能","計算不能",IF(O409&gt;=80,5,IF(O409&gt;=60,4,IF(O409&gt;=40,3,IF(O409&gt;=28,2,1)))))</f>
        <v/>
      </c>
      <c r="Q409" t="n">
        <v>19908</v>
      </c>
      <c r="R409" t="n">
        <v>9510</v>
      </c>
      <c r="S409" s="27">
        <f>R409/Q409</f>
        <v/>
      </c>
      <c r="T409" t="inlineStr">
        <is>
          <t>日立市は2045年までに人口が約28.5%減と明確な減少トレンド。高齢化の進行と世帯数の縮小により、中長期では賃貸需要の構造的縮小に警戒が必要。</t>
        </is>
      </c>
      <c r="U409" t="inlineStr">
        <is>
          <t>日立市は人口密度703人/km²で、主要道路沿いや中心市街地に一定の賃貸需要が局在。立地選別が稼働を左右する。 借家の空室率は約48%と供給過多気味で、空室長期化リスクに要警戒。</t>
        </is>
      </c>
      <c r="V409" t="inlineStr">
        <is>
          <t>日立市（茨城県）：利根川・那珂川・久慈川水系の浸水想定が広い。沿岸の津波、台地縁辺の崖崩れに注意。</t>
        </is>
      </c>
    </row>
    <row r="410">
      <c r="A410" t="inlineStr">
        <is>
          <t>茨城県</t>
        </is>
      </c>
      <c r="B410" t="inlineStr">
        <is>
          <t>土浦市</t>
        </is>
      </c>
      <c r="C410" t="n">
        <v>66760</v>
      </c>
      <c r="D410" t="n">
        <v>139587</v>
      </c>
      <c r="E410" s="6" t="n">
        <v>1152.2</v>
      </c>
      <c r="F410" s="7" t="n">
        <v>58</v>
      </c>
      <c r="G410" t="n">
        <v>142074</v>
      </c>
      <c r="H410" t="n">
        <v>139587</v>
      </c>
      <c r="I410" t="n">
        <v>136111</v>
      </c>
      <c r="J410" t="n">
        <v>123329</v>
      </c>
      <c r="K410" s="27">
        <f>(H410/D410-1)</f>
        <v/>
      </c>
      <c r="L410" s="27">
        <f>(I410/D410-1)</f>
        <v/>
      </c>
      <c r="M410" s="27">
        <f>(J410/D410-1)</f>
        <v/>
      </c>
      <c r="N410" t="n">
        <v>64.09999999999999</v>
      </c>
      <c r="O410" s="28">
        <f>(N410+F410)/2</f>
        <v/>
      </c>
      <c r="P410">
        <f>IF(O410="計算不能","計算不能",IF(O410&gt;=80,5,IF(O410&gt;=60,4,IF(O410&gt;=40,3,IF(O410&gt;=28,2,1)))))</f>
        <v/>
      </c>
      <c r="Q410" t="n">
        <v>17380</v>
      </c>
      <c r="R410" t="n">
        <v>5820</v>
      </c>
      <c r="S410" s="27">
        <f>R410/Q410</f>
        <v/>
      </c>
      <c r="T410" t="inlineStr">
        <is>
          <t>土浦市は2045年までに人口が約11.6%減と緩やかな減少局面。若年層の都市部流出と高齢化が進むが、当面の賃貸稼働は一定程度維持される見通し。</t>
        </is>
      </c>
      <c r="U410" t="inlineStr">
        <is>
          <t>土浦市は人口密度1,152人/km²で、主要道路沿いや中心市街地に一定の賃貸需要が局在。立地選別が稼働を左右する。 借家の空室率は約33%と供給過多気味で、空室長期化リスクに要警戒。</t>
        </is>
      </c>
      <c r="V410" t="inlineStr">
        <is>
          <t>土浦市（茨城県）：利根川・那珂川・久慈川水系の浸水想定が広い。沿岸の津波、台地縁辺の崖崩れに注意。</t>
        </is>
      </c>
    </row>
    <row r="411">
      <c r="A411" t="inlineStr">
        <is>
          <t>茨城県</t>
        </is>
      </c>
      <c r="B411" t="inlineStr">
        <is>
          <t>古河市</t>
        </is>
      </c>
      <c r="C411" t="n">
        <v>57060</v>
      </c>
      <c r="D411" t="n">
        <v>135568</v>
      </c>
      <c r="E411" s="6" t="n">
        <v>1103</v>
      </c>
      <c r="F411" s="7" t="n">
        <v>57.1</v>
      </c>
      <c r="G411" t="n">
        <v>139344</v>
      </c>
      <c r="H411" t="n">
        <v>135568</v>
      </c>
      <c r="I411" t="n">
        <v>130866</v>
      </c>
      <c r="J411" t="n">
        <v>113748</v>
      </c>
      <c r="K411" s="27">
        <f>(H411/D411-1)</f>
        <v/>
      </c>
      <c r="L411" s="27">
        <f>(I411/D411-1)</f>
        <v/>
      </c>
      <c r="M411" s="27">
        <f>(J411/D411-1)</f>
        <v/>
      </c>
      <c r="N411" t="n">
        <v>59.4</v>
      </c>
      <c r="O411" s="28">
        <f>(N411+F411)/2</f>
        <v/>
      </c>
      <c r="P411">
        <f>IF(O411="計算不能","計算不能",IF(O411&gt;=80,5,IF(O411&gt;=60,4,IF(O411&gt;=40,3,IF(O411&gt;=28,2,1)))))</f>
        <v/>
      </c>
      <c r="Q411" t="n">
        <v>14855</v>
      </c>
      <c r="R411" t="n">
        <v>3870</v>
      </c>
      <c r="S411" s="27">
        <f>R411/Q411</f>
        <v/>
      </c>
      <c r="T411" t="inlineStr">
        <is>
          <t>古河市は2045年までに人口が約16.1%減と明確な減少トレンド。高齢化の進行と世帯数の縮小により、中長期では賃貸需要の構造的縮小に警戒が必要。</t>
        </is>
      </c>
      <c r="U411" t="inlineStr">
        <is>
          <t>古河市は人口密度1,103人/km²で、主要道路沿いや中心市街地に一定の賃貸需要が局在。立地選別が稼働を左右する。 借家の空室率は約26%と供給過多気味で、空室長期化リスクに要警戒。</t>
        </is>
      </c>
      <c r="V411" t="inlineStr">
        <is>
          <t>古河市（茨城県）：利根川・那珂川・久慈川水系の浸水想定が広い。沿岸の津波、台地縁辺の崖崩れに注意。</t>
        </is>
      </c>
    </row>
    <row r="412">
      <c r="A412" t="inlineStr">
        <is>
          <t>茨城県</t>
        </is>
      </c>
      <c r="B412" t="inlineStr">
        <is>
          <t>石岡市</t>
        </is>
      </c>
      <c r="C412" t="n">
        <v>28760</v>
      </c>
      <c r="D412" t="n">
        <v>69003</v>
      </c>
      <c r="E412" s="6" t="n">
        <v>312.8</v>
      </c>
      <c r="F412" s="7" t="n">
        <v>35.6</v>
      </c>
      <c r="G412" t="n">
        <v>73061</v>
      </c>
      <c r="H412" t="n">
        <v>69003</v>
      </c>
      <c r="I412" t="n">
        <v>65249</v>
      </c>
      <c r="J412" t="n">
        <v>53178</v>
      </c>
      <c r="K412" s="27">
        <f>(H412/D412-1)</f>
        <v/>
      </c>
      <c r="L412" s="27">
        <f>(I412/D412-1)</f>
        <v/>
      </c>
      <c r="M412" s="27">
        <f>(J412/D412-1)</f>
        <v/>
      </c>
      <c r="N412" t="n">
        <v>49.5</v>
      </c>
      <c r="O412" s="28">
        <f>(N412+F412)/2</f>
        <v/>
      </c>
      <c r="P412">
        <f>IF(O412="計算不能","計算不能",IF(O412&gt;=80,5,IF(O412&gt;=60,4,IF(O412&gt;=40,3,IF(O412&gt;=28,2,1)))))</f>
        <v/>
      </c>
      <c r="Q412" t="n">
        <v>7487</v>
      </c>
      <c r="R412" t="n">
        <v>3160</v>
      </c>
      <c r="S412" s="27">
        <f>R412/Q412</f>
        <v/>
      </c>
      <c r="T412" t="inlineStr">
        <is>
          <t>石岡市は2045年までに人口が約22.9%減と明確な減少トレンド。高齢化の進行と世帯数の縮小により、中長期では賃貸需要の構造的縮小に警戒が必要。</t>
        </is>
      </c>
      <c r="U412" t="inlineStr">
        <is>
          <t>石岡市は人口密度313人/km²と低密度で、賃貸需要は限定的。持ち家比率が高く、駐車場完備の戸建て賃貸が有利。 借家の空室率は約42%と供給過多気味で、空室長期化リスクに要警戒。</t>
        </is>
      </c>
      <c r="V412" t="inlineStr">
        <is>
          <t>石岡市（茨城県）：利根川・那珂川・久慈川水系の浸水想定が広い。沿岸の津波、台地縁辺の崖崩れに注意。</t>
        </is>
      </c>
    </row>
    <row r="413">
      <c r="A413" t="inlineStr">
        <is>
          <t>茨城県</t>
        </is>
      </c>
      <c r="B413" t="inlineStr">
        <is>
          <t>結城市</t>
        </is>
      </c>
      <c r="C413" t="n">
        <v>19050</v>
      </c>
      <c r="D413" t="n">
        <v>49231</v>
      </c>
      <c r="E413" s="6" t="n">
        <v>732.6</v>
      </c>
      <c r="F413" s="7" t="n">
        <v>49.7</v>
      </c>
      <c r="G413" t="n">
        <v>50645</v>
      </c>
      <c r="H413" t="n">
        <v>49231</v>
      </c>
      <c r="I413" t="n">
        <v>47506</v>
      </c>
      <c r="J413" t="n">
        <v>41501</v>
      </c>
      <c r="K413" s="27">
        <f>(H413/D413-1)</f>
        <v/>
      </c>
      <c r="L413" s="27">
        <f>(I413/D413-1)</f>
        <v/>
      </c>
      <c r="M413" s="27">
        <f>(J413/D413-1)</f>
        <v/>
      </c>
      <c r="N413" t="n">
        <v>59.4</v>
      </c>
      <c r="O413" s="28">
        <f>(N413+F413)/2</f>
        <v/>
      </c>
      <c r="P413">
        <f>IF(O413="計算不能","計算不能",IF(O413&gt;=80,5,IF(O413&gt;=60,4,IF(O413&gt;=40,3,IF(O413&gt;=28,2,1)))))</f>
        <v/>
      </c>
      <c r="Q413" t="n">
        <v>4959</v>
      </c>
      <c r="R413" t="n">
        <v>2110</v>
      </c>
      <c r="S413" s="27">
        <f>R413/Q413</f>
        <v/>
      </c>
      <c r="T413" t="inlineStr">
        <is>
          <t>結城市は2045年までに人口が約15.7%減と明確な減少トレンド。高齢化の進行と世帯数の縮小により、中長期では賃貸需要の構造的縮小に警戒が必要。</t>
        </is>
      </c>
      <c r="U413" t="inlineStr">
        <is>
          <t>結城市は人口密度733人/km²で、主要道路沿いや中心市街地に一定の賃貸需要が局在。立地選別が稼働を左右する。 借家の空室率は約43%と供給過多気味で、空室長期化リスクに要警戒。</t>
        </is>
      </c>
      <c r="V413" t="inlineStr">
        <is>
          <t>結城市（茨城県）：利根川・那珂川・久慈川水系の浸水想定が広い。沿岸の津波、台地縁辺の崖崩れに注意。</t>
        </is>
      </c>
    </row>
    <row r="414">
      <c r="A414" t="inlineStr">
        <is>
          <t>茨城県</t>
        </is>
      </c>
      <c r="B414" t="inlineStr">
        <is>
          <t>龍ケ崎市</t>
        </is>
      </c>
      <c r="C414" t="n">
        <v>32520</v>
      </c>
      <c r="D414" t="n">
        <v>74345</v>
      </c>
      <c r="E414" s="6" t="n">
        <v>940.7</v>
      </c>
      <c r="F414" s="7" t="n">
        <v>53.8</v>
      </c>
      <c r="G414" t="n">
        <v>76420</v>
      </c>
      <c r="H414" t="n">
        <v>74345</v>
      </c>
      <c r="I414" t="n">
        <v>71581</v>
      </c>
      <c r="J414" t="n">
        <v>61357</v>
      </c>
      <c r="K414" s="27">
        <f>(H414/D414-1)</f>
        <v/>
      </c>
      <c r="L414" s="27">
        <f>(I414/D414-1)</f>
        <v/>
      </c>
      <c r="M414" s="27">
        <f>(J414/D414-1)</f>
        <v/>
      </c>
      <c r="N414" t="n">
        <v>58.5</v>
      </c>
      <c r="O414" s="28">
        <f>(N414+F414)/2</f>
        <v/>
      </c>
      <c r="P414">
        <f>IF(O414="計算不能","計算不能",IF(O414&gt;=80,5,IF(O414&gt;=60,4,IF(O414&gt;=40,3,IF(O414&gt;=28,2,1)))))</f>
        <v/>
      </c>
      <c r="Q414" t="n">
        <v>8466</v>
      </c>
      <c r="R414" t="n">
        <v>1880</v>
      </c>
      <c r="S414" s="27">
        <f>R414/Q414</f>
        <v/>
      </c>
      <c r="T414" t="inlineStr">
        <is>
          <t>龍ケ崎市は2045年までに人口が約17.5%減と明確な減少トレンド。高齢化の進行と世帯数の縮小により、中長期では賃貸需要の構造的縮小に警戒が必要。</t>
        </is>
      </c>
      <c r="U414" t="inlineStr">
        <is>
          <t>龍ケ崎市は人口密度941人/km²で、主要道路沿いや中心市街地に一定の賃貸需要が局在。立地選別が稼働を左右する。 借家の空室率は約22%とやや高めで、競合との差別化が必要。</t>
        </is>
      </c>
      <c r="V414" t="inlineStr">
        <is>
          <t>龍ケ崎市（茨城県）：利根川・那珂川・久慈川水系の浸水想定が広い。沿岸の津波、台地縁辺の崖崩れに注意。</t>
        </is>
      </c>
    </row>
    <row r="415">
      <c r="A415" t="inlineStr">
        <is>
          <t>茨城県</t>
        </is>
      </c>
      <c r="B415" t="inlineStr">
        <is>
          <t>下妻市</t>
        </is>
      </c>
      <c r="C415" t="n">
        <v>16010</v>
      </c>
      <c r="D415" t="n">
        <v>40855</v>
      </c>
      <c r="E415" s="6" t="n">
        <v>504.3</v>
      </c>
      <c r="F415" s="7" t="n">
        <v>45.1</v>
      </c>
      <c r="G415" t="n">
        <v>42521</v>
      </c>
      <c r="H415" t="n">
        <v>40855</v>
      </c>
      <c r="I415" t="n">
        <v>39093</v>
      </c>
      <c r="J415" t="n">
        <v>33126</v>
      </c>
      <c r="K415" s="27">
        <f>(H415/D415-1)</f>
        <v/>
      </c>
      <c r="L415" s="27">
        <f>(I415/D415-1)</f>
        <v/>
      </c>
      <c r="M415" s="27">
        <f>(J415/D415-1)</f>
        <v/>
      </c>
      <c r="N415" t="n">
        <v>55.2</v>
      </c>
      <c r="O415" s="28">
        <f>(N415+F415)/2</f>
        <v/>
      </c>
      <c r="P415">
        <f>IF(O415="計算不能","計算不能",IF(O415&gt;=80,5,IF(O415&gt;=60,4,IF(O415&gt;=40,3,IF(O415&gt;=28,2,1)))))</f>
        <v/>
      </c>
      <c r="Q415" t="n">
        <v>4168</v>
      </c>
      <c r="R415" t="n">
        <v>1350</v>
      </c>
      <c r="S415" s="27">
        <f>R415/Q415</f>
        <v/>
      </c>
      <c r="T415" t="inlineStr">
        <is>
          <t>下妻市は2045年までに人口が約18.9%減と明確な減少トレンド。高齢化の進行と世帯数の縮小により、中長期では賃貸需要の構造的縮小に警戒が必要。</t>
        </is>
      </c>
      <c r="U415" t="inlineStr">
        <is>
          <t>下妻市は人口密度504人/km²で、主要道路沿いや中心市街地に一定の賃貸需要が局在。立地選別が稼働を左右する。 借家の空室率は約32%と供給過多気味で、空室長期化リスクに要警戒。</t>
        </is>
      </c>
      <c r="V415" t="inlineStr">
        <is>
          <t>下妻市（茨城県）：利根川・那珂川・久慈川水系の浸水想定が広い。沿岸の津波、台地縁辺の崖崩れに注意。</t>
        </is>
      </c>
    </row>
    <row r="416">
      <c r="A416" t="inlineStr">
        <is>
          <t>茨城県</t>
        </is>
      </c>
      <c r="B416" t="inlineStr">
        <is>
          <t>常総市</t>
        </is>
      </c>
      <c r="C416" t="n">
        <v>22290</v>
      </c>
      <c r="D416" t="n">
        <v>58374</v>
      </c>
      <c r="E416" s="6" t="n">
        <v>469</v>
      </c>
      <c r="F416" s="7" t="n">
        <v>43.5</v>
      </c>
      <c r="G416" t="n">
        <v>60834</v>
      </c>
      <c r="H416" t="n">
        <v>58374</v>
      </c>
      <c r="I416" t="n">
        <v>55740</v>
      </c>
      <c r="J416" t="n">
        <v>47434</v>
      </c>
      <c r="K416" s="27">
        <f>(H416/D416-1)</f>
        <v/>
      </c>
      <c r="L416" s="27">
        <f>(I416/D416-1)</f>
        <v/>
      </c>
      <c r="M416" s="27">
        <f>(J416/D416-1)</f>
        <v/>
      </c>
      <c r="N416" t="n">
        <v>54.9</v>
      </c>
      <c r="O416" s="28">
        <f>(N416+F416)/2</f>
        <v/>
      </c>
      <c r="P416">
        <f>IF(O416="計算不能","計算不能",IF(O416&gt;=80,5,IF(O416&gt;=60,4,IF(O416&gt;=40,3,IF(O416&gt;=28,2,1)))))</f>
        <v/>
      </c>
      <c r="Q416" t="n">
        <v>5803</v>
      </c>
      <c r="R416" t="n">
        <v>1570</v>
      </c>
      <c r="S416" s="27">
        <f>R416/Q416</f>
        <v/>
      </c>
      <c r="T416" t="inlineStr">
        <is>
          <t>常総市は2045年までに人口が約18.7%減と明確な減少トレンド。高齢化の進行と世帯数の縮小により、中長期では賃貸需要の構造的縮小に警戒が必要。</t>
        </is>
      </c>
      <c r="U416" t="inlineStr">
        <is>
          <t>常総市は人口密度469人/km²と低密度で、賃貸需要は限定的。持ち家比率が高く、駐車場完備の戸建て賃貸が有利。 借家の空室率は約27%と供給過多気味で、空室長期化リスクに要警戒。</t>
        </is>
      </c>
      <c r="V416" t="inlineStr">
        <is>
          <t>常総市（茨城県）：利根川・那珂川・久慈川水系の浸水想定が広い。沿岸の津波、台地縁辺の崖崩れに注意。</t>
        </is>
      </c>
    </row>
    <row r="417">
      <c r="A417" t="inlineStr">
        <is>
          <t>茨城県</t>
        </is>
      </c>
      <c r="B417" t="inlineStr">
        <is>
          <t>常陸太田市</t>
        </is>
      </c>
      <c r="C417" t="n">
        <v>19010</v>
      </c>
      <c r="D417" t="n">
        <v>44239</v>
      </c>
      <c r="E417" s="6" t="n">
        <v>117.8</v>
      </c>
      <c r="F417" s="7" t="n">
        <v>21.8</v>
      </c>
      <c r="G417" t="n">
        <v>48602</v>
      </c>
      <c r="H417" t="n">
        <v>44239</v>
      </c>
      <c r="I417" t="n">
        <v>40457</v>
      </c>
      <c r="J417" t="n">
        <v>29280</v>
      </c>
      <c r="K417" s="27">
        <f>(H417/D417-1)</f>
        <v/>
      </c>
      <c r="L417" s="27">
        <f>(I417/D417-1)</f>
        <v/>
      </c>
      <c r="M417" s="27">
        <f>(J417/D417-1)</f>
        <v/>
      </c>
      <c r="N417" t="n">
        <v>40.6</v>
      </c>
      <c r="O417" s="28">
        <f>(N417+F417)/2</f>
        <v/>
      </c>
      <c r="P417">
        <f>IF(O417="計算不能","計算不能",IF(O417&gt;=80,5,IF(O417&gt;=60,4,IF(O417&gt;=40,3,IF(O417&gt;=28,2,1)))))</f>
        <v/>
      </c>
      <c r="Q417" t="n">
        <v>4949</v>
      </c>
      <c r="R417" t="n">
        <v>650</v>
      </c>
      <c r="S417" s="27">
        <f>R417/Q417</f>
        <v/>
      </c>
      <c r="T417" t="inlineStr">
        <is>
          <t>常陸太田市は2045年までに人口が約33.8%減と急激な過疎・超高齢化が進行。若年労働世代の流出と自然減が重なり、賃貸事業としての持続性は極めて限定的。</t>
        </is>
      </c>
      <c r="U417" t="inlineStr">
        <is>
          <t>常陸太田市は人口密度118人/km²と過疎的水準で、民間賃貸の新規需要は薄い。実需に裏付けられた格安戸建ての指値取得のみが現実的。 借家の空室率は約13%と需給は比較的引き締まっている。</t>
        </is>
      </c>
      <c r="V417" t="inlineStr">
        <is>
          <t>常陸太田市（茨城県）：利根川・那珂川・久慈川水系の浸水想定が広い。沿岸の津波、台地縁辺の崖崩れに注意。</t>
        </is>
      </c>
    </row>
    <row r="418">
      <c r="A418" t="inlineStr">
        <is>
          <t>茨城県</t>
        </is>
      </c>
      <c r="B418" t="inlineStr">
        <is>
          <t>高萩市</t>
        </is>
      </c>
      <c r="C418" t="n">
        <v>11240</v>
      </c>
      <c r="D418" t="n">
        <v>25222</v>
      </c>
      <c r="E418" s="6" t="n">
        <v>129.3</v>
      </c>
      <c r="F418" s="7" t="n">
        <v>22.9</v>
      </c>
      <c r="G418" t="n">
        <v>27699</v>
      </c>
      <c r="H418" t="n">
        <v>25222</v>
      </c>
      <c r="I418" t="n">
        <v>23158</v>
      </c>
      <c r="J418" t="n">
        <v>16773</v>
      </c>
      <c r="K418" s="27">
        <f>(H418/D418-1)</f>
        <v/>
      </c>
      <c r="L418" s="27">
        <f>(I418/D418-1)</f>
        <v/>
      </c>
      <c r="M418" s="27">
        <f>(J418/D418-1)</f>
        <v/>
      </c>
      <c r="N418" t="n">
        <v>40.8</v>
      </c>
      <c r="O418" s="28">
        <f>(N418+F418)/2</f>
        <v/>
      </c>
      <c r="P418">
        <f>IF(O418="計算不能","計算不能",IF(O418&gt;=80,5,IF(O418&gt;=60,4,IF(O418&gt;=40,3,IF(O418&gt;=28,2,1)))))</f>
        <v/>
      </c>
      <c r="Q418" t="n">
        <v>2926</v>
      </c>
      <c r="R418" t="n">
        <v>1120</v>
      </c>
      <c r="S418" s="27">
        <f>R418/Q418</f>
        <v/>
      </c>
      <c r="T418" t="inlineStr">
        <is>
          <t>高萩市は2045年までに人口が約33.5%減と急激な過疎・超高齢化が進行。若年労働世代の流出と自然減が重なり、賃貸事業としての持続性は極めて限定的。</t>
        </is>
      </c>
      <c r="U418" t="inlineStr">
        <is>
          <t>高萩市は人口密度129人/km²と過疎的水準で、民間賃貸の新規需要は薄い。実需に裏付けられた格安戸建ての指値取得のみが現実的。 借家の空室率は約38%と供給過多気味で、空室長期化リスクに要警戒。</t>
        </is>
      </c>
      <c r="V418" t="inlineStr">
        <is>
          <t>高萩市（茨城県）：利根川・那珂川・久慈川水系の浸水想定が広い。沿岸の津波、台地縁辺の崖崩れに注意。</t>
        </is>
      </c>
    </row>
    <row r="419">
      <c r="A419" t="inlineStr">
        <is>
          <t>茨城県</t>
        </is>
      </c>
      <c r="B419" t="inlineStr">
        <is>
          <t>北茨城市</t>
        </is>
      </c>
      <c r="C419" t="n">
        <v>16530</v>
      </c>
      <c r="D419" t="n">
        <v>38946</v>
      </c>
      <c r="E419" s="6" t="n">
        <v>205.8</v>
      </c>
      <c r="F419" s="7" t="n">
        <v>30.3</v>
      </c>
      <c r="G419" t="n">
        <v>41801</v>
      </c>
      <c r="H419" t="n">
        <v>38946</v>
      </c>
      <c r="I419" t="n">
        <v>36023</v>
      </c>
      <c r="J419" t="n">
        <v>26959</v>
      </c>
      <c r="K419" s="27">
        <f>(H419/D419-1)</f>
        <v/>
      </c>
      <c r="L419" s="27">
        <f>(I419/D419-1)</f>
        <v/>
      </c>
      <c r="M419" s="27">
        <f>(J419/D419-1)</f>
        <v/>
      </c>
      <c r="N419" t="n">
        <v>43.6</v>
      </c>
      <c r="O419" s="28">
        <f>(N419+F419)/2</f>
        <v/>
      </c>
      <c r="P419">
        <f>IF(O419="計算不能","計算不能",IF(O419&gt;=80,5,IF(O419&gt;=60,4,IF(O419&gt;=40,3,IF(O419&gt;=28,2,1)))))</f>
        <v/>
      </c>
      <c r="Q419" t="n">
        <v>4303</v>
      </c>
      <c r="R419" t="n">
        <v>2180</v>
      </c>
      <c r="S419" s="27">
        <f>R419/Q419</f>
        <v/>
      </c>
      <c r="T419" t="inlineStr">
        <is>
          <t>北茨城市は2045年までに人口が約30.8%減と急激な過疎・超高齢化が進行。若年労働世代の流出と自然減が重なり、賃貸事業としての持続性は極めて限定的。</t>
        </is>
      </c>
      <c r="U419" t="inlineStr">
        <is>
          <t>北茨城市は人口密度206人/km²と低密度で、賃貸需要は限定的。持ち家比率が高く、駐車場完備の戸建て賃貸が有利。 借家の空室率は約51%と供給過多気味で、空室長期化リスクに要警戒。</t>
        </is>
      </c>
      <c r="V419" t="inlineStr">
        <is>
          <t>北茨城市（茨城県）：利根川・那珂川・久慈川水系の浸水想定が広い。沿岸の津波、台地縁辺の崖崩れに注意。</t>
        </is>
      </c>
    </row>
    <row r="420">
      <c r="A420" t="inlineStr">
        <is>
          <t>茨城県</t>
        </is>
      </c>
      <c r="B420" t="inlineStr">
        <is>
          <t>笠間市</t>
        </is>
      </c>
      <c r="C420" t="n">
        <v>29330</v>
      </c>
      <c r="D420" t="n">
        <v>69809</v>
      </c>
      <c r="E420" s="6" t="n">
        <v>297.5</v>
      </c>
      <c r="F420" s="7" t="n">
        <v>34.9</v>
      </c>
      <c r="G420" t="n">
        <v>73173</v>
      </c>
      <c r="H420" t="n">
        <v>69809</v>
      </c>
      <c r="I420" t="n">
        <v>66140</v>
      </c>
      <c r="J420" t="n">
        <v>53973</v>
      </c>
      <c r="K420" s="27">
        <f>(H420/D420-1)</f>
        <v/>
      </c>
      <c r="L420" s="27">
        <f>(I420/D420-1)</f>
        <v/>
      </c>
      <c r="M420" s="27">
        <f>(J420/D420-1)</f>
        <v/>
      </c>
      <c r="N420" t="n">
        <v>51.5</v>
      </c>
      <c r="O420" s="28">
        <f>(N420+F420)/2</f>
        <v/>
      </c>
      <c r="P420">
        <f>IF(O420="計算不能","計算不能",IF(O420&gt;=80,5,IF(O420&gt;=60,4,IF(O420&gt;=40,3,IF(O420&gt;=28,2,1)))))</f>
        <v/>
      </c>
      <c r="Q420" t="n">
        <v>7635</v>
      </c>
      <c r="R420" t="n">
        <v>1770</v>
      </c>
      <c r="S420" s="27">
        <f>R420/Q420</f>
        <v/>
      </c>
      <c r="T420" t="inlineStr">
        <is>
          <t>笠間市は2045年までに人口が約22.7%減と明確な減少トレンド。高齢化の進行と世帯数の縮小により、中長期では賃貸需要の構造的縮小に警戒が必要。</t>
        </is>
      </c>
      <c r="U420" t="inlineStr">
        <is>
          <t>笠間市は人口密度298人/km²と低密度で、賃貸需要は限定的。持ち家比率が高く、駐車場完備の戸建て賃貸が有利。 借家の空室率は約23%とやや高めで、競合との差別化が必要。</t>
        </is>
      </c>
      <c r="V420" t="inlineStr">
        <is>
          <t>笠間市（茨城県）：利根川・那珂川・久慈川水系の浸水想定が広い。沿岸の津波、台地縁辺の崖崩れに注意。</t>
        </is>
      </c>
    </row>
    <row r="421">
      <c r="A421" t="inlineStr">
        <is>
          <t>茨城県</t>
        </is>
      </c>
      <c r="B421" t="inlineStr">
        <is>
          <t>取手市</t>
        </is>
      </c>
      <c r="C421" t="n">
        <v>46180</v>
      </c>
      <c r="D421" t="n">
        <v>101460</v>
      </c>
      <c r="E421" s="6" t="n">
        <v>1479.3</v>
      </c>
      <c r="F421" s="7" t="n">
        <v>64.59999999999999</v>
      </c>
      <c r="G421" t="n">
        <v>104524</v>
      </c>
      <c r="H421" t="n">
        <v>101460</v>
      </c>
      <c r="I421" t="n">
        <v>96897</v>
      </c>
      <c r="J421" t="n">
        <v>82627</v>
      </c>
      <c r="K421" s="27">
        <f>(H421/D421-1)</f>
        <v/>
      </c>
      <c r="L421" s="27">
        <f>(I421/D421-1)</f>
        <v/>
      </c>
      <c r="M421" s="27">
        <f>(J421/D421-1)</f>
        <v/>
      </c>
      <c r="N421" t="n">
        <v>57.1</v>
      </c>
      <c r="O421" s="28">
        <f>(N421+F421)/2</f>
        <v/>
      </c>
      <c r="P421">
        <f>IF(O421="計算不能","計算不能",IF(O421&gt;=80,5,IF(O421&gt;=60,4,IF(O421&gt;=40,3,IF(O421&gt;=28,2,1)))))</f>
        <v/>
      </c>
      <c r="Q421" t="n">
        <v>12022</v>
      </c>
      <c r="R421" t="n">
        <v>2900</v>
      </c>
      <c r="S421" s="27">
        <f>R421/Q421</f>
        <v/>
      </c>
      <c r="T421" t="inlineStr">
        <is>
          <t>取手市は2045年までに人口が約18.6%減と明確な減少トレンド。高齢化の進行と世帯数の縮小により、中長期では賃貸需要の構造的縮小に警戒が必要。</t>
        </is>
      </c>
      <c r="U421" t="inlineStr">
        <is>
          <t>取手市は人口密度1,479人/km²で、主要道路沿いや中心市街地に一定の賃貸需要が局在。立地選別が稼働を左右する。 借家の空室率は約24%とやや高めで、競合との差別化が必要。</t>
        </is>
      </c>
      <c r="V421" t="inlineStr">
        <is>
          <t>取手市（茨城県）：利根川・那珂川・久慈川水系の浸水想定が広い。沿岸の津波、台地縁辺の崖崩れに注意。</t>
        </is>
      </c>
    </row>
    <row r="422">
      <c r="A422" t="inlineStr">
        <is>
          <t>茨城県</t>
        </is>
      </c>
      <c r="B422" t="inlineStr">
        <is>
          <t>牛久市</t>
        </is>
      </c>
      <c r="C422" t="n">
        <v>35480</v>
      </c>
      <c r="D422" t="n">
        <v>82316</v>
      </c>
      <c r="E422" s="6" t="n">
        <v>1400.6</v>
      </c>
      <c r="F422" s="7" t="n">
        <v>63</v>
      </c>
      <c r="G422" t="n">
        <v>84651</v>
      </c>
      <c r="H422" t="n">
        <v>82316</v>
      </c>
      <c r="I422" t="n">
        <v>81567</v>
      </c>
      <c r="J422" t="n">
        <v>77975</v>
      </c>
      <c r="K422" s="27">
        <f>(H422/D422-1)</f>
        <v/>
      </c>
      <c r="L422" s="27">
        <f>(I422/D422-1)</f>
        <v/>
      </c>
      <c r="M422" s="27">
        <f>(J422/D422-1)</f>
        <v/>
      </c>
      <c r="N422" t="n">
        <v>66.3</v>
      </c>
      <c r="O422" s="28">
        <f>(N422+F422)/2</f>
        <v/>
      </c>
      <c r="P422">
        <f>IF(O422="計算不能","計算不能",IF(O422&gt;=80,5,IF(O422&gt;=60,4,IF(O422&gt;=40,3,IF(O422&gt;=28,2,1)))))</f>
        <v/>
      </c>
      <c r="Q422" t="n">
        <v>9236</v>
      </c>
      <c r="R422" t="n">
        <v>1560</v>
      </c>
      <c r="S422" s="27">
        <f>R422/Q422</f>
        <v/>
      </c>
      <c r="T422" t="inlineStr">
        <is>
          <t>牛久市は2045年までに人口が約5.3%減と緩やかな減少局面。若年層の都市部流出と高齢化が進むが、当面の賃貸稼働は一定程度維持される見通し。</t>
        </is>
      </c>
      <c r="U422" t="inlineStr">
        <is>
          <t>牛久市は人口密度1,401人/km²で、主要道路沿いや中心市街地に一定の賃貸需要が局在。立地選別が稼働を左右する。 借家の空室率は約17%と需給は比較的引き締まっている。</t>
        </is>
      </c>
      <c r="V422" t="inlineStr">
        <is>
          <t>牛久市（茨城県）：利根川・那珂川・久慈川水系の浸水想定が広い。沿岸の津波、台地縁辺の崖崩れに注意。</t>
        </is>
      </c>
    </row>
    <row r="423">
      <c r="A423" t="inlineStr">
        <is>
          <t>茨城県</t>
        </is>
      </c>
      <c r="B423" t="inlineStr">
        <is>
          <t>つくば市</t>
        </is>
      </c>
      <c r="C423" t="n">
        <v>119960</v>
      </c>
      <c r="D423" t="n">
        <v>255190</v>
      </c>
      <c r="E423" s="6" t="n">
        <v>948.1</v>
      </c>
      <c r="F423" s="7" t="n">
        <v>54</v>
      </c>
      <c r="G423" t="n">
        <v>241656</v>
      </c>
      <c r="H423" t="n">
        <v>255190</v>
      </c>
      <c r="I423" t="n">
        <v>258539</v>
      </c>
      <c r="J423" t="n">
        <v>258692</v>
      </c>
      <c r="K423" s="27">
        <f>(H423/D423-1)</f>
        <v/>
      </c>
      <c r="L423" s="27">
        <f>(I423/D423-1)</f>
        <v/>
      </c>
      <c r="M423" s="27">
        <f>(J423/D423-1)</f>
        <v/>
      </c>
      <c r="N423" t="n">
        <v>87.90000000000001</v>
      </c>
      <c r="O423" s="28">
        <f>(N423+F423)/2</f>
        <v/>
      </c>
      <c r="P423">
        <f>IF(O423="計算不能","計算不能",IF(O423&gt;=80,5,IF(O423&gt;=60,4,IF(O423&gt;=40,3,IF(O423&gt;=28,2,1)))))</f>
        <v/>
      </c>
      <c r="Q423" t="n">
        <v>31230</v>
      </c>
      <c r="R423" t="n">
        <v>4670</v>
      </c>
      <c r="S423" s="27">
        <f>R423/Q423</f>
        <v/>
      </c>
      <c r="T423" t="inlineStr">
        <is>
          <t>つくば市は2045年までの人口減少率が約1.4%と全国平均より緩やかで、概ね横ばいの安定推移。生産年齢人口の維持により、賃貸需要の急減リスクは相対的に低い。</t>
        </is>
      </c>
      <c r="U423" t="inlineStr">
        <is>
          <t>つくば市は人口密度948人/km²で、主要道路沿いや中心市街地に一定の賃貸需要が局在。立地選別が稼働を左右する。 借家の空室率は約15%と需給は比較的引き締まっている。</t>
        </is>
      </c>
      <c r="V423" t="inlineStr">
        <is>
          <t>つくば市（茨城県）：利根川・那珂川・久慈川水系の浸水想定が広い。沿岸の津波、台地縁辺の崖崩れに注意。</t>
        </is>
      </c>
    </row>
    <row r="424">
      <c r="A424" t="inlineStr">
        <is>
          <t>茨城県</t>
        </is>
      </c>
      <c r="B424" t="inlineStr">
        <is>
          <t>ひたちなか市</t>
        </is>
      </c>
      <c r="C424" t="n">
        <v>66100</v>
      </c>
      <c r="D424" t="n">
        <v>154405</v>
      </c>
      <c r="E424" s="6" t="n">
        <v>1501.9</v>
      </c>
      <c r="F424" s="7" t="n">
        <v>65</v>
      </c>
      <c r="G424" t="n">
        <v>156581</v>
      </c>
      <c r="H424" t="n">
        <v>154405</v>
      </c>
      <c r="I424" t="n">
        <v>150831</v>
      </c>
      <c r="J424" t="n">
        <v>137785</v>
      </c>
      <c r="K424" s="27">
        <f>(H424/D424-1)</f>
        <v/>
      </c>
      <c r="L424" s="27">
        <f>(I424/D424-1)</f>
        <v/>
      </c>
      <c r="M424" s="27">
        <f>(J424/D424-1)</f>
        <v/>
      </c>
      <c r="N424" t="n">
        <v>65.3</v>
      </c>
      <c r="O424" s="28">
        <f>(N424+F424)/2</f>
        <v/>
      </c>
      <c r="P424">
        <f>IF(O424="計算不能","計算不能",IF(O424&gt;=80,5,IF(O424&gt;=60,4,IF(O424&gt;=40,3,IF(O424&gt;=28,2,1)))))</f>
        <v/>
      </c>
      <c r="Q424" t="n">
        <v>17208</v>
      </c>
      <c r="R424" t="n">
        <v>5440</v>
      </c>
      <c r="S424" s="27">
        <f>R424/Q424</f>
        <v/>
      </c>
      <c r="T424" t="inlineStr">
        <is>
          <t>ひたちなか市は2045年までに人口が約10.8%減と緩やかな減少局面。若年層の都市部流出と高齢化が進むが、当面の賃貸稼働は一定程度維持される見通し。</t>
        </is>
      </c>
      <c r="U424" t="inlineStr">
        <is>
          <t>ひたちなか市は人口密度1,502人/km²の都市部で、駅周辺や生活利便施設沿いに安定した賃貸需要がある。適切な家賃設定で高稼働を期待できる。 借家の空室率は約32%と供給過多気味で、空室長期化リスクに要警戒。</t>
        </is>
      </c>
      <c r="V424" t="inlineStr">
        <is>
          <t>ひたちなか市（茨城県）：利根川・那珂川・久慈川水系の浸水想定が広い。沿岸の津波、台地縁辺の崖崩れに注意。</t>
        </is>
      </c>
    </row>
    <row r="425">
      <c r="A425" t="inlineStr">
        <is>
          <t>茨城県</t>
        </is>
      </c>
      <c r="B425" t="inlineStr">
        <is>
          <t>鹿嶋市</t>
        </is>
      </c>
      <c r="C425" t="n">
        <v>28640</v>
      </c>
      <c r="D425" t="n">
        <v>64249</v>
      </c>
      <c r="E425" s="6" t="n">
        <v>603.5</v>
      </c>
      <c r="F425" s="7" t="n">
        <v>47.1</v>
      </c>
      <c r="G425" t="n">
        <v>66950</v>
      </c>
      <c r="H425" t="n">
        <v>64249</v>
      </c>
      <c r="I425" t="n">
        <v>62918</v>
      </c>
      <c r="J425" t="n">
        <v>58280</v>
      </c>
      <c r="K425" s="27">
        <f>(H425/D425-1)</f>
        <v/>
      </c>
      <c r="L425" s="27">
        <f>(I425/D425-1)</f>
        <v/>
      </c>
      <c r="M425" s="27">
        <f>(J425/D425-1)</f>
        <v/>
      </c>
      <c r="N425" t="n">
        <v>61.1</v>
      </c>
      <c r="O425" s="28">
        <f>(N425+F425)/2</f>
        <v/>
      </c>
      <c r="P425">
        <f>IF(O425="計算不能","計算不能",IF(O425&gt;=80,5,IF(O425&gt;=60,4,IF(O425&gt;=40,3,IF(O425&gt;=28,2,1)))))</f>
        <v/>
      </c>
      <c r="Q425" t="n">
        <v>7456</v>
      </c>
      <c r="R425" t="n">
        <v>3100</v>
      </c>
      <c r="S425" s="27">
        <f>R425/Q425</f>
        <v/>
      </c>
      <c r="T425" t="inlineStr">
        <is>
          <t>鹿嶋市は2045年までに人口が約9.3%減と緩やかな減少局面。若年層の都市部流出と高齢化が進むが、当面の賃貸稼働は一定程度維持される見通し。</t>
        </is>
      </c>
      <c r="U425" t="inlineStr">
        <is>
          <t>鹿嶋市は人口密度604人/km²で、主要道路沿いや中心市街地に一定の賃貸需要が局在。立地選別が稼働を左右する。 借家の空室率は約42%と供給過多気味で、空室長期化リスクに要警戒。</t>
        </is>
      </c>
      <c r="V425" t="inlineStr">
        <is>
          <t>鹿嶋市（茨城県）：利根川・那珂川・久慈川水系の浸水想定が広い。沿岸の津波、台地縁辺の崖崩れに注意。</t>
        </is>
      </c>
    </row>
    <row r="426">
      <c r="A426" t="inlineStr">
        <is>
          <t>茨城県</t>
        </is>
      </c>
      <c r="B426" t="inlineStr">
        <is>
          <t>潮来市</t>
        </is>
      </c>
      <c r="C426" t="n">
        <v>10690</v>
      </c>
      <c r="D426" t="n">
        <v>25753</v>
      </c>
      <c r="E426" s="6" t="n">
        <v>352.1</v>
      </c>
      <c r="F426" s="7" t="n">
        <v>37.6</v>
      </c>
      <c r="G426" t="n">
        <v>27604</v>
      </c>
      <c r="H426" t="n">
        <v>25753</v>
      </c>
      <c r="I426" t="n">
        <v>24003</v>
      </c>
      <c r="J426" t="n">
        <v>18558</v>
      </c>
      <c r="K426" s="27">
        <f>(H426/D426-1)</f>
        <v/>
      </c>
      <c r="L426" s="27">
        <f>(I426/D426-1)</f>
        <v/>
      </c>
      <c r="M426" s="27">
        <f>(J426/D426-1)</f>
        <v/>
      </c>
      <c r="N426" t="n">
        <v>44.6</v>
      </c>
      <c r="O426" s="28">
        <f>(N426+F426)/2</f>
        <v/>
      </c>
      <c r="P426">
        <f>IF(O426="計算不能","計算不能",IF(O426&gt;=80,5,IF(O426&gt;=60,4,IF(O426&gt;=40,3,IF(O426&gt;=28,2,1)))))</f>
        <v/>
      </c>
      <c r="Q426" t="n">
        <v>2783</v>
      </c>
      <c r="R426" t="n">
        <v>810</v>
      </c>
      <c r="S426" s="27">
        <f>R426/Q426</f>
        <v/>
      </c>
      <c r="T426" t="inlineStr">
        <is>
          <t>潮来市は2045年までに人口が約27.9%減と明確な減少トレンド。高齢化の進行と世帯数の縮小により、中長期では賃貸需要の構造的縮小に警戒が必要。</t>
        </is>
      </c>
      <c r="U426" t="inlineStr">
        <is>
          <t>潮来市は人口密度352人/km²と低密度で、賃貸需要は限定的。持ち家比率が高く、駐車場完備の戸建て賃貸が有利。 借家の空室率は約29%と供給過多気味で、空室長期化リスクに要警戒。</t>
        </is>
      </c>
      <c r="V426" t="inlineStr">
        <is>
          <t>潮来市（茨城県）：利根川・那珂川・久慈川水系の浸水想定が広い。沿岸の津波、台地縁辺の崖崩れに注意。</t>
        </is>
      </c>
    </row>
    <row r="427">
      <c r="A427" t="inlineStr">
        <is>
          <t>茨城県</t>
        </is>
      </c>
      <c r="B427" t="inlineStr">
        <is>
          <t>守谷市</t>
        </is>
      </c>
      <c r="C427" t="n">
        <v>28110</v>
      </c>
      <c r="D427" t="n">
        <v>70289</v>
      </c>
      <c r="E427" s="6" t="n">
        <v>1965.6</v>
      </c>
      <c r="F427" s="7" t="n">
        <v>69.7</v>
      </c>
      <c r="G427" t="n">
        <v>68421</v>
      </c>
      <c r="H427" t="n">
        <v>70289</v>
      </c>
      <c r="I427" t="n">
        <v>72593</v>
      </c>
      <c r="J427" t="n">
        <v>75950</v>
      </c>
      <c r="K427" s="27">
        <f>(H427/D427-1)</f>
        <v/>
      </c>
      <c r="L427" s="27">
        <f>(I427/D427-1)</f>
        <v/>
      </c>
      <c r="M427" s="27">
        <f>(J427/D427-1)</f>
        <v/>
      </c>
      <c r="N427" t="n">
        <v>87</v>
      </c>
      <c r="O427" s="28">
        <f>(N427+F427)/2</f>
        <v/>
      </c>
      <c r="P427">
        <f>IF(O427="計算不能","計算不能",IF(O427&gt;=80,5,IF(O427&gt;=60,4,IF(O427&gt;=40,3,IF(O427&gt;=28,2,1)))))</f>
        <v/>
      </c>
      <c r="Q427" t="n">
        <v>7318</v>
      </c>
      <c r="R427" t="n">
        <v>850</v>
      </c>
      <c r="S427" s="27">
        <f>R427/Q427</f>
        <v/>
      </c>
      <c r="T427" t="inlineStr">
        <is>
          <t>守谷市は2025年から2045年にかけて人口が約8.1%増と全国的にも希少な人口増トレンド。都市機能の集積と職住近接需要を背景に、単身・若年ファミリー層の流入が継続し、賃貸母数の拡大が見込める。</t>
        </is>
      </c>
      <c r="U427" t="inlineStr">
        <is>
          <t>守谷市は人口密度1,966人/km²の都市部で、駅周辺や生活利便施設沿いに安定した賃貸需要がある。適切な家賃設定で高稼働を期待できる。 借家の空室率は約12%と需給は比較的引き締まっている。</t>
        </is>
      </c>
      <c r="V427" t="inlineStr">
        <is>
          <t>守谷市（茨城県）：利根川・那珂川・久慈川水系の浸水想定が広い。沿岸の津波、台地縁辺の崖崩れに注意。</t>
        </is>
      </c>
    </row>
    <row r="428">
      <c r="A428" t="inlineStr">
        <is>
          <t>茨城県</t>
        </is>
      </c>
      <c r="B428" t="inlineStr">
        <is>
          <t>常陸大宮市</t>
        </is>
      </c>
      <c r="C428" t="n">
        <v>15360</v>
      </c>
      <c r="D428" t="n">
        <v>36311</v>
      </c>
      <c r="E428" s="6" t="n">
        <v>102.6</v>
      </c>
      <c r="F428" s="7" t="n">
        <v>20.3</v>
      </c>
      <c r="G428" t="n">
        <v>39267</v>
      </c>
      <c r="H428" t="n">
        <v>36311</v>
      </c>
      <c r="I428" t="n">
        <v>33373</v>
      </c>
      <c r="J428" t="n">
        <v>25021</v>
      </c>
      <c r="K428" s="27">
        <f>(H428/D428-1)</f>
        <v/>
      </c>
      <c r="L428" s="27">
        <f>(I428/D428-1)</f>
        <v/>
      </c>
      <c r="M428" s="27">
        <f>(J428/D428-1)</f>
        <v/>
      </c>
      <c r="N428" t="n">
        <v>42.7</v>
      </c>
      <c r="O428" s="28">
        <f>(N428+F428)/2</f>
        <v/>
      </c>
      <c r="P428">
        <f>IF(O428="計算不能","計算不能",IF(O428&gt;=80,5,IF(O428&gt;=60,4,IF(O428&gt;=40,3,IF(O428&gt;=28,2,1)))))</f>
        <v/>
      </c>
      <c r="Q428" t="n">
        <v>3998</v>
      </c>
      <c r="R428" t="n">
        <v>840</v>
      </c>
      <c r="S428" s="27">
        <f>R428/Q428</f>
        <v/>
      </c>
      <c r="T428" t="inlineStr">
        <is>
          <t>常陸大宮市は2045年までに人口が約31.1%減と急激な過疎・超高齢化が進行。若年労働世代の流出と自然減が重なり、賃貸事業としての持続性は極めて限定的。</t>
        </is>
      </c>
      <c r="U428" t="inlineStr">
        <is>
          <t>常陸大宮市は人口密度103人/km²と過疎的水準で、民間賃貸の新規需要は薄い。実需に裏付けられた格安戸建ての指値取得のみが現実的。 借家の空室率は約21%とやや高めで、競合との差別化が必要。</t>
        </is>
      </c>
      <c r="V428" t="inlineStr">
        <is>
          <t>常陸大宮市（茨城県）：利根川・那珂川・久慈川水系の浸水想定が広い。沿岸の津波、台地縁辺の崖崩れに注意。</t>
        </is>
      </c>
    </row>
    <row r="429">
      <c r="A429" t="inlineStr">
        <is>
          <t>茨城県</t>
        </is>
      </c>
      <c r="B429" t="inlineStr">
        <is>
          <t>那珂市</t>
        </is>
      </c>
      <c r="C429" t="n">
        <v>20940</v>
      </c>
      <c r="D429" t="n">
        <v>52231</v>
      </c>
      <c r="E429" s="6" t="n">
        <v>526.8</v>
      </c>
      <c r="F429" s="7" t="n">
        <v>45.5</v>
      </c>
      <c r="G429" t="n">
        <v>53502</v>
      </c>
      <c r="H429" t="n">
        <v>52231</v>
      </c>
      <c r="I429" t="n">
        <v>50492</v>
      </c>
      <c r="J429" t="n">
        <v>44008</v>
      </c>
      <c r="K429" s="27">
        <f>(H429/D429-1)</f>
        <v/>
      </c>
      <c r="L429" s="27">
        <f>(I429/D429-1)</f>
        <v/>
      </c>
      <c r="M429" s="27">
        <f>(J429/D429-1)</f>
        <v/>
      </c>
      <c r="N429" t="n">
        <v>60.3</v>
      </c>
      <c r="O429" s="28">
        <f>(N429+F429)/2</f>
        <v/>
      </c>
      <c r="P429">
        <f>IF(O429="計算不能","計算不能",IF(O429&gt;=80,5,IF(O429&gt;=60,4,IF(O429&gt;=40,3,IF(O429&gt;=28,2,1)))))</f>
        <v/>
      </c>
      <c r="Q429" t="n">
        <v>5451</v>
      </c>
      <c r="R429" t="n">
        <v>570</v>
      </c>
      <c r="S429" s="27">
        <f>R429/Q429</f>
        <v/>
      </c>
      <c r="T429" t="inlineStr">
        <is>
          <t>那珂市は2045年までに人口が約15.7%減と明確な減少トレンド。高齢化の進行と世帯数の縮小により、中長期では賃貸需要の構造的縮小に警戒が必要。</t>
        </is>
      </c>
      <c r="U429" t="inlineStr">
        <is>
          <t>那珂市は人口密度527人/km²で、主要道路沿いや中心市街地に一定の賃貸需要が局在。立地選別が稼働を左右する。 借家の空室率は約10%と需給は比較的引き締まっている。</t>
        </is>
      </c>
      <c r="V429" t="inlineStr">
        <is>
          <t>那珂市（茨城県）：利根川・那珂川・久慈川水系の浸水想定が広い。沿岸の津波、台地縁辺の崖崩れに注意。</t>
        </is>
      </c>
    </row>
    <row r="430">
      <c r="A430" t="inlineStr">
        <is>
          <t>茨城県</t>
        </is>
      </c>
      <c r="B430" t="inlineStr">
        <is>
          <t>筑西市</t>
        </is>
      </c>
      <c r="C430" t="n">
        <v>37570</v>
      </c>
      <c r="D430" t="n">
        <v>95963</v>
      </c>
      <c r="E430" s="6" t="n">
        <v>461.9</v>
      </c>
      <c r="F430" s="7" t="n">
        <v>43.1</v>
      </c>
      <c r="G430" t="n">
        <v>100753</v>
      </c>
      <c r="H430" t="n">
        <v>95963</v>
      </c>
      <c r="I430" t="n">
        <v>90475</v>
      </c>
      <c r="J430" t="n">
        <v>73006</v>
      </c>
      <c r="K430" s="27">
        <f>(H430/D430-1)</f>
        <v/>
      </c>
      <c r="L430" s="27">
        <f>(I430/D430-1)</f>
        <v/>
      </c>
      <c r="M430" s="27">
        <f>(J430/D430-1)</f>
        <v/>
      </c>
      <c r="N430" t="n">
        <v>50.3</v>
      </c>
      <c r="O430" s="28">
        <f>(N430+F430)/2</f>
        <v/>
      </c>
      <c r="P430">
        <f>IF(O430="計算不能","計算不能",IF(O430&gt;=80,5,IF(O430&gt;=60,4,IF(O430&gt;=40,3,IF(O430&gt;=28,2,1)))))</f>
        <v/>
      </c>
      <c r="Q430" t="n">
        <v>9781</v>
      </c>
      <c r="R430" t="n">
        <v>2480</v>
      </c>
      <c r="S430" s="27">
        <f>R430/Q430</f>
        <v/>
      </c>
      <c r="T430" t="inlineStr">
        <is>
          <t>筑西市は2045年までに人口が約23.9%減と明確な減少トレンド。高齢化の進行と世帯数の縮小により、中長期では賃貸需要の構造的縮小に警戒が必要。</t>
        </is>
      </c>
      <c r="U430" t="inlineStr">
        <is>
          <t>筑西市は人口密度462人/km²と低密度で、賃貸需要は限定的。持ち家比率が高く、駐車場完備の戸建て賃貸が有利。 借家の空室率は約25%と供給過多気味で、空室長期化リスクに要警戒。</t>
        </is>
      </c>
      <c r="V430" t="inlineStr">
        <is>
          <t>筑西市（茨城県）：利根川・那珂川・久慈川水系の浸水想定が広い。沿岸の津波、台地縁辺の崖崩れに注意。</t>
        </is>
      </c>
    </row>
    <row r="431">
      <c r="A431" t="inlineStr">
        <is>
          <t>茨城県</t>
        </is>
      </c>
      <c r="B431" t="inlineStr">
        <is>
          <t>坂東市</t>
        </is>
      </c>
      <c r="C431" t="n">
        <v>18010</v>
      </c>
      <c r="D431" t="n">
        <v>49904</v>
      </c>
      <c r="E431" s="6" t="n">
        <v>417.3</v>
      </c>
      <c r="F431" s="7" t="n">
        <v>40.9</v>
      </c>
      <c r="G431" t="n">
        <v>52265</v>
      </c>
      <c r="H431" t="n">
        <v>49904</v>
      </c>
      <c r="I431" t="n">
        <v>47400</v>
      </c>
      <c r="J431" t="n">
        <v>39053</v>
      </c>
      <c r="K431" s="27">
        <f>(H431/D431-1)</f>
        <v/>
      </c>
      <c r="L431" s="27">
        <f>(I431/D431-1)</f>
        <v/>
      </c>
      <c r="M431" s="27">
        <f>(J431/D431-1)</f>
        <v/>
      </c>
      <c r="N431" t="n">
        <v>52.2</v>
      </c>
      <c r="O431" s="28">
        <f>(N431+F431)/2</f>
        <v/>
      </c>
      <c r="P431">
        <f>IF(O431="計算不能","計算不能",IF(O431&gt;=80,5,IF(O431&gt;=60,4,IF(O431&gt;=40,3,IF(O431&gt;=28,2,1)))))</f>
        <v/>
      </c>
      <c r="Q431" t="n">
        <v>4688</v>
      </c>
      <c r="R431" t="n">
        <v>1050</v>
      </c>
      <c r="S431" s="27">
        <f>R431/Q431</f>
        <v/>
      </c>
      <c r="T431" t="inlineStr">
        <is>
          <t>坂東市は2045年までに人口が約21.7%減と明確な減少トレンド。高齢化の進行と世帯数の縮小により、中長期では賃貸需要の構造的縮小に警戒が必要。</t>
        </is>
      </c>
      <c r="U431" t="inlineStr">
        <is>
          <t>坂東市は人口密度417人/km²と低密度で、賃貸需要は限定的。持ち家比率が高く、駐車場完備の戸建て賃貸が有利。 借家の空室率は約22%とやや高めで、競合との差別化が必要。</t>
        </is>
      </c>
      <c r="V431" t="inlineStr">
        <is>
          <t>坂東市（茨城県）：利根川・那珂川・久慈川水系の浸水想定が広い。沿岸の津波、台地縁辺の崖崩れに注意。</t>
        </is>
      </c>
    </row>
    <row r="432">
      <c r="A432" t="inlineStr">
        <is>
          <t>茨城県</t>
        </is>
      </c>
      <c r="B432" t="inlineStr">
        <is>
          <t>稲敷市</t>
        </is>
      </c>
      <c r="C432" t="n">
        <v>14470</v>
      </c>
      <c r="D432" t="n">
        <v>35097</v>
      </c>
      <c r="E432" s="6" t="n">
        <v>172</v>
      </c>
      <c r="F432" s="7" t="n">
        <v>27.2</v>
      </c>
      <c r="G432" t="n">
        <v>39039</v>
      </c>
      <c r="H432" t="n">
        <v>35097</v>
      </c>
      <c r="I432" t="n">
        <v>31778</v>
      </c>
      <c r="J432" t="n">
        <v>22084</v>
      </c>
      <c r="K432" s="27">
        <f>(H432/D432-1)</f>
        <v/>
      </c>
      <c r="L432" s="27">
        <f>(I432/D432-1)</f>
        <v/>
      </c>
      <c r="M432" s="27">
        <f>(J432/D432-1)</f>
        <v/>
      </c>
      <c r="N432" t="n">
        <v>38.6</v>
      </c>
      <c r="O432" s="28">
        <f>(N432+F432)/2</f>
        <v/>
      </c>
      <c r="P432">
        <f>IF(O432="計算不能","計算不能",IF(O432&gt;=80,5,IF(O432&gt;=60,4,IF(O432&gt;=40,3,IF(O432&gt;=28,2,1)))))</f>
        <v/>
      </c>
      <c r="Q432" t="n">
        <v>3767</v>
      </c>
      <c r="R432" t="n">
        <v>600</v>
      </c>
      <c r="S432" s="27">
        <f>R432/Q432</f>
        <v/>
      </c>
      <c r="T432" t="inlineStr">
        <is>
          <t>稲敷市は2045年までに人口が約37.1%減と急激な過疎・超高齢化が進行。若年労働世代の流出と自然減が重なり、賃貸事業としての持続性は極めて限定的。</t>
        </is>
      </c>
      <c r="U432" t="inlineStr">
        <is>
          <t>稲敷市は人口密度172人/km²と過疎的水準で、民間賃貸の新規需要は薄い。実需に裏付けられた格安戸建ての指値取得のみが現実的。 借家の空室率は約16%と需給は比較的引き締まっている。</t>
        </is>
      </c>
      <c r="V432" t="inlineStr">
        <is>
          <t>稲敷市（茨城県）：利根川・那珂川・久慈川水系の浸水想定が広い。沿岸の津波、台地縁辺の崖崩れに注意。</t>
        </is>
      </c>
    </row>
    <row r="433">
      <c r="A433" t="inlineStr">
        <is>
          <t>茨城県</t>
        </is>
      </c>
      <c r="B433" t="inlineStr">
        <is>
          <t>かすみがうら市</t>
        </is>
      </c>
      <c r="C433" t="n">
        <v>15300</v>
      </c>
      <c r="D433" t="n">
        <v>38225</v>
      </c>
      <c r="E433" s="6" t="n">
        <v>245.3</v>
      </c>
      <c r="F433" s="7" t="n">
        <v>32.3</v>
      </c>
      <c r="G433" t="n">
        <v>40087</v>
      </c>
      <c r="H433" t="n">
        <v>38225</v>
      </c>
      <c r="I433" t="n">
        <v>36261</v>
      </c>
      <c r="J433" t="n">
        <v>29660</v>
      </c>
      <c r="K433" s="27">
        <f>(H433/D433-1)</f>
        <v/>
      </c>
      <c r="L433" s="27">
        <f>(I433/D433-1)</f>
        <v/>
      </c>
      <c r="M433" s="27">
        <f>(J433/D433-1)</f>
        <v/>
      </c>
      <c r="N433" t="n">
        <v>51.6</v>
      </c>
      <c r="O433" s="28">
        <f>(N433+F433)/2</f>
        <v/>
      </c>
      <c r="P433">
        <f>IF(O433="計算不能","計算不能",IF(O433&gt;=80,5,IF(O433&gt;=60,4,IF(O433&gt;=40,3,IF(O433&gt;=28,2,1)))))</f>
        <v/>
      </c>
      <c r="Q433" t="n">
        <v>3983</v>
      </c>
      <c r="R433" t="n">
        <v>1030</v>
      </c>
      <c r="S433" s="27">
        <f>R433/Q433</f>
        <v/>
      </c>
      <c r="T433" t="inlineStr">
        <is>
          <t>かすみがうら市は2045年までに人口が約22.4%減と明確な減少トレンド。高齢化の進行と世帯数の縮小により、中長期では賃貸需要の構造的縮小に警戒が必要。</t>
        </is>
      </c>
      <c r="U433" t="inlineStr">
        <is>
          <t>かすみがうら市は人口密度245人/km²と低密度で、賃貸需要は限定的。持ち家比率が高く、駐車場完備の戸建て賃貸が有利。 借家の空室率は約26%と供給過多気味で、空室長期化リスクに要警戒。</t>
        </is>
      </c>
      <c r="V433" t="inlineStr">
        <is>
          <t>かすみがうら市（茨城県）：利根川・那珂川・久慈川水系の浸水想定が広い。沿岸の津波、台地縁辺の崖崩れに注意。</t>
        </is>
      </c>
    </row>
    <row r="434">
      <c r="A434" t="inlineStr">
        <is>
          <t>茨城県</t>
        </is>
      </c>
      <c r="B434" t="inlineStr">
        <is>
          <t>桜川市</t>
        </is>
      </c>
      <c r="C434" t="n">
        <v>12920</v>
      </c>
      <c r="D434" t="n">
        <v>35356</v>
      </c>
      <c r="E434" s="6" t="n">
        <v>195.5</v>
      </c>
      <c r="F434" s="7" t="n">
        <v>29.6</v>
      </c>
      <c r="G434" t="n">
        <v>39122</v>
      </c>
      <c r="H434" t="n">
        <v>35356</v>
      </c>
      <c r="I434" t="n">
        <v>32243</v>
      </c>
      <c r="J434" t="n">
        <v>23290</v>
      </c>
      <c r="K434" s="27">
        <f>(H434/D434-1)</f>
        <v/>
      </c>
      <c r="L434" s="27">
        <f>(I434/D434-1)</f>
        <v/>
      </c>
      <c r="M434" s="27">
        <f>(J434/D434-1)</f>
        <v/>
      </c>
      <c r="N434" t="n">
        <v>39.9</v>
      </c>
      <c r="O434" s="28">
        <f>(N434+F434)/2</f>
        <v/>
      </c>
      <c r="P434">
        <f>IF(O434="計算不能","計算不能",IF(O434&gt;=80,5,IF(O434&gt;=60,4,IF(O434&gt;=40,3,IF(O434&gt;=28,2,1)))))</f>
        <v/>
      </c>
      <c r="Q434" t="n">
        <v>3363</v>
      </c>
      <c r="R434" t="n">
        <v>860</v>
      </c>
      <c r="S434" s="27">
        <f>R434/Q434</f>
        <v/>
      </c>
      <c r="T434" t="inlineStr">
        <is>
          <t>桜川市は2045年までに人口が約34.1%減と急激な過疎・超高齢化が進行。若年労働世代の流出と自然減が重なり、賃貸事業としての持続性は極めて限定的。</t>
        </is>
      </c>
      <c r="U434" t="inlineStr">
        <is>
          <t>桜川市は人口密度196人/km²と過疎的水準で、民間賃貸の新規需要は薄い。実需に裏付けられた格安戸建ての指値取得のみが現実的。 借家の空室率は約26%と供給過多気味で、空室長期化リスクに要警戒。</t>
        </is>
      </c>
      <c r="V434" t="inlineStr">
        <is>
          <t>桜川市（茨城県）：利根川・那珂川・久慈川水系の浸水想定が広い。沿岸の津波、台地縁辺の崖崩れに注意。</t>
        </is>
      </c>
    </row>
    <row r="435">
      <c r="A435" t="inlineStr">
        <is>
          <t>茨城県</t>
        </is>
      </c>
      <c r="B435" t="inlineStr">
        <is>
          <t>神栖市</t>
        </is>
      </c>
      <c r="C435" t="n">
        <v>41100</v>
      </c>
      <c r="D435" t="n">
        <v>93290</v>
      </c>
      <c r="E435" s="6" t="n">
        <v>634.7</v>
      </c>
      <c r="F435" s="7" t="n">
        <v>47.7</v>
      </c>
      <c r="G435" t="n">
        <v>95454</v>
      </c>
      <c r="H435" t="n">
        <v>93290</v>
      </c>
      <c r="I435" t="n">
        <v>92344</v>
      </c>
      <c r="J435" t="n">
        <v>86532</v>
      </c>
      <c r="K435" s="27">
        <f>(H435/D435-1)</f>
        <v/>
      </c>
      <c r="L435" s="27">
        <f>(I435/D435-1)</f>
        <v/>
      </c>
      <c r="M435" s="27">
        <f>(J435/D435-1)</f>
        <v/>
      </c>
      <c r="N435" t="n">
        <v>66.2</v>
      </c>
      <c r="O435" s="28">
        <f>(N435+F435)/2</f>
        <v/>
      </c>
      <c r="P435">
        <f>IF(O435="計算不能","計算不能",IF(O435&gt;=80,5,IF(O435&gt;=60,4,IF(O435&gt;=40,3,IF(O435&gt;=28,2,1)))))</f>
        <v/>
      </c>
      <c r="Q435" t="n">
        <v>10700</v>
      </c>
      <c r="R435" t="n">
        <v>4710</v>
      </c>
      <c r="S435" s="27">
        <f>R435/Q435</f>
        <v/>
      </c>
      <c r="T435" t="inlineStr">
        <is>
          <t>神栖市は2045年までに人口が約7.2%減と緩やかな減少局面。若年層の都市部流出と高齢化が進むが、当面の賃貸稼働は一定程度維持される見通し。</t>
        </is>
      </c>
      <c r="U435" t="inlineStr">
        <is>
          <t>神栖市は人口密度635人/km²で、主要道路沿いや中心市街地に一定の賃貸需要が局在。立地選別が稼働を左右する。 借家の空室率は約44%と供給過多気味で、空室長期化リスクに要警戒。</t>
        </is>
      </c>
      <c r="V435" t="inlineStr">
        <is>
          <t>神栖市（茨城県）：利根川・那珂川・久慈川水系の浸水想定が広い。沿岸の津波、台地縁辺の崖崩れに注意。</t>
        </is>
      </c>
    </row>
    <row r="436">
      <c r="A436" t="inlineStr">
        <is>
          <t>茨城県</t>
        </is>
      </c>
      <c r="B436" t="inlineStr">
        <is>
          <t>行方市</t>
        </is>
      </c>
      <c r="C436" t="n">
        <v>10520</v>
      </c>
      <c r="D436" t="n">
        <v>29644</v>
      </c>
      <c r="E436" s="6" t="n">
        <v>131.3</v>
      </c>
      <c r="F436" s="7" t="n">
        <v>23.1</v>
      </c>
      <c r="G436" t="n">
        <v>32185</v>
      </c>
      <c r="H436" t="n">
        <v>29644</v>
      </c>
      <c r="I436" t="n">
        <v>27142</v>
      </c>
      <c r="J436" t="n">
        <v>19957</v>
      </c>
      <c r="K436" s="27">
        <f>(H436/D436-1)</f>
        <v/>
      </c>
      <c r="L436" s="27">
        <f>(I436/D436-1)</f>
        <v/>
      </c>
      <c r="M436" s="27">
        <f>(J436/D436-1)</f>
        <v/>
      </c>
      <c r="N436" t="n">
        <v>41.9</v>
      </c>
      <c r="O436" s="28">
        <f>(N436+F436)/2</f>
        <v/>
      </c>
      <c r="P436">
        <f>IF(O436="計算不能","計算不能",IF(O436&gt;=80,5,IF(O436&gt;=60,4,IF(O436&gt;=40,3,IF(O436&gt;=28,2,1)))))</f>
        <v/>
      </c>
      <c r="Q436" t="n">
        <v>2738</v>
      </c>
      <c r="R436" t="n">
        <v>260</v>
      </c>
      <c r="S436" s="27">
        <f>R436/Q436</f>
        <v/>
      </c>
      <c r="T436" t="inlineStr">
        <is>
          <t>行方市は2045年までに人口が約32.7%減と急激な過疎・超高齢化が進行。若年労働世代の流出と自然減が重なり、賃貸事業としての持続性は極めて限定的。</t>
        </is>
      </c>
      <c r="U436" t="inlineStr">
        <is>
          <t>行方市は人口密度131人/km²と過疎的水準で、民間賃貸の新規需要は薄い。実需に裏付けられた格安戸建ての指値取得のみが現実的。 借家の空室率は約9%と需給は比較的引き締まっている。</t>
        </is>
      </c>
      <c r="V436" t="inlineStr">
        <is>
          <t>行方市（茨城県）：利根川・那珂川・久慈川水系の浸水想定が広い。沿岸の津波、台地縁辺の崖崩れに注意。</t>
        </is>
      </c>
    </row>
    <row r="437">
      <c r="A437" t="inlineStr">
        <is>
          <t>茨城県</t>
        </is>
      </c>
      <c r="B437" t="inlineStr">
        <is>
          <t>鉾田市</t>
        </is>
      </c>
      <c r="C437" t="n">
        <v>16420</v>
      </c>
      <c r="D437" t="n">
        <v>43854</v>
      </c>
      <c r="E437" s="6" t="n">
        <v>209</v>
      </c>
      <c r="F437" s="7" t="n">
        <v>30.4</v>
      </c>
      <c r="G437" t="n">
        <v>45953</v>
      </c>
      <c r="H437" t="n">
        <v>43854</v>
      </c>
      <c r="I437" t="n">
        <v>41586</v>
      </c>
      <c r="J437" t="n">
        <v>34324</v>
      </c>
      <c r="K437" s="27">
        <f>(H437/D437-1)</f>
        <v/>
      </c>
      <c r="L437" s="27">
        <f>(I437/D437-1)</f>
        <v/>
      </c>
      <c r="M437" s="27">
        <f>(J437/D437-1)</f>
        <v/>
      </c>
      <c r="N437" t="n">
        <v>52</v>
      </c>
      <c r="O437" s="28">
        <f>(N437+F437)/2</f>
        <v/>
      </c>
      <c r="P437">
        <f>IF(O437="計算不能","計算不能",IF(O437&gt;=80,5,IF(O437&gt;=60,4,IF(O437&gt;=40,3,IF(O437&gt;=28,2,1)))))</f>
        <v/>
      </c>
      <c r="Q437" t="n">
        <v>4274</v>
      </c>
      <c r="R437" t="n">
        <v>590</v>
      </c>
      <c r="S437" s="27">
        <f>R437/Q437</f>
        <v/>
      </c>
      <c r="T437" t="inlineStr">
        <is>
          <t>鉾田市は2045年までに人口が約21.7%減と明確な減少トレンド。高齢化の進行と世帯数の縮小により、中長期では賃貸需要の構造的縮小に警戒が必要。</t>
        </is>
      </c>
      <c r="U437" t="inlineStr">
        <is>
          <t>鉾田市は人口密度209人/km²と低密度で、賃貸需要は限定的。持ち家比率が高く、駐車場完備の戸建て賃貸が有利。 借家の空室率は約14%と需給は比較的引き締まっている。</t>
        </is>
      </c>
      <c r="V437" t="inlineStr">
        <is>
          <t>鉾田市（茨城県）：利根川・那珂川・久慈川水系の浸水想定が広い。沿岸の津波、台地縁辺の崖崩れに注意。</t>
        </is>
      </c>
    </row>
    <row r="438">
      <c r="A438" t="inlineStr">
        <is>
          <t>茨城県</t>
        </is>
      </c>
      <c r="B438" t="inlineStr">
        <is>
          <t>つくばみらい市</t>
        </is>
      </c>
      <c r="C438" t="n">
        <v>21370</v>
      </c>
      <c r="D438" t="n">
        <v>51712</v>
      </c>
      <c r="E438" s="6" t="n">
        <v>657.8</v>
      </c>
      <c r="F438" s="7" t="n">
        <v>48.2</v>
      </c>
      <c r="G438" t="n">
        <v>49872</v>
      </c>
      <c r="H438" t="n">
        <v>51712</v>
      </c>
      <c r="I438" t="n">
        <v>53080</v>
      </c>
      <c r="J438" t="n">
        <v>55885</v>
      </c>
      <c r="K438" s="27">
        <f>(H438/D438-1)</f>
        <v/>
      </c>
      <c r="L438" s="27">
        <f>(I438/D438-1)</f>
        <v/>
      </c>
      <c r="M438" s="27">
        <f>(J438/D438-1)</f>
        <v/>
      </c>
      <c r="N438" t="n">
        <v>88.5</v>
      </c>
      <c r="O438" s="28">
        <f>(N438+F438)/2</f>
        <v/>
      </c>
      <c r="P438">
        <f>IF(O438="計算不能","計算不能",IF(O438&gt;=80,5,IF(O438&gt;=60,4,IF(O438&gt;=40,3,IF(O438&gt;=28,2,1)))))</f>
        <v/>
      </c>
      <c r="Q438" t="n">
        <v>5563</v>
      </c>
      <c r="R438" t="n">
        <v>260</v>
      </c>
      <c r="S438" s="27">
        <f>R438/Q438</f>
        <v/>
      </c>
      <c r="T438" t="inlineStr">
        <is>
          <t>つくばみらい市は2025年から2045年にかけて人口が約8.1%増と全国的にも希少な人口増トレンド。都市機能の集積と職住近接需要を背景に、単身・若年ファミリー層の流入が継続し、賃貸母数の拡大が見込める。</t>
        </is>
      </c>
      <c r="U438" t="inlineStr">
        <is>
          <t>つくばみらい市は人口密度658人/km²で、主要道路沿いや中心市街地に一定の賃貸需要が局在。立地選別が稼働を左右する。 借家の空室率は約5%と需給は比較的引き締まっている。</t>
        </is>
      </c>
      <c r="V438" t="inlineStr">
        <is>
          <t>つくばみらい市（茨城県）：利根川・那珂川・久慈川水系の浸水想定が広い。沿岸の津波、台地縁辺の崖崩れに注意。</t>
        </is>
      </c>
    </row>
    <row r="439">
      <c r="A439" t="inlineStr">
        <is>
          <t>茨城県</t>
        </is>
      </c>
      <c r="B439" t="inlineStr">
        <is>
          <t>小美玉市</t>
        </is>
      </c>
      <c r="C439" t="n">
        <v>18320</v>
      </c>
      <c r="D439" t="n">
        <v>46906</v>
      </c>
      <c r="E439" s="6" t="n">
        <v>323</v>
      </c>
      <c r="F439" s="7" t="n">
        <v>36.1</v>
      </c>
      <c r="G439" t="n">
        <v>48870</v>
      </c>
      <c r="H439" t="n">
        <v>46906</v>
      </c>
      <c r="I439" t="n">
        <v>44728</v>
      </c>
      <c r="J439" t="n">
        <v>37233</v>
      </c>
      <c r="K439" s="27">
        <f>(H439/D439-1)</f>
        <v/>
      </c>
      <c r="L439" s="27">
        <f>(I439/D439-1)</f>
        <v/>
      </c>
      <c r="M439" s="27">
        <f>(J439/D439-1)</f>
        <v/>
      </c>
      <c r="N439" t="n">
        <v>53.9</v>
      </c>
      <c r="O439" s="28">
        <f>(N439+F439)/2</f>
        <v/>
      </c>
      <c r="P439">
        <f>IF(O439="計算不能","計算不能",IF(O439&gt;=80,5,IF(O439&gt;=60,4,IF(O439&gt;=40,3,IF(O439&gt;=28,2,1)))))</f>
        <v/>
      </c>
      <c r="Q439" t="n">
        <v>4769</v>
      </c>
      <c r="R439" t="n">
        <v>1300</v>
      </c>
      <c r="S439" s="27">
        <f>R439/Q439</f>
        <v/>
      </c>
      <c r="T439" t="inlineStr">
        <is>
          <t>小美玉市は2045年までに人口が約20.6%減と明確な減少トレンド。高齢化の進行と世帯数の縮小により、中長期では賃貸需要の構造的縮小に警戒が必要。</t>
        </is>
      </c>
      <c r="U439" t="inlineStr">
        <is>
          <t>小美玉市は人口密度323人/km²と低密度で、賃貸需要は限定的。持ち家比率が高く、駐車場完備の戸建て賃貸が有利。 借家の空室率は約27%と供給過多気味で、空室長期化リスクに要警戒。</t>
        </is>
      </c>
      <c r="V439" t="inlineStr">
        <is>
          <t>小美玉市（茨城県）：利根川・那珂川・久慈川水系の浸水想定が広い。沿岸の津波、台地縁辺の崖崩れに注意。</t>
        </is>
      </c>
    </row>
    <row r="440">
      <c r="A440" t="inlineStr">
        <is>
          <t>茨城県</t>
        </is>
      </c>
      <c r="B440" t="inlineStr">
        <is>
          <t>茨城町</t>
        </is>
      </c>
      <c r="C440" t="n">
        <v>12140</v>
      </c>
      <c r="D440" t="n">
        <v>29985</v>
      </c>
      <c r="E440" s="6" t="n">
        <v>242.1</v>
      </c>
      <c r="F440" s="7" t="n">
        <v>32.1</v>
      </c>
      <c r="G440" t="n">
        <v>31401</v>
      </c>
      <c r="H440" t="n">
        <v>29985</v>
      </c>
      <c r="I440" t="n">
        <v>28429</v>
      </c>
      <c r="J440" t="n">
        <v>23349</v>
      </c>
      <c r="K440" s="27">
        <f>(H440/D440-1)</f>
        <v/>
      </c>
      <c r="L440" s="27">
        <f>(I440/D440-1)</f>
        <v/>
      </c>
      <c r="M440" s="27">
        <f>(J440/D440-1)</f>
        <v/>
      </c>
      <c r="N440" t="n">
        <v>51.9</v>
      </c>
      <c r="O440" s="28">
        <f>(N440+F440)/2</f>
        <v/>
      </c>
      <c r="P440">
        <f>IF(O440="計算不能","計算不能",IF(O440&gt;=80,5,IF(O440&gt;=60,4,IF(O440&gt;=40,3,IF(O440&gt;=28,2,1)))))</f>
        <v/>
      </c>
      <c r="Q440" t="n">
        <v>3160</v>
      </c>
      <c r="R440" t="n">
        <v>160</v>
      </c>
      <c r="S440" s="27">
        <f>R440/Q440</f>
        <v/>
      </c>
      <c r="T440" t="inlineStr">
        <is>
          <t>茨城町は2045年までに人口が約22.1%減と明確な減少トレンド。高齢化の進行と世帯数の縮小により、中長期では賃貸需要の構造的縮小に警戒が必要。</t>
        </is>
      </c>
      <c r="U440" t="inlineStr">
        <is>
          <t>茨城町は人口密度242人/km²と低密度で、賃貸需要は限定的。持ち家比率が高く、駐車場完備の戸建て賃貸が有利。 借家の空室率は約5%と需給は比較的引き締まっている。</t>
        </is>
      </c>
      <c r="V440" t="inlineStr">
        <is>
          <t>茨城町（茨城県）：利根川・那珂川・久慈川水系の浸水想定が広い。沿岸の津波、台地縁辺の崖崩れに注意。</t>
        </is>
      </c>
    </row>
    <row r="441">
      <c r="A441" t="inlineStr">
        <is>
          <t>茨城県</t>
        </is>
      </c>
      <c r="B441" t="inlineStr">
        <is>
          <t>大洗町</t>
        </is>
      </c>
      <c r="C441" t="n">
        <v>6270</v>
      </c>
      <c r="D441" t="n">
        <v>14610</v>
      </c>
      <c r="E441" s="6" t="n">
        <v>605.1</v>
      </c>
      <c r="F441" s="7" t="n">
        <v>47.1</v>
      </c>
      <c r="G441" t="n">
        <v>15715</v>
      </c>
      <c r="H441" t="n">
        <v>14610</v>
      </c>
      <c r="I441" t="n">
        <v>13526</v>
      </c>
      <c r="J441" t="n">
        <v>10389</v>
      </c>
      <c r="K441" s="27">
        <f>(H441/D441-1)</f>
        <v/>
      </c>
      <c r="L441" s="27">
        <f>(I441/D441-1)</f>
        <v/>
      </c>
      <c r="M441" s="27">
        <f>(J441/D441-1)</f>
        <v/>
      </c>
      <c r="N441" t="n">
        <v>43.8</v>
      </c>
      <c r="O441" s="28">
        <f>(N441+F441)/2</f>
        <v/>
      </c>
      <c r="P441">
        <f>IF(O441="計算不能","計算不能",IF(O441&gt;=80,5,IF(O441&gt;=60,4,IF(O441&gt;=40,3,IF(O441&gt;=28,2,1)))))</f>
        <v/>
      </c>
      <c r="Q441" t="n">
        <v>1632</v>
      </c>
      <c r="R441" t="n">
        <v>250</v>
      </c>
      <c r="S441" s="27">
        <f>R441/Q441</f>
        <v/>
      </c>
      <c r="T441" t="inlineStr">
        <is>
          <t>大洗町は2045年までに人口が約28.9%減と明確な減少トレンド。高齢化の進行と世帯数の縮小により、中長期では賃貸需要の構造的縮小に警戒が必要。</t>
        </is>
      </c>
      <c r="U441" t="inlineStr">
        <is>
          <t>大洗町は人口密度605人/km²で、主要道路沿いや中心市街地に一定の賃貸需要が局在。立地選別が稼働を左右する。 借家の空室率は約15%と需給は比較的引き締まっている。</t>
        </is>
      </c>
      <c r="V441" t="inlineStr">
        <is>
          <t>大洗町（茨城県）：利根川・那珂川・久慈川水系の浸水想定が広い。沿岸の津波、台地縁辺の崖崩れに注意。</t>
        </is>
      </c>
    </row>
    <row r="442">
      <c r="A442" t="inlineStr">
        <is>
          <t>茨城県</t>
        </is>
      </c>
      <c r="B442" t="inlineStr">
        <is>
          <t>城里町</t>
        </is>
      </c>
      <c r="C442" t="n">
        <v>7010</v>
      </c>
      <c r="D442" t="n">
        <v>16523</v>
      </c>
      <c r="E442" s="6" t="n">
        <v>101.1</v>
      </c>
      <c r="F442" s="7" t="n">
        <v>20.1</v>
      </c>
      <c r="G442" t="n">
        <v>18097</v>
      </c>
      <c r="H442" t="n">
        <v>16523</v>
      </c>
      <c r="I442" t="n">
        <v>15032</v>
      </c>
      <c r="J442" t="n">
        <v>10624</v>
      </c>
      <c r="K442" s="27">
        <f>(H442/D442-1)</f>
        <v/>
      </c>
      <c r="L442" s="27">
        <f>(I442/D442-1)</f>
        <v/>
      </c>
      <c r="M442" s="27">
        <f>(J442/D442-1)</f>
        <v/>
      </c>
      <c r="N442" t="n">
        <v>40.3</v>
      </c>
      <c r="O442" s="28">
        <f>(N442+F442)/2</f>
        <v/>
      </c>
      <c r="P442">
        <f>IF(O442="計算不能","計算不能",IF(O442&gt;=80,5,IF(O442&gt;=60,4,IF(O442&gt;=40,3,IF(O442&gt;=28,2,1)))))</f>
        <v/>
      </c>
      <c r="Q442" t="n">
        <v>1824</v>
      </c>
      <c r="R442" t="n">
        <v>110</v>
      </c>
      <c r="S442" s="27">
        <f>R442/Q442</f>
        <v/>
      </c>
      <c r="T442" t="inlineStr">
        <is>
          <t>城里町は2045年までに人口が約35.7%減と急激な過疎・超高齢化が進行。若年労働世代の流出と自然減が重なり、賃貸事業としての持続性は極めて限定的。</t>
        </is>
      </c>
      <c r="U442" t="inlineStr">
        <is>
          <t>城里町は人口密度101人/km²と過疎的水準で、民間賃貸の新規需要は薄い。実需に裏付けられた格安戸建ての指値取得のみが現実的。 借家の空室率は約6%と需給は比較的引き締まっている。</t>
        </is>
      </c>
      <c r="V442" t="inlineStr">
        <is>
          <t>城里町（茨城県）：利根川・那珂川・久慈川水系の浸水想定が広い。沿岸の津波、台地縁辺の崖崩れに注意。</t>
        </is>
      </c>
    </row>
    <row r="443">
      <c r="A443" t="inlineStr">
        <is>
          <t>茨城県</t>
        </is>
      </c>
      <c r="B443" t="inlineStr">
        <is>
          <t>東海村</t>
        </is>
      </c>
      <c r="C443" t="n">
        <v>15380</v>
      </c>
      <c r="D443" t="n">
        <v>37526</v>
      </c>
      <c r="E443" s="6" t="n">
        <v>994.6</v>
      </c>
      <c r="F443" s="7" t="n">
        <v>54.9</v>
      </c>
      <c r="G443" t="n">
        <v>37891</v>
      </c>
      <c r="H443" t="n">
        <v>37526</v>
      </c>
      <c r="I443" t="n">
        <v>36817</v>
      </c>
      <c r="J443" t="n">
        <v>34178</v>
      </c>
      <c r="K443" s="27">
        <f>(H443/D443-1)</f>
        <v/>
      </c>
      <c r="L443" s="27">
        <f>(I443/D443-1)</f>
        <v/>
      </c>
      <c r="M443" s="27">
        <f>(J443/D443-1)</f>
        <v/>
      </c>
      <c r="N443" t="n">
        <v>67.3</v>
      </c>
      <c r="O443" s="28">
        <f>(N443+F443)/2</f>
        <v/>
      </c>
      <c r="P443">
        <f>IF(O443="計算不能","計算不能",IF(O443&gt;=80,5,IF(O443&gt;=60,4,IF(O443&gt;=40,3,IF(O443&gt;=28,2,1)))))</f>
        <v/>
      </c>
      <c r="Q443" t="n">
        <v>4004</v>
      </c>
      <c r="R443" t="n">
        <v>880</v>
      </c>
      <c r="S443" s="27">
        <f>R443/Q443</f>
        <v/>
      </c>
      <c r="T443" t="inlineStr">
        <is>
          <t>東海村は2045年までに人口が約8.9%減と緩やかな減少局面。若年層の都市部流出と高齢化が進むが、当面の賃貸稼働は一定程度維持される見通し。</t>
        </is>
      </c>
      <c r="U443" t="inlineStr">
        <is>
          <t>東海村は人口密度995人/km²で、主要道路沿いや中心市街地に一定の賃貸需要が局在。立地選別が稼働を左右する。 借家の空室率は約22%とやや高めで、競合との差別化が必要。</t>
        </is>
      </c>
      <c r="V443" t="inlineStr">
        <is>
          <t>東海村（茨城県）：利根川・那珂川・久慈川水系の浸水想定が広い。沿岸の津波、台地縁辺の崖崩れに注意。</t>
        </is>
      </c>
    </row>
    <row r="444">
      <c r="A444" t="inlineStr">
        <is>
          <t>茨城県</t>
        </is>
      </c>
      <c r="B444" t="inlineStr">
        <is>
          <t>大子町</t>
        </is>
      </c>
      <c r="C444" t="n">
        <v>6000</v>
      </c>
      <c r="D444" t="n">
        <v>13664</v>
      </c>
      <c r="E444" s="6" t="n">
        <v>42.1</v>
      </c>
      <c r="F444" s="7" t="n">
        <v>14.2</v>
      </c>
      <c r="G444" t="n">
        <v>15736</v>
      </c>
      <c r="H444" t="n">
        <v>13664</v>
      </c>
      <c r="I444" t="n">
        <v>11921</v>
      </c>
      <c r="J444" t="n">
        <v>7500</v>
      </c>
      <c r="K444" s="27">
        <f>(H444/D444-1)</f>
        <v/>
      </c>
      <c r="L444" s="27">
        <f>(I444/D444-1)</f>
        <v/>
      </c>
      <c r="M444" s="27">
        <f>(J444/D444-1)</f>
        <v/>
      </c>
      <c r="N444" t="n">
        <v>33.2</v>
      </c>
      <c r="O444" s="28">
        <f>(N444+F444)/2</f>
        <v/>
      </c>
      <c r="P444">
        <f>IF(O444="計算不能","計算不能",IF(O444&gt;=80,5,IF(O444&gt;=60,4,IF(O444&gt;=40,3,IF(O444&gt;=28,2,1)))))</f>
        <v/>
      </c>
      <c r="Q444" t="n">
        <v>1562</v>
      </c>
      <c r="R444" t="n">
        <v>60</v>
      </c>
      <c r="S444" s="27">
        <f>R444/Q444</f>
        <v/>
      </c>
      <c r="T444" t="inlineStr">
        <is>
          <t>大子町は2045年までに人口が約45.1%減と急激な過疎・超高齢化が進行。若年労働世代の流出と自然減が重なり、賃貸事業としての持続性は極めて限定的。</t>
        </is>
      </c>
      <c r="U444" t="inlineStr">
        <is>
          <t>大子町は人口密度42人/km²と過疎的水準で、民間賃貸の新規需要は薄い。実需に裏付けられた格安戸建ての指値取得のみが現実的。 借家の空室率は約4%と需給は比較的引き締まっている。</t>
        </is>
      </c>
      <c r="V444" t="inlineStr">
        <is>
          <t>大子町（茨城県）：利根川・那珂川・久慈川水系の浸水想定が広い。沿岸の津波、台地縁辺の崖崩れに注意。</t>
        </is>
      </c>
    </row>
    <row r="445">
      <c r="A445" t="inlineStr">
        <is>
          <t>茨城県</t>
        </is>
      </c>
      <c r="B445" t="inlineStr">
        <is>
          <t>美浦村</t>
        </is>
      </c>
      <c r="C445" t="n">
        <v>6829</v>
      </c>
      <c r="D445" t="n">
        <v>13594</v>
      </c>
      <c r="E445" s="6" t="n">
        <v>203.3</v>
      </c>
      <c r="F445" s="7" t="n">
        <v>30.2</v>
      </c>
      <c r="G445" t="n">
        <v>14602</v>
      </c>
      <c r="H445" t="n">
        <v>13594</v>
      </c>
      <c r="I445" t="n">
        <v>12554</v>
      </c>
      <c r="J445" t="n">
        <v>9380</v>
      </c>
      <c r="K445" s="27">
        <f>(H445/D445-1)</f>
        <v/>
      </c>
      <c r="L445" s="27">
        <f>(I445/D445-1)</f>
        <v/>
      </c>
      <c r="M445" s="27">
        <f>(J445/D445-1)</f>
        <v/>
      </c>
      <c r="N445" t="n">
        <v>43.4</v>
      </c>
      <c r="O445" s="28">
        <f>(N445+F445)/2</f>
        <v/>
      </c>
      <c r="P445">
        <f>IF(O445="計算不能","計算不能",IF(O445&gt;=80,5,IF(O445&gt;=60,4,IF(O445&gt;=40,3,IF(O445&gt;=28,2,1)))))</f>
        <v/>
      </c>
      <c r="Q445" t="n">
        <v>1777</v>
      </c>
      <c r="R445" t="n">
        <v>0</v>
      </c>
      <c r="S445" s="27">
        <f>R445/Q445</f>
        <v/>
      </c>
      <c r="T445" t="inlineStr">
        <is>
          <t>美浦村は2045年までに人口が約31.0%減と急激な過疎・超高齢化が進行。若年労働世代の流出と自然減が重なり、賃貸事業としての持続性は極めて限定的。</t>
        </is>
      </c>
      <c r="U445" t="inlineStr">
        <is>
          <t>美浦村は人口密度203人/km²と低密度で、賃貸需要は限定的。持ち家比率が高く、駐車場完備の戸建て賃貸が有利。 借家の空室率は約0%と需給は比較的引き締まっている。</t>
        </is>
      </c>
      <c r="V445" t="inlineStr">
        <is>
          <t>美浦村（茨城県）：利根川・那珂川・久慈川水系の浸水想定が広い。沿岸の津波、台地縁辺の崖崩れに注意。</t>
        </is>
      </c>
    </row>
    <row r="446">
      <c r="A446" t="inlineStr">
        <is>
          <t>茨城県</t>
        </is>
      </c>
      <c r="B446" t="inlineStr">
        <is>
          <t>阿見町</t>
        </is>
      </c>
      <c r="C446" t="n">
        <v>21620</v>
      </c>
      <c r="D446" t="n">
        <v>50257</v>
      </c>
      <c r="E446" s="6" t="n">
        <v>695.9</v>
      </c>
      <c r="F446" s="7" t="n">
        <v>48.9</v>
      </c>
      <c r="G446" t="n">
        <v>48553</v>
      </c>
      <c r="H446" t="n">
        <v>50257</v>
      </c>
      <c r="I446" t="n">
        <v>49236</v>
      </c>
      <c r="J446" t="n">
        <v>45065</v>
      </c>
      <c r="K446" s="27">
        <f>(H446/D446-1)</f>
        <v/>
      </c>
      <c r="L446" s="27">
        <f>(I446/D446-1)</f>
        <v/>
      </c>
      <c r="M446" s="27">
        <f>(J446/D446-1)</f>
        <v/>
      </c>
      <c r="N446" t="n">
        <v>75.2</v>
      </c>
      <c r="O446" s="28">
        <f>(N446+F446)/2</f>
        <v/>
      </c>
      <c r="P446">
        <f>IF(O446="計算不能","計算不能",IF(O446&gt;=80,5,IF(O446&gt;=60,4,IF(O446&gt;=40,3,IF(O446&gt;=28,2,1)))))</f>
        <v/>
      </c>
      <c r="Q446" t="n">
        <v>5628</v>
      </c>
      <c r="R446" t="n">
        <v>2860</v>
      </c>
      <c r="S446" s="27">
        <f>R446/Q446</f>
        <v/>
      </c>
      <c r="T446" t="inlineStr">
        <is>
          <t>阿見町は2045年までに人口が約10.3%減と緩やかな減少局面。若年層の都市部流出と高齢化が進むが、当面の賃貸稼働は一定程度維持される見通し。</t>
        </is>
      </c>
      <c r="U446" t="inlineStr">
        <is>
          <t>阿見町は人口密度696人/km²で、主要道路沿いや中心市街地に一定の賃貸需要が局在。立地選別が稼働を左右する。 借家の空室率は約51%と供給過多気味で、空室長期化リスクに要警戒。</t>
        </is>
      </c>
      <c r="V446" t="inlineStr">
        <is>
          <t>阿見町（茨城県）：利根川・那珂川・久慈川水系の浸水想定が広い。沿岸の津波、台地縁辺の崖崩れに注意。</t>
        </is>
      </c>
    </row>
    <row r="447">
      <c r="A447" t="inlineStr">
        <is>
          <t>茨城県</t>
        </is>
      </c>
      <c r="B447" t="inlineStr">
        <is>
          <t>河内町</t>
        </is>
      </c>
      <c r="C447" t="n">
        <v>3375</v>
      </c>
      <c r="D447" t="n">
        <v>7404</v>
      </c>
      <c r="E447" s="6" t="n">
        <v>161.5</v>
      </c>
      <c r="F447" s="7" t="n">
        <v>26.1</v>
      </c>
      <c r="G447" t="n">
        <v>8231</v>
      </c>
      <c r="H447" t="n">
        <v>7404</v>
      </c>
      <c r="I447" t="n">
        <v>6640</v>
      </c>
      <c r="J447" t="n">
        <v>4528</v>
      </c>
      <c r="K447" s="27">
        <f>(H447/D447-1)</f>
        <v/>
      </c>
      <c r="L447" s="27">
        <f>(I447/D447-1)</f>
        <v/>
      </c>
      <c r="M447" s="27">
        <f>(J447/D447-1)</f>
        <v/>
      </c>
      <c r="N447" t="n">
        <v>38</v>
      </c>
      <c r="O447" s="28">
        <f>(N447+F447)/2</f>
        <v/>
      </c>
      <c r="P447">
        <f>IF(O447="計算不能","計算不能",IF(O447&gt;=80,5,IF(O447&gt;=60,4,IF(O447&gt;=40,3,IF(O447&gt;=28,2,1)))))</f>
        <v/>
      </c>
      <c r="Q447" t="n">
        <v>878</v>
      </c>
      <c r="R447" t="n">
        <v>0</v>
      </c>
      <c r="S447" s="27">
        <f>R447/Q447</f>
        <v/>
      </c>
      <c r="T447" t="inlineStr">
        <is>
          <t>河内町は2045年までに人口が約38.8%減と急激な過疎・超高齢化が進行。若年労働世代の流出と自然減が重なり、賃貸事業としての持続性は極めて限定的。</t>
        </is>
      </c>
      <c r="U447" t="inlineStr">
        <is>
          <t>河内町は人口密度162人/km²と過疎的水準で、民間賃貸の新規需要は薄い。実需に裏付けられた格安戸建ての指値取得のみが現実的。 借家の空室率は約0%と需給は比較的引き締まっている。</t>
        </is>
      </c>
      <c r="V447" t="inlineStr">
        <is>
          <t>河内町（茨城県）：利根川・那珂川・久慈川水系の浸水想定が広い。沿岸の津波、台地縁辺の崖崩れに注意。</t>
        </is>
      </c>
    </row>
    <row r="448">
      <c r="A448" t="inlineStr">
        <is>
          <t>茨城県</t>
        </is>
      </c>
      <c r="B448" t="inlineStr">
        <is>
          <t>八千代町</t>
        </is>
      </c>
      <c r="C448" t="n">
        <v>6250</v>
      </c>
      <c r="D448" t="n">
        <v>19946</v>
      </c>
      <c r="E448" s="6" t="n">
        <v>339.9</v>
      </c>
      <c r="F448" s="7" t="n">
        <v>37</v>
      </c>
      <c r="G448" t="n">
        <v>21026</v>
      </c>
      <c r="H448" t="n">
        <v>19946</v>
      </c>
      <c r="I448" t="n">
        <v>18830</v>
      </c>
      <c r="J448" t="n">
        <v>15155</v>
      </c>
      <c r="K448" s="27">
        <f>(H448/D448-1)</f>
        <v/>
      </c>
      <c r="L448" s="27">
        <f>(I448/D448-1)</f>
        <v/>
      </c>
      <c r="M448" s="27">
        <f>(J448/D448-1)</f>
        <v/>
      </c>
      <c r="N448" t="n">
        <v>49.6</v>
      </c>
      <c r="O448" s="28">
        <f>(N448+F448)/2</f>
        <v/>
      </c>
      <c r="P448">
        <f>IF(O448="計算不能","計算不能",IF(O448&gt;=80,5,IF(O448&gt;=60,4,IF(O448&gt;=40,3,IF(O448&gt;=28,2,1)))))</f>
        <v/>
      </c>
      <c r="Q448" t="n">
        <v>1627</v>
      </c>
      <c r="R448" t="n">
        <v>340</v>
      </c>
      <c r="S448" s="27">
        <f>R448/Q448</f>
        <v/>
      </c>
      <c r="T448" t="inlineStr">
        <is>
          <t>八千代町は2045年までに人口が約24.0%減と明確な減少トレンド。高齢化の進行と世帯数の縮小により、中長期では賃貸需要の構造的縮小に警戒が必要。</t>
        </is>
      </c>
      <c r="U448" t="inlineStr">
        <is>
          <t>八千代町は人口密度340人/km²と低密度で、賃貸需要は限定的。持ち家比率が高く、駐車場完備の戸建て賃貸が有利。 借家の空室率は約21%とやや高めで、競合との差別化が必要。</t>
        </is>
      </c>
      <c r="V448" t="inlineStr">
        <is>
          <t>八千代町（茨城県）：利根川・那珂川・久慈川水系の浸水想定が広い。沿岸の津波、台地縁辺の崖崩れに注意。</t>
        </is>
      </c>
    </row>
    <row r="449">
      <c r="A449" t="inlineStr">
        <is>
          <t>茨城県</t>
        </is>
      </c>
      <c r="B449" t="inlineStr">
        <is>
          <t>五霞町</t>
        </is>
      </c>
      <c r="C449" t="n">
        <v>3449</v>
      </c>
      <c r="D449" t="n">
        <v>7549</v>
      </c>
      <c r="E449" s="6" t="n">
        <v>324.6</v>
      </c>
      <c r="F449" s="7" t="n">
        <v>36.2</v>
      </c>
      <c r="G449" t="n">
        <v>8093</v>
      </c>
      <c r="H449" t="n">
        <v>7549</v>
      </c>
      <c r="I449" t="n">
        <v>6996</v>
      </c>
      <c r="J449" t="n">
        <v>5139</v>
      </c>
      <c r="K449" s="27">
        <f>(H449/D449-1)</f>
        <v/>
      </c>
      <c r="L449" s="27">
        <f>(I449/D449-1)</f>
        <v/>
      </c>
      <c r="M449" s="27">
        <f>(J449/D449-1)</f>
        <v/>
      </c>
      <c r="N449" t="n">
        <v>43.4</v>
      </c>
      <c r="O449" s="28">
        <f>(N449+F449)/2</f>
        <v/>
      </c>
      <c r="P449">
        <f>IF(O449="計算不能","計算不能",IF(O449&gt;=80,5,IF(O449&gt;=60,4,IF(O449&gt;=40,3,IF(O449&gt;=28,2,1)))))</f>
        <v/>
      </c>
      <c r="Q449" t="n">
        <v>897</v>
      </c>
      <c r="R449" t="n">
        <v>0</v>
      </c>
      <c r="S449" s="27">
        <f>R449/Q449</f>
        <v/>
      </c>
      <c r="T449" t="inlineStr">
        <is>
          <t>五霞町は2045年までに人口が約31.9%減と急激な過疎・超高齢化が進行。若年労働世代の流出と自然減が重なり、賃貸事業としての持続性は極めて限定的。</t>
        </is>
      </c>
      <c r="U449" t="inlineStr">
        <is>
          <t>五霞町は人口密度325人/km²と低密度で、賃貸需要は限定的。持ち家比率が高く、駐車場完備の戸建て賃貸が有利。 借家の空室率は約0%と需給は比較的引き締まっている。</t>
        </is>
      </c>
      <c r="V449" t="inlineStr">
        <is>
          <t>五霞町（茨城県）：利根川・那珂川・久慈川水系の浸水想定が広い。沿岸の津波、台地縁辺の崖崩れに注意。</t>
        </is>
      </c>
    </row>
    <row r="450">
      <c r="A450" t="inlineStr">
        <is>
          <t>茨城県</t>
        </is>
      </c>
      <c r="B450" t="inlineStr">
        <is>
          <t>境町</t>
        </is>
      </c>
      <c r="C450" t="n">
        <v>8590</v>
      </c>
      <c r="D450" t="n">
        <v>23551</v>
      </c>
      <c r="E450" s="6" t="n">
        <v>513.5</v>
      </c>
      <c r="F450" s="7" t="n">
        <v>45.3</v>
      </c>
      <c r="G450" t="n">
        <v>24201</v>
      </c>
      <c r="H450" t="n">
        <v>23551</v>
      </c>
      <c r="I450" t="n">
        <v>22598</v>
      </c>
      <c r="J450" t="n">
        <v>19260</v>
      </c>
      <c r="K450" s="27">
        <f>(H450/D450-1)</f>
        <v/>
      </c>
      <c r="L450" s="27">
        <f>(I450/D450-1)</f>
        <v/>
      </c>
      <c r="M450" s="27">
        <f>(J450/D450-1)</f>
        <v/>
      </c>
      <c r="N450" t="n">
        <v>58</v>
      </c>
      <c r="O450" s="28">
        <f>(N450+F450)/2</f>
        <v/>
      </c>
      <c r="P450">
        <f>IF(O450="計算不能","計算不能",IF(O450&gt;=80,5,IF(O450&gt;=60,4,IF(O450&gt;=40,3,IF(O450&gt;=28,2,1)))))</f>
        <v/>
      </c>
      <c r="Q450" t="n">
        <v>2236</v>
      </c>
      <c r="R450" t="n">
        <v>260</v>
      </c>
      <c r="S450" s="27">
        <f>R450/Q450</f>
        <v/>
      </c>
      <c r="T450" t="inlineStr">
        <is>
          <t>境町は2045年までに人口が約18.2%減と明確な減少トレンド。高齢化の進行と世帯数の縮小により、中長期では賃貸需要の構造的縮小に警戒が必要。</t>
        </is>
      </c>
      <c r="U450" t="inlineStr">
        <is>
          <t>境町は人口密度514人/km²で、主要道路沿いや中心市街地に一定の賃貸需要が局在。立地選別が稼働を左右する。 借家の空室率は約12%と需給は比較的引き締まっている。</t>
        </is>
      </c>
      <c r="V450" t="inlineStr">
        <is>
          <t>境町（茨城県）：利根川・那珂川・久慈川水系の浸水想定が広い。沿岸の津波、台地縁辺の崖崩れに注意。</t>
        </is>
      </c>
    </row>
    <row r="451">
      <c r="A451" t="inlineStr">
        <is>
          <t>茨城県</t>
        </is>
      </c>
      <c r="B451" t="inlineStr">
        <is>
          <t>利根町</t>
        </is>
      </c>
      <c r="C451" t="n">
        <v>6500</v>
      </c>
      <c r="D451" t="n">
        <v>14233</v>
      </c>
      <c r="E451" s="6" t="n">
        <v>598.1</v>
      </c>
      <c r="F451" s="7" t="n">
        <v>47</v>
      </c>
      <c r="G451" t="n">
        <v>15340</v>
      </c>
      <c r="H451" t="n">
        <v>14233</v>
      </c>
      <c r="I451" t="n">
        <v>12907</v>
      </c>
      <c r="J451" t="n">
        <v>9041</v>
      </c>
      <c r="K451" s="27">
        <f>(H451/D451-1)</f>
        <v/>
      </c>
      <c r="L451" s="27">
        <f>(I451/D451-1)</f>
        <v/>
      </c>
      <c r="M451" s="27">
        <f>(J451/D451-1)</f>
        <v/>
      </c>
      <c r="N451" t="n">
        <v>41.3</v>
      </c>
      <c r="O451" s="28">
        <f>(N451+F451)/2</f>
        <v/>
      </c>
      <c r="P451">
        <f>IF(O451="計算不能","計算不能",IF(O451&gt;=80,5,IF(O451&gt;=60,4,IF(O451&gt;=40,3,IF(O451&gt;=28,2,1)))))</f>
        <v/>
      </c>
      <c r="Q451" t="n">
        <v>1692</v>
      </c>
      <c r="R451" t="n">
        <v>20</v>
      </c>
      <c r="S451" s="27">
        <f>R451/Q451</f>
        <v/>
      </c>
      <c r="T451" t="inlineStr">
        <is>
          <t>利根町は2045年までに人口が約36.5%減と急激な過疎・超高齢化が進行。若年労働世代の流出と自然減が重なり、賃貸事業としての持続性は極めて限定的。</t>
        </is>
      </c>
      <c r="U451" t="inlineStr">
        <is>
          <t>利根町は人口密度598人/km²で、主要道路沿いや中心市街地に一定の賃貸需要が局在。立地選別が稼働を左右する。 借家の空室率は約1%と需給は比較的引き締まっている。</t>
        </is>
      </c>
      <c r="V451" t="inlineStr">
        <is>
          <t>利根町（茨城県）：利根川・那珂川・久慈川水系の浸水想定が広い。沿岸の津波、台地縁辺の崖崩れに注意。</t>
        </is>
      </c>
    </row>
    <row r="452">
      <c r="A452" t="inlineStr">
        <is>
          <t>栃木県</t>
        </is>
      </c>
      <c r="B452" t="inlineStr">
        <is>
          <t>宇都宮市</t>
        </is>
      </c>
      <c r="C452" t="n">
        <v>236630</v>
      </c>
      <c r="D452" t="n">
        <v>505490</v>
      </c>
      <c r="E452" s="6" t="n">
        <v>1227.6</v>
      </c>
      <c r="F452" s="7" t="n">
        <v>59.6</v>
      </c>
      <c r="G452" t="n">
        <v>518757</v>
      </c>
      <c r="H452" t="n">
        <v>505490</v>
      </c>
      <c r="I452" t="n">
        <v>497708</v>
      </c>
      <c r="J452" t="n">
        <v>467808</v>
      </c>
      <c r="K452" s="27">
        <f>(H452/D452-1)</f>
        <v/>
      </c>
      <c r="L452" s="27">
        <f>(I452/D452-1)</f>
        <v/>
      </c>
      <c r="M452" s="27">
        <f>(J452/D452-1)</f>
        <v/>
      </c>
      <c r="N452" t="n">
        <v>65.2</v>
      </c>
      <c r="O452" s="28">
        <f>(N452+F452)/2</f>
        <v/>
      </c>
      <c r="P452">
        <f>IF(O452="計算不能","計算不能",IF(O452&gt;=80,5,IF(O452&gt;=60,4,IF(O452&gt;=40,3,IF(O452&gt;=28,2,1)))))</f>
        <v/>
      </c>
      <c r="Q452" t="n">
        <v>62800</v>
      </c>
      <c r="R452" t="n">
        <v>27250</v>
      </c>
      <c r="S452" s="27">
        <f>R452/Q452</f>
        <v/>
      </c>
      <c r="T452" t="inlineStr">
        <is>
          <t>宇都宮市は2045年までに人口が約7.5%減と緩やかな減少局面。若年層の都市部流出と高齢化が進むが、当面の賃貸稼働は一定程度維持される見通し。</t>
        </is>
      </c>
      <c r="U452" t="inlineStr">
        <is>
          <t>宇都宮市は人口密度1,228人/km²で、主要道路沿いや中心市街地に一定の賃貸需要が局在。立地選別が稼働を左右する。 借家の空室率は約43%と供給過多気味で、空室長期化リスクに要警戒。</t>
        </is>
      </c>
      <c r="V452" t="inlineStr">
        <is>
          <t>宇都宮市（栃木県）：鬼怒川・思川など利根川水系の氾濫リスク。北部山地の土砂災害、内陸地震に留意。</t>
        </is>
      </c>
    </row>
    <row r="453">
      <c r="A453" t="inlineStr">
        <is>
          <t>栃木県</t>
        </is>
      </c>
      <c r="B453" t="inlineStr">
        <is>
          <t>足利市</t>
        </is>
      </c>
      <c r="C453" t="n">
        <v>59110</v>
      </c>
      <c r="D453" t="n">
        <v>138002</v>
      </c>
      <c r="E453" s="6" t="n">
        <v>764.4</v>
      </c>
      <c r="F453" s="7" t="n">
        <v>50.3</v>
      </c>
      <c r="G453" t="n">
        <v>144746</v>
      </c>
      <c r="H453" t="n">
        <v>138002</v>
      </c>
      <c r="I453" t="n">
        <v>130736</v>
      </c>
      <c r="J453" t="n">
        <v>107508</v>
      </c>
      <c r="K453" s="27">
        <f>(H453/D453-1)</f>
        <v/>
      </c>
      <c r="L453" s="27">
        <f>(I453/D453-1)</f>
        <v/>
      </c>
      <c r="M453" s="27">
        <f>(J453/D453-1)</f>
        <v/>
      </c>
      <c r="N453" t="n">
        <v>51.6</v>
      </c>
      <c r="O453" s="28">
        <f>(N453+F453)/2</f>
        <v/>
      </c>
      <c r="P453">
        <f>IF(O453="計算不能","計算不能",IF(O453&gt;=80,5,IF(O453&gt;=60,4,IF(O453&gt;=40,3,IF(O453&gt;=28,2,1)))))</f>
        <v/>
      </c>
      <c r="Q453" t="n">
        <v>15687</v>
      </c>
      <c r="R453" t="n">
        <v>8480</v>
      </c>
      <c r="S453" s="27">
        <f>R453/Q453</f>
        <v/>
      </c>
      <c r="T453" t="inlineStr">
        <is>
          <t>足利市は2045年までに人口が約22.1%減と明確な減少トレンド。高齢化の進行と世帯数の縮小により、中長期では賃貸需要の構造的縮小に警戒が必要。</t>
        </is>
      </c>
      <c r="U453" t="inlineStr">
        <is>
          <t>足利市は人口密度764人/km²で、主要道路沿いや中心市街地に一定の賃貸需要が局在。立地選別が稼働を左右する。 借家の空室率は約54%と供給過多気味で、空室長期化リスクに要警戒。</t>
        </is>
      </c>
      <c r="V453" t="inlineStr">
        <is>
          <t>足利市（栃木県）：鬼怒川・思川など利根川水系の氾濫リスク。北部山地の土砂災害、内陸地震に留意。</t>
        </is>
      </c>
    </row>
    <row r="454">
      <c r="A454" t="inlineStr">
        <is>
          <t>栃木県</t>
        </is>
      </c>
      <c r="B454" t="inlineStr">
        <is>
          <t>栃木市</t>
        </is>
      </c>
      <c r="C454" t="n">
        <v>61960</v>
      </c>
      <c r="D454" t="n">
        <v>149436</v>
      </c>
      <c r="E454" s="6" t="n">
        <v>447.4</v>
      </c>
      <c r="F454" s="7" t="n">
        <v>42.4</v>
      </c>
      <c r="G454" t="n">
        <v>155549</v>
      </c>
      <c r="H454" t="n">
        <v>149436</v>
      </c>
      <c r="I454" t="n">
        <v>142727</v>
      </c>
      <c r="J454" t="n">
        <v>120401</v>
      </c>
      <c r="K454" s="27">
        <f>(H454/D454-1)</f>
        <v/>
      </c>
      <c r="L454" s="27">
        <f>(I454/D454-1)</f>
        <v/>
      </c>
      <c r="M454" s="27">
        <f>(J454/D454-1)</f>
        <v/>
      </c>
      <c r="N454" t="n">
        <v>54.8</v>
      </c>
      <c r="O454" s="28">
        <f>(N454+F454)/2</f>
        <v/>
      </c>
      <c r="P454">
        <f>IF(O454="計算不能","計算不能",IF(O454&gt;=80,5,IF(O454&gt;=60,4,IF(O454&gt;=40,3,IF(O454&gt;=28,2,1)))))</f>
        <v/>
      </c>
      <c r="Q454" t="n">
        <v>16443</v>
      </c>
      <c r="R454" t="n">
        <v>4100</v>
      </c>
      <c r="S454" s="27">
        <f>R454/Q454</f>
        <v/>
      </c>
      <c r="T454" t="inlineStr">
        <is>
          <t>栃木市は2045年までに人口が約19.4%減と明確な減少トレンド。高齢化の進行と世帯数の縮小により、中長期では賃貸需要の構造的縮小に警戒が必要。</t>
        </is>
      </c>
      <c r="U454" t="inlineStr">
        <is>
          <t>栃木市は人口密度447人/km²と低密度で、賃貸需要は限定的。持ち家比率が高く、駐車場完備の戸建て賃貸が有利。 借家の空室率は約25%とやや高めで、競合との差別化が必要。</t>
        </is>
      </c>
      <c r="V454" t="inlineStr">
        <is>
          <t>栃木市（栃木県）：鬼怒川・思川など利根川水系の氾濫リスク。北部山地の土砂災害、内陸地震に留意。</t>
        </is>
      </c>
    </row>
    <row r="455">
      <c r="A455" t="inlineStr">
        <is>
          <t>栃木県</t>
        </is>
      </c>
      <c r="B455" t="inlineStr">
        <is>
          <t>佐野市</t>
        </is>
      </c>
      <c r="C455" t="n">
        <v>47790</v>
      </c>
      <c r="D455" t="n">
        <v>112263</v>
      </c>
      <c r="E455" s="6" t="n">
        <v>308.4</v>
      </c>
      <c r="F455" s="7" t="n">
        <v>35.4</v>
      </c>
      <c r="G455" t="n">
        <v>116228</v>
      </c>
      <c r="H455" t="n">
        <v>112263</v>
      </c>
      <c r="I455" t="n">
        <v>107893</v>
      </c>
      <c r="J455" t="n">
        <v>93110</v>
      </c>
      <c r="K455" s="27">
        <f>(H455/D455-1)</f>
        <v/>
      </c>
      <c r="L455" s="27">
        <f>(I455/D455-1)</f>
        <v/>
      </c>
      <c r="M455" s="27">
        <f>(J455/D455-1)</f>
        <v/>
      </c>
      <c r="N455" t="n">
        <v>57.3</v>
      </c>
      <c r="O455" s="28">
        <f>(N455+F455)/2</f>
        <v/>
      </c>
      <c r="P455">
        <f>IF(O455="計算不能","計算不能",IF(O455&gt;=80,5,IF(O455&gt;=60,4,IF(O455&gt;=40,3,IF(O455&gt;=28,2,1)))))</f>
        <v/>
      </c>
      <c r="Q455" t="n">
        <v>12683</v>
      </c>
      <c r="R455" t="n">
        <v>5170</v>
      </c>
      <c r="S455" s="27">
        <f>R455/Q455</f>
        <v/>
      </c>
      <c r="T455" t="inlineStr">
        <is>
          <t>佐野市は2045年までに人口が約17.1%減と明確な減少トレンド。高齢化の進行と世帯数の縮小により、中長期では賃貸需要の構造的縮小に警戒が必要。</t>
        </is>
      </c>
      <c r="U455" t="inlineStr">
        <is>
          <t>佐野市は人口密度308人/km²と低密度で、賃貸需要は限定的。持ち家比率が高く、駐車場完備の戸建て賃貸が有利。 借家の空室率は約41%と供給過多気味で、空室長期化リスクに要警戒。</t>
        </is>
      </c>
      <c r="V455" t="inlineStr">
        <is>
          <t>佐野市（栃木県）：鬼怒川・思川など利根川水系の氾濫リスク。北部山地の土砂災害、内陸地震に留意。</t>
        </is>
      </c>
    </row>
    <row r="456">
      <c r="A456" t="inlineStr">
        <is>
          <t>栃木県</t>
        </is>
      </c>
      <c r="B456" t="inlineStr">
        <is>
          <t>鹿沼市</t>
        </is>
      </c>
      <c r="C456" t="n">
        <v>36690</v>
      </c>
      <c r="D456" t="n">
        <v>89631</v>
      </c>
      <c r="E456" s="6" t="n">
        <v>182.1</v>
      </c>
      <c r="F456" s="7" t="n">
        <v>28.2</v>
      </c>
      <c r="G456" t="n">
        <v>94033</v>
      </c>
      <c r="H456" t="n">
        <v>89631</v>
      </c>
      <c r="I456" t="n">
        <v>84972</v>
      </c>
      <c r="J456" t="n">
        <v>69878</v>
      </c>
      <c r="K456" s="27">
        <f>(H456/D456-1)</f>
        <v/>
      </c>
      <c r="L456" s="27">
        <f>(I456/D456-1)</f>
        <v/>
      </c>
      <c r="M456" s="27">
        <f>(J456/D456-1)</f>
        <v/>
      </c>
      <c r="N456" t="n">
        <v>51.7</v>
      </c>
      <c r="O456" s="28">
        <f>(N456+F456)/2</f>
        <v/>
      </c>
      <c r="P456">
        <f>IF(O456="計算不能","計算不能",IF(O456&gt;=80,5,IF(O456&gt;=60,4,IF(O456&gt;=40,3,IF(O456&gt;=28,2,1)))))</f>
        <v/>
      </c>
      <c r="Q456" t="n">
        <v>9737</v>
      </c>
      <c r="R456" t="n">
        <v>2040</v>
      </c>
      <c r="S456" s="27">
        <f>R456/Q456</f>
        <v/>
      </c>
      <c r="T456" t="inlineStr">
        <is>
          <t>鹿沼市は2045年までに人口が約22.0%減と明確な減少トレンド。高齢化の進行と世帯数の縮小により、中長期では賃貸需要の構造的縮小に警戒が必要。</t>
        </is>
      </c>
      <c r="U456" t="inlineStr">
        <is>
          <t>鹿沼市は人口密度182人/km²と過疎的水準で、民間賃貸の新規需要は薄い。実需に裏付けられた格安戸建ての指値取得のみが現実的。 借家の空室率は約21%とやや高めで、競合との差別化が必要。</t>
        </is>
      </c>
      <c r="V456" t="inlineStr">
        <is>
          <t>鹿沼市（栃木県）：鬼怒川・思川など利根川水系の氾濫リスク。北部山地の土砂災害、内陸地震に留意。</t>
        </is>
      </c>
    </row>
    <row r="457">
      <c r="A457" t="inlineStr">
        <is>
          <t>栃木県</t>
        </is>
      </c>
      <c r="B457" t="inlineStr">
        <is>
          <t>日光市</t>
        </is>
      </c>
      <c r="C457" t="n">
        <v>31840</v>
      </c>
      <c r="D457" t="n">
        <v>71148</v>
      </c>
      <c r="E457" s="6" t="n">
        <v>49.4</v>
      </c>
      <c r="F457" s="7" t="n">
        <v>14.9</v>
      </c>
      <c r="G457" t="n">
        <v>77661</v>
      </c>
      <c r="H457" t="n">
        <v>71148</v>
      </c>
      <c r="I457" t="n">
        <v>65396</v>
      </c>
      <c r="J457" t="n">
        <v>48778</v>
      </c>
      <c r="K457" s="27">
        <f>(H457/D457-1)</f>
        <v/>
      </c>
      <c r="L457" s="27">
        <f>(I457/D457-1)</f>
        <v/>
      </c>
      <c r="M457" s="27">
        <f>(J457/D457-1)</f>
        <v/>
      </c>
      <c r="N457" t="n">
        <v>41.8</v>
      </c>
      <c r="O457" s="28">
        <f>(N457+F457)/2</f>
        <v/>
      </c>
      <c r="P457">
        <f>IF(O457="計算不能","計算不能",IF(O457&gt;=80,5,IF(O457&gt;=60,4,IF(O457&gt;=40,3,IF(O457&gt;=28,2,1)))))</f>
        <v/>
      </c>
      <c r="Q457" t="n">
        <v>8450</v>
      </c>
      <c r="R457" t="n">
        <v>2880</v>
      </c>
      <c r="S457" s="27">
        <f>R457/Q457</f>
        <v/>
      </c>
      <c r="T457" t="inlineStr">
        <is>
          <t>日光市は2045年までに人口が約31.4%減と急激な過疎・超高齢化が進行。若年労働世代の流出と自然減が重なり、賃貸事業としての持続性は極めて限定的。</t>
        </is>
      </c>
      <c r="U457" t="inlineStr">
        <is>
          <t>日光市は人口密度49人/km²と過疎的水準で、民間賃貸の新規需要は薄い。実需に裏付けられた格安戸建ての指値取得のみが現実的。 借家の空室率は約34%と供給過多気味で、空室長期化リスクに要警戒。</t>
        </is>
      </c>
      <c r="V457" t="inlineStr">
        <is>
          <t>日光市（栃木県）：鬼怒川・思川など利根川水系の氾濫リスク。北部山地の土砂災害、内陸地震に留意。</t>
        </is>
      </c>
    </row>
    <row r="458">
      <c r="A458" t="inlineStr">
        <is>
          <t>栃木県</t>
        </is>
      </c>
      <c r="B458" t="inlineStr">
        <is>
          <t>小山市</t>
        </is>
      </c>
      <c r="C458" t="n">
        <v>72020</v>
      </c>
      <c r="D458" t="n">
        <v>166168</v>
      </c>
      <c r="E458" s="6" t="n">
        <v>963.8</v>
      </c>
      <c r="F458" s="7" t="n">
        <v>54.3</v>
      </c>
      <c r="G458" t="n">
        <v>166666</v>
      </c>
      <c r="H458" t="n">
        <v>166168</v>
      </c>
      <c r="I458" t="n">
        <v>164441</v>
      </c>
      <c r="J458" t="n">
        <v>154463</v>
      </c>
      <c r="K458" s="27">
        <f>(H458/D458-1)</f>
        <v/>
      </c>
      <c r="L458" s="27">
        <f>(I458/D458-1)</f>
        <v/>
      </c>
      <c r="M458" s="27">
        <f>(J458/D458-1)</f>
        <v/>
      </c>
      <c r="N458" t="n">
        <v>70.2</v>
      </c>
      <c r="O458" s="28">
        <f>(N458+F458)/2</f>
        <v/>
      </c>
      <c r="P458">
        <f>IF(O458="計算不能","計算不能",IF(O458&gt;=80,5,IF(O458&gt;=60,4,IF(O458&gt;=40,3,IF(O458&gt;=28,2,1)))))</f>
        <v/>
      </c>
      <c r="Q458" t="n">
        <v>19113</v>
      </c>
      <c r="R458" t="n">
        <v>7050</v>
      </c>
      <c r="S458" s="27">
        <f>R458/Q458</f>
        <v/>
      </c>
      <c r="T458" t="inlineStr">
        <is>
          <t>小山市は2045年までに人口が約7.0%減と緩やかな減少局面。若年層の都市部流出と高齢化が進むが、当面の賃貸稼働は一定程度維持される見通し。</t>
        </is>
      </c>
      <c r="U458" t="inlineStr">
        <is>
          <t>小山市は人口密度964人/km²で、主要道路沿いや中心市街地に一定の賃貸需要が局在。立地選別が稼働を左右する。 借家の空室率は約37%と供給過多気味で、空室長期化リスクに要警戒。</t>
        </is>
      </c>
      <c r="V458" t="inlineStr">
        <is>
          <t>小山市（栃木県）：鬼怒川・思川など利根川水系の氾濫リスク。北部山地の土砂災害、内陸地震に留意。</t>
        </is>
      </c>
    </row>
    <row r="459">
      <c r="A459" t="inlineStr">
        <is>
          <t>栃木県</t>
        </is>
      </c>
      <c r="B459" t="inlineStr">
        <is>
          <t>真岡市</t>
        </is>
      </c>
      <c r="C459" t="n">
        <v>30120</v>
      </c>
      <c r="D459" t="n">
        <v>75587</v>
      </c>
      <c r="E459" s="6" t="n">
        <v>453.1</v>
      </c>
      <c r="F459" s="7" t="n">
        <v>42.7</v>
      </c>
      <c r="G459" t="n">
        <v>78190</v>
      </c>
      <c r="H459" t="n">
        <v>75587</v>
      </c>
      <c r="I459" t="n">
        <v>72697</v>
      </c>
      <c r="J459" t="n">
        <v>62984</v>
      </c>
      <c r="K459" s="27">
        <f>(H459/D459-1)</f>
        <v/>
      </c>
      <c r="L459" s="27">
        <f>(I459/D459-1)</f>
        <v/>
      </c>
      <c r="M459" s="27">
        <f>(J459/D459-1)</f>
        <v/>
      </c>
      <c r="N459" t="n">
        <v>57.7</v>
      </c>
      <c r="O459" s="28">
        <f>(N459+F459)/2</f>
        <v/>
      </c>
      <c r="P459">
        <f>IF(O459="計算不能","計算不能",IF(O459&gt;=80,5,IF(O459&gt;=60,4,IF(O459&gt;=40,3,IF(O459&gt;=28,2,1)))))</f>
        <v/>
      </c>
      <c r="Q459" t="n">
        <v>7993</v>
      </c>
      <c r="R459" t="n">
        <v>3030</v>
      </c>
      <c r="S459" s="27">
        <f>R459/Q459</f>
        <v/>
      </c>
      <c r="T459" t="inlineStr">
        <is>
          <t>真岡市は2045年までに人口が約16.7%減と明確な減少トレンド。高齢化の進行と世帯数の縮小により、中長期では賃貸需要の構造的縮小に警戒が必要。</t>
        </is>
      </c>
      <c r="U459" t="inlineStr">
        <is>
          <t>真岡市は人口密度453人/km²と低密度で、賃貸需要は限定的。持ち家比率が高く、駐車場完備の戸建て賃貸が有利。 借家の空室率は約38%と供給過多気味で、空室長期化リスクに要警戒。</t>
        </is>
      </c>
      <c r="V459" t="inlineStr">
        <is>
          <t>真岡市（栃木県）：鬼怒川・思川など利根川水系の氾濫リスク。北部山地の土砂災害、内陸地震に留意。</t>
        </is>
      </c>
    </row>
    <row r="460">
      <c r="A460" t="inlineStr">
        <is>
          <t>栃木県</t>
        </is>
      </c>
      <c r="B460" t="inlineStr">
        <is>
          <t>大田原市</t>
        </is>
      </c>
      <c r="C460" t="n">
        <v>30230</v>
      </c>
      <c r="D460" t="n">
        <v>69328</v>
      </c>
      <c r="E460" s="6" t="n">
        <v>193.1</v>
      </c>
      <c r="F460" s="7" t="n">
        <v>29.3</v>
      </c>
      <c r="G460" t="n">
        <v>72087</v>
      </c>
      <c r="H460" t="n">
        <v>69328</v>
      </c>
      <c r="I460" t="n">
        <v>66216</v>
      </c>
      <c r="J460" t="n">
        <v>55964</v>
      </c>
      <c r="K460" s="27">
        <f>(H460/D460-1)</f>
        <v/>
      </c>
      <c r="L460" s="27">
        <f>(I460/D460-1)</f>
        <v/>
      </c>
      <c r="M460" s="27">
        <f>(J460/D460-1)</f>
        <v/>
      </c>
      <c r="N460" t="n">
        <v>55.1</v>
      </c>
      <c r="O460" s="28">
        <f>(N460+F460)/2</f>
        <v/>
      </c>
      <c r="P460">
        <f>IF(O460="計算不能","計算不能",IF(O460&gt;=80,5,IF(O460&gt;=60,4,IF(O460&gt;=40,3,IF(O460&gt;=28,2,1)))))</f>
        <v/>
      </c>
      <c r="Q460" t="n">
        <v>8022</v>
      </c>
      <c r="R460" t="n">
        <v>2590</v>
      </c>
      <c r="S460" s="27">
        <f>R460/Q460</f>
        <v/>
      </c>
      <c r="T460" t="inlineStr">
        <is>
          <t>大田原市は2045年までに人口が約19.3%減と明確な減少トレンド。高齢化の進行と世帯数の縮小により、中長期では賃貸需要の構造的縮小に警戒が必要。</t>
        </is>
      </c>
      <c r="U460" t="inlineStr">
        <is>
          <t>大田原市は人口密度193人/km²と過疎的水準で、民間賃貸の新規需要は薄い。実需に裏付けられた格安戸建ての指値取得のみが現実的。 借家の空室率は約32%と供給過多気味で、空室長期化リスクに要警戒。</t>
        </is>
      </c>
      <c r="V460" t="inlineStr">
        <is>
          <t>大田原市（栃木県）：鬼怒川・思川など利根川水系の氾濫リスク。北部山地の土砂災害、内陸地震に留意。</t>
        </is>
      </c>
    </row>
    <row r="461">
      <c r="A461" t="inlineStr">
        <is>
          <t>栃木県</t>
        </is>
      </c>
      <c r="B461" t="inlineStr">
        <is>
          <t>矢板市</t>
        </is>
      </c>
      <c r="C461" t="n">
        <v>11810</v>
      </c>
      <c r="D461" t="n">
        <v>29280</v>
      </c>
      <c r="E461" s="6" t="n">
        <v>169.4</v>
      </c>
      <c r="F461" s="7" t="n">
        <v>26.9</v>
      </c>
      <c r="G461" t="n">
        <v>31165</v>
      </c>
      <c r="H461" t="n">
        <v>29280</v>
      </c>
      <c r="I461" t="n">
        <v>27363</v>
      </c>
      <c r="J461" t="n">
        <v>21275</v>
      </c>
      <c r="K461" s="27">
        <f>(H461/D461-1)</f>
        <v/>
      </c>
      <c r="L461" s="27">
        <f>(I461/D461-1)</f>
        <v/>
      </c>
      <c r="M461" s="27">
        <f>(J461/D461-1)</f>
        <v/>
      </c>
      <c r="N461" t="n">
        <v>45.8</v>
      </c>
      <c r="O461" s="28">
        <f>(N461+F461)/2</f>
        <v/>
      </c>
      <c r="P461">
        <f>IF(O461="計算不能","計算不能",IF(O461&gt;=80,5,IF(O461&gt;=60,4,IF(O461&gt;=40,3,IF(O461&gt;=28,2,1)))))</f>
        <v/>
      </c>
      <c r="Q461" t="n">
        <v>3134</v>
      </c>
      <c r="R461" t="n">
        <v>1530</v>
      </c>
      <c r="S461" s="27">
        <f>R461/Q461</f>
        <v/>
      </c>
      <c r="T461" t="inlineStr">
        <is>
          <t>矢板市は2045年までに人口が約27.3%減と明確な減少トレンド。高齢化の進行と世帯数の縮小により、中長期では賃貸需要の構造的縮小に警戒が必要。</t>
        </is>
      </c>
      <c r="U461" t="inlineStr">
        <is>
          <t>矢板市は人口密度169人/km²と過疎的水準で、民間賃貸の新規需要は薄い。実需に裏付けられた格安戸建ての指値取得のみが現実的。 借家の空室率は約49%と供給過多気味で、空室長期化リスクに要警戒。</t>
        </is>
      </c>
      <c r="V461" t="inlineStr">
        <is>
          <t>矢板市（栃木県）：鬼怒川・思川など利根川水系の氾濫リスク。北部山地の土砂災害、内陸地震に留意。</t>
        </is>
      </c>
    </row>
    <row r="462">
      <c r="A462" t="inlineStr">
        <is>
          <t>栃木県</t>
        </is>
      </c>
      <c r="B462" t="inlineStr">
        <is>
          <t>那須塩原市</t>
        </is>
      </c>
      <c r="C462" t="n">
        <v>50520</v>
      </c>
      <c r="D462" t="n">
        <v>113063</v>
      </c>
      <c r="E462" s="6" t="n">
        <v>189.9</v>
      </c>
      <c r="F462" s="7" t="n">
        <v>29</v>
      </c>
      <c r="G462" t="n">
        <v>115210</v>
      </c>
      <c r="H462" t="n">
        <v>113063</v>
      </c>
      <c r="I462" t="n">
        <v>110328</v>
      </c>
      <c r="J462" t="n">
        <v>99584</v>
      </c>
      <c r="K462" s="27">
        <f>(H462/D462-1)</f>
        <v/>
      </c>
      <c r="L462" s="27">
        <f>(I462/D462-1)</f>
        <v/>
      </c>
      <c r="M462" s="27">
        <f>(J462/D462-1)</f>
        <v/>
      </c>
      <c r="N462" t="n">
        <v>63.8</v>
      </c>
      <c r="O462" s="28">
        <f>(N462+F462)/2</f>
        <v/>
      </c>
      <c r="P462">
        <f>IF(O462="計算不能","計算不能",IF(O462&gt;=80,5,IF(O462&gt;=60,4,IF(O462&gt;=40,3,IF(O462&gt;=28,2,1)))))</f>
        <v/>
      </c>
      <c r="Q462" t="n">
        <v>13407</v>
      </c>
      <c r="R462" t="n">
        <v>3400</v>
      </c>
      <c r="S462" s="27">
        <f>R462/Q462</f>
        <v/>
      </c>
      <c r="T462" t="inlineStr">
        <is>
          <t>那須塩原市は2045年までに人口が約11.9%減と緩やかな減少局面。若年層の都市部流出と高齢化が進むが、当面の賃貸稼働は一定程度維持される見通し。</t>
        </is>
      </c>
      <c r="U462" t="inlineStr">
        <is>
          <t>那須塩原市は人口密度190人/km²と過疎的水準で、民間賃貸の新規需要は薄い。実需に裏付けられた格安戸建ての指値取得のみが現実的。 借家の空室率は約25%と供給過多気味で、空室長期化リスクに要警戒。</t>
        </is>
      </c>
      <c r="V462" t="inlineStr">
        <is>
          <t>那須塩原市（栃木県）：鬼怒川・思川など利根川水系の氾濫リスク。北部山地の土砂災害、内陸地震に留意。</t>
        </is>
      </c>
    </row>
    <row r="463">
      <c r="A463" t="inlineStr">
        <is>
          <t>栃木県</t>
        </is>
      </c>
      <c r="B463" t="inlineStr">
        <is>
          <t>さくら市</t>
        </is>
      </c>
      <c r="C463" t="n">
        <v>16730</v>
      </c>
      <c r="D463" t="n">
        <v>43748</v>
      </c>
      <c r="E463" s="6" t="n">
        <v>351.8</v>
      </c>
      <c r="F463" s="7" t="n">
        <v>37.6</v>
      </c>
      <c r="G463" t="n">
        <v>44513</v>
      </c>
      <c r="H463" t="n">
        <v>43748</v>
      </c>
      <c r="I463" t="n">
        <v>42712</v>
      </c>
      <c r="J463" t="n">
        <v>39453</v>
      </c>
      <c r="K463" s="27">
        <f>(H463/D463-1)</f>
        <v/>
      </c>
      <c r="L463" s="27">
        <f>(I463/D463-1)</f>
        <v/>
      </c>
      <c r="M463" s="27">
        <f>(J463/D463-1)</f>
        <v/>
      </c>
      <c r="N463" t="n">
        <v>65.09999999999999</v>
      </c>
      <c r="O463" s="28">
        <f>(N463+F463)/2</f>
        <v/>
      </c>
      <c r="P463">
        <f>IF(O463="計算不能","計算不能",IF(O463&gt;=80,5,IF(O463&gt;=60,4,IF(O463&gt;=40,3,IF(O463&gt;=28,2,1)))))</f>
        <v/>
      </c>
      <c r="Q463" t="n">
        <v>4440</v>
      </c>
      <c r="R463" t="n">
        <v>850</v>
      </c>
      <c r="S463" s="27">
        <f>R463/Q463</f>
        <v/>
      </c>
      <c r="T463" t="inlineStr">
        <is>
          <t>さくら市は2045年までに人口が約9.8%減と緩やかな減少局面。若年層の都市部流出と高齢化が進むが、当面の賃貸稼働は一定程度維持される見通し。</t>
        </is>
      </c>
      <c r="U463" t="inlineStr">
        <is>
          <t>さくら市は人口密度352人/km²と低密度で、賃貸需要は限定的。持ち家比率が高く、駐車場完備の戸建て賃貸が有利。 借家の空室率は約19%とやや高めで、競合との差別化が必要。</t>
        </is>
      </c>
      <c r="V463" t="inlineStr">
        <is>
          <t>さくら市（栃木県）：鬼怒川・思川など利根川水系の氾濫リスク。北部山地の土砂災害、内陸地震に留意。</t>
        </is>
      </c>
    </row>
    <row r="464">
      <c r="A464" t="inlineStr">
        <is>
          <t>栃木県</t>
        </is>
      </c>
      <c r="B464" t="inlineStr">
        <is>
          <t>那須烏山市</t>
        </is>
      </c>
      <c r="C464" t="n">
        <v>8920</v>
      </c>
      <c r="D464" t="n">
        <v>22419</v>
      </c>
      <c r="E464" s="6" t="n">
        <v>127.1</v>
      </c>
      <c r="F464" s="7" t="n">
        <v>22.7</v>
      </c>
      <c r="G464" t="n">
        <v>24875</v>
      </c>
      <c r="H464" t="n">
        <v>22419</v>
      </c>
      <c r="I464" t="n">
        <v>20432</v>
      </c>
      <c r="J464" t="n">
        <v>14731</v>
      </c>
      <c r="K464" s="27">
        <f>(H464/D464-1)</f>
        <v/>
      </c>
      <c r="L464" s="27">
        <f>(I464/D464-1)</f>
        <v/>
      </c>
      <c r="M464" s="27">
        <f>(J464/D464-1)</f>
        <v/>
      </c>
      <c r="N464" t="n">
        <v>39.6</v>
      </c>
      <c r="O464" s="28">
        <f>(N464+F464)/2</f>
        <v/>
      </c>
      <c r="P464">
        <f>IF(O464="計算不能","計算不能",IF(O464&gt;=80,5,IF(O464&gt;=60,4,IF(O464&gt;=40,3,IF(O464&gt;=28,2,1)))))</f>
        <v/>
      </c>
      <c r="Q464" t="n">
        <v>2367</v>
      </c>
      <c r="R464" t="n">
        <v>430</v>
      </c>
      <c r="S464" s="27">
        <f>R464/Q464</f>
        <v/>
      </c>
      <c r="T464" t="inlineStr">
        <is>
          <t>那須烏山市は2045年までに人口が約34.3%減と急激な過疎・超高齢化が進行。若年労働世代の流出と自然減が重なり、賃貸事業としての持続性は極めて限定的。</t>
        </is>
      </c>
      <c r="U464" t="inlineStr">
        <is>
          <t>那須烏山市は人口密度127人/km²と過疎的水準で、民間賃貸の新規需要は薄い。実需に裏付けられた格安戸建ての指値取得のみが現実的。 借家の空室率は約18%とやや高めで、競合との差別化が必要。</t>
        </is>
      </c>
      <c r="V464" t="inlineStr">
        <is>
          <t>那須烏山市（栃木県）：鬼怒川・思川など利根川水系の氾濫リスク。北部山地の土砂災害、内陸地震に留意。</t>
        </is>
      </c>
    </row>
    <row r="465">
      <c r="A465" t="inlineStr">
        <is>
          <t>栃木県</t>
        </is>
      </c>
      <c r="B465" t="inlineStr">
        <is>
          <t>下野市</t>
        </is>
      </c>
      <c r="C465" t="n">
        <v>24660</v>
      </c>
      <c r="D465" t="n">
        <v>58521</v>
      </c>
      <c r="E465" s="6" t="n">
        <v>790.9</v>
      </c>
      <c r="F465" s="7" t="n">
        <v>50.8</v>
      </c>
      <c r="G465" t="n">
        <v>59507</v>
      </c>
      <c r="H465" t="n">
        <v>58521</v>
      </c>
      <c r="I465" t="n">
        <v>57051</v>
      </c>
      <c r="J465" t="n">
        <v>51201</v>
      </c>
      <c r="K465" s="27">
        <f>(H465/D465-1)</f>
        <v/>
      </c>
      <c r="L465" s="27">
        <f>(I465/D465-1)</f>
        <v/>
      </c>
      <c r="M465" s="27">
        <f>(J465/D465-1)</f>
        <v/>
      </c>
      <c r="N465" t="n">
        <v>63.8</v>
      </c>
      <c r="O465" s="28">
        <f>(N465+F465)/2</f>
        <v/>
      </c>
      <c r="P465">
        <f>IF(O465="計算不能","計算不能",IF(O465&gt;=80,5,IF(O465&gt;=60,4,IF(O465&gt;=40,3,IF(O465&gt;=28,2,1)))))</f>
        <v/>
      </c>
      <c r="Q465" t="n">
        <v>6544</v>
      </c>
      <c r="R465" t="n">
        <v>2060</v>
      </c>
      <c r="S465" s="27">
        <f>R465/Q465</f>
        <v/>
      </c>
      <c r="T465" t="inlineStr">
        <is>
          <t>下野市は2045年までに人口が約12.5%減と緩やかな減少局面。若年層の都市部流出と高齢化が進むが、当面の賃貸稼働は一定程度維持される見通し。</t>
        </is>
      </c>
      <c r="U465" t="inlineStr">
        <is>
          <t>下野市は人口密度791人/km²で、主要道路沿いや中心市街地に一定の賃貸需要が局在。立地選別が稼働を左右する。 借家の空室率は約31%と供給過多気味で、空室長期化リスクに要警戒。</t>
        </is>
      </c>
      <c r="V465" t="inlineStr">
        <is>
          <t>下野市（栃木県）：鬼怒川・思川など利根川水系の氾濫リスク。北部山地の土砂災害、内陸地震に留意。</t>
        </is>
      </c>
    </row>
    <row r="466">
      <c r="A466" t="inlineStr">
        <is>
          <t>栃木県</t>
        </is>
      </c>
      <c r="B466" t="inlineStr">
        <is>
          <t>上三川町</t>
        </is>
      </c>
      <c r="C466" t="n">
        <v>11320</v>
      </c>
      <c r="D466" t="n">
        <v>30018</v>
      </c>
      <c r="E466" s="6" t="n">
        <v>547</v>
      </c>
      <c r="F466" s="7" t="n">
        <v>45.9</v>
      </c>
      <c r="G466" t="n">
        <v>30806</v>
      </c>
      <c r="H466" t="n">
        <v>30018</v>
      </c>
      <c r="I466" t="n">
        <v>29037</v>
      </c>
      <c r="J466" t="n">
        <v>25424</v>
      </c>
      <c r="K466" s="27">
        <f>(H466/D466-1)</f>
        <v/>
      </c>
      <c r="L466" s="27">
        <f>(I466/D466-1)</f>
        <v/>
      </c>
      <c r="M466" s="27">
        <f>(J466/D466-1)</f>
        <v/>
      </c>
      <c r="N466" t="n">
        <v>60.2</v>
      </c>
      <c r="O466" s="28">
        <f>(N466+F466)/2</f>
        <v/>
      </c>
      <c r="P466">
        <f>IF(O466="計算不能","計算不能",IF(O466&gt;=80,5,IF(O466&gt;=60,4,IF(O466&gt;=40,3,IF(O466&gt;=28,2,1)))))</f>
        <v/>
      </c>
      <c r="Q466" t="n">
        <v>3004</v>
      </c>
      <c r="R466" t="n">
        <v>460</v>
      </c>
      <c r="S466" s="27">
        <f>R466/Q466</f>
        <v/>
      </c>
      <c r="T466" t="inlineStr">
        <is>
          <t>上三川町は2045年までに人口が約15.3%減と明確な減少トレンド。高齢化の進行と世帯数の縮小により、中長期では賃貸需要の構造的縮小に警戒が必要。</t>
        </is>
      </c>
      <c r="U466" t="inlineStr">
        <is>
          <t>上三川町は人口密度547人/km²で、主要道路沿いや中心市街地に一定の賃貸需要が局在。立地選別が稼働を左右する。 借家の空室率は約15%と需給は比較的引き締まっている。</t>
        </is>
      </c>
      <c r="V466" t="inlineStr">
        <is>
          <t>上三川町（栃木県）：鬼怒川・思川など利根川水系の氾濫リスク。北部山地の土砂災害、内陸地震に留意。</t>
        </is>
      </c>
    </row>
    <row r="467">
      <c r="A467" t="inlineStr">
        <is>
          <t>栃木県</t>
        </is>
      </c>
      <c r="B467" t="inlineStr">
        <is>
          <t>益子町</t>
        </is>
      </c>
      <c r="C467" t="n">
        <v>7450</v>
      </c>
      <c r="D467" t="n">
        <v>20319</v>
      </c>
      <c r="E467" s="6" t="n">
        <v>225.1</v>
      </c>
      <c r="F467" s="7" t="n">
        <v>31.3</v>
      </c>
      <c r="G467" t="n">
        <v>21898</v>
      </c>
      <c r="H467" t="n">
        <v>20319</v>
      </c>
      <c r="I467" t="n">
        <v>18991</v>
      </c>
      <c r="J467" t="n">
        <v>14688</v>
      </c>
      <c r="K467" s="27">
        <f>(H467/D467-1)</f>
        <v/>
      </c>
      <c r="L467" s="27">
        <f>(I467/D467-1)</f>
        <v/>
      </c>
      <c r="M467" s="27">
        <f>(J467/D467-1)</f>
        <v/>
      </c>
      <c r="N467" t="n">
        <v>44.2</v>
      </c>
      <c r="O467" s="28">
        <f>(N467+F467)/2</f>
        <v/>
      </c>
      <c r="P467">
        <f>IF(O467="計算不能","計算不能",IF(O467&gt;=80,5,IF(O467&gt;=60,4,IF(O467&gt;=40,3,IF(O467&gt;=28,2,1)))))</f>
        <v/>
      </c>
      <c r="Q467" t="n">
        <v>1977</v>
      </c>
      <c r="R467" t="n">
        <v>180</v>
      </c>
      <c r="S467" s="27">
        <f>R467/Q467</f>
        <v/>
      </c>
      <c r="T467" t="inlineStr">
        <is>
          <t>益子町は2045年までに人口が約27.7%減と明確な減少トレンド。高齢化の進行と世帯数の縮小により、中長期では賃貸需要の構造的縮小に警戒が必要。</t>
        </is>
      </c>
      <c r="U467" t="inlineStr">
        <is>
          <t>益子町は人口密度225人/km²と低密度で、賃貸需要は限定的。持ち家比率が高く、駐車場完備の戸建て賃貸が有利。 借家の空室率は約9%と需給は比較的引き締まっている。</t>
        </is>
      </c>
      <c r="V467" t="inlineStr">
        <is>
          <t>益子町（栃木県）：鬼怒川・思川など利根川水系の氾濫リスク。北部山地の土砂災害、内陸地震に留意。</t>
        </is>
      </c>
    </row>
    <row r="468">
      <c r="A468" t="inlineStr">
        <is>
          <t>栃木県</t>
        </is>
      </c>
      <c r="B468" t="inlineStr">
        <is>
          <t>茂木町</t>
        </is>
      </c>
      <c r="C468" t="n">
        <v>4853</v>
      </c>
      <c r="D468" t="n">
        <v>10574</v>
      </c>
      <c r="E468" s="6" t="n">
        <v>61</v>
      </c>
      <c r="F468" s="7" t="n">
        <v>16.1</v>
      </c>
      <c r="G468" t="n">
        <v>11891</v>
      </c>
      <c r="H468" t="n">
        <v>10574</v>
      </c>
      <c r="I468" t="n">
        <v>9341</v>
      </c>
      <c r="J468" t="n">
        <v>6135</v>
      </c>
      <c r="K468" s="27">
        <f>(H468/D468-1)</f>
        <v/>
      </c>
      <c r="L468" s="27">
        <f>(I468/D468-1)</f>
        <v/>
      </c>
      <c r="M468" s="27">
        <f>(J468/D468-1)</f>
        <v/>
      </c>
      <c r="N468" t="n">
        <v>36</v>
      </c>
      <c r="O468" s="28">
        <f>(N468+F468)/2</f>
        <v/>
      </c>
      <c r="P468">
        <f>IF(O468="計算不能","計算不能",IF(O468&gt;=80,5,IF(O468&gt;=60,4,IF(O468&gt;=40,3,IF(O468&gt;=28,2,1)))))</f>
        <v/>
      </c>
      <c r="Q468" t="n">
        <v>1287</v>
      </c>
      <c r="R468" t="n">
        <v>0</v>
      </c>
      <c r="S468" s="27">
        <f>R468/Q468</f>
        <v/>
      </c>
      <c r="T468" t="inlineStr">
        <is>
          <t>茂木町は2045年までに人口が約42.0%減と急激な過疎・超高齢化が進行。若年労働世代の流出と自然減が重なり、賃貸事業としての持続性は極めて限定的。</t>
        </is>
      </c>
      <c r="U468" t="inlineStr">
        <is>
          <t>茂木町は人口密度61人/km²と過疎的水準で、民間賃貸の新規需要は薄い。実需に裏付けられた格安戸建ての指値取得のみが現実的。 借家の空室率は約0%と需給は比較的引き締まっている。</t>
        </is>
      </c>
      <c r="V468" t="inlineStr">
        <is>
          <t>茂木町（栃木県）：鬼怒川・思川など利根川水系の氾濫リスク。北部山地の土砂災害、内陸地震に留意。</t>
        </is>
      </c>
    </row>
    <row r="469">
      <c r="A469" t="inlineStr">
        <is>
          <t>栃木県</t>
        </is>
      </c>
      <c r="B469" t="inlineStr">
        <is>
          <t>市貝町</t>
        </is>
      </c>
      <c r="C469" t="n">
        <v>4579</v>
      </c>
      <c r="D469" t="n">
        <v>10662</v>
      </c>
      <c r="E469" s="6" t="n">
        <v>163.7</v>
      </c>
      <c r="F469" s="7" t="n">
        <v>26.4</v>
      </c>
      <c r="G469" t="n">
        <v>11262</v>
      </c>
      <c r="H469" t="n">
        <v>10662</v>
      </c>
      <c r="I469" t="n">
        <v>10120</v>
      </c>
      <c r="J469" t="n">
        <v>8332</v>
      </c>
      <c r="K469" s="27">
        <f>(H469/D469-1)</f>
        <v/>
      </c>
      <c r="L469" s="27">
        <f>(I469/D469-1)</f>
        <v/>
      </c>
      <c r="M469" s="27">
        <f>(J469/D469-1)</f>
        <v/>
      </c>
      <c r="N469" t="n">
        <v>50.6</v>
      </c>
      <c r="O469" s="28">
        <f>(N469+F469)/2</f>
        <v/>
      </c>
      <c r="P469">
        <f>IF(O469="計算不能","計算不能",IF(O469&gt;=80,5,IF(O469&gt;=60,4,IF(O469&gt;=40,3,IF(O469&gt;=28,2,1)))))</f>
        <v/>
      </c>
      <c r="Q469" t="n">
        <v>1215</v>
      </c>
      <c r="R469" t="n">
        <v>0</v>
      </c>
      <c r="S469" s="27">
        <f>R469/Q469</f>
        <v/>
      </c>
      <c r="T469" t="inlineStr">
        <is>
          <t>市貝町は2045年までに人口が約21.9%減と明確な減少トレンド。高齢化の進行と世帯数の縮小により、中長期では賃貸需要の構造的縮小に警戒が必要。</t>
        </is>
      </c>
      <c r="U469" t="inlineStr">
        <is>
          <t>市貝町は人口密度164人/km²と過疎的水準で、民間賃貸の新規需要は薄い。実需に裏付けられた格安戸建ての指値取得のみが現実的。 借家の空室率は約0%と需給は比較的引き締まっている。</t>
        </is>
      </c>
      <c r="V469" t="inlineStr">
        <is>
          <t>市貝町（栃木県）：鬼怒川・思川など利根川水系の氾濫リスク。北部山地の土砂災害、内陸地震に留意。</t>
        </is>
      </c>
    </row>
    <row r="470">
      <c r="A470" t="inlineStr">
        <is>
          <t>栃木県</t>
        </is>
      </c>
      <c r="B470" t="inlineStr">
        <is>
          <t>芳賀町</t>
        </is>
      </c>
      <c r="C470" t="n">
        <v>5989</v>
      </c>
      <c r="D470" t="n">
        <v>14584</v>
      </c>
      <c r="E470" s="6" t="n">
        <v>211.1</v>
      </c>
      <c r="F470" s="7" t="n">
        <v>30.6</v>
      </c>
      <c r="G470" t="n">
        <v>14961</v>
      </c>
      <c r="H470" t="n">
        <v>14584</v>
      </c>
      <c r="I470" t="n">
        <v>13969</v>
      </c>
      <c r="J470" t="n">
        <v>11863</v>
      </c>
      <c r="K470" s="27">
        <f>(H470/D470-1)</f>
        <v/>
      </c>
      <c r="L470" s="27">
        <f>(I470/D470-1)</f>
        <v/>
      </c>
      <c r="M470" s="27">
        <f>(J470/D470-1)</f>
        <v/>
      </c>
      <c r="N470" t="n">
        <v>58</v>
      </c>
      <c r="O470" s="28">
        <f>(N470+F470)/2</f>
        <v/>
      </c>
      <c r="P470">
        <f>IF(O470="計算不能","計算不能",IF(O470&gt;=80,5,IF(O470&gt;=60,4,IF(O470&gt;=40,3,IF(O470&gt;=28,2,1)))))</f>
        <v/>
      </c>
      <c r="Q470" t="n">
        <v>1589</v>
      </c>
      <c r="R470" t="n">
        <v>0</v>
      </c>
      <c r="S470" s="27">
        <f>R470/Q470</f>
        <v/>
      </c>
      <c r="T470" t="inlineStr">
        <is>
          <t>芳賀町は2045年までに人口が約18.7%減と明確な減少トレンド。高齢化の進行と世帯数の縮小により、中長期では賃貸需要の構造的縮小に警戒が必要。</t>
        </is>
      </c>
      <c r="U470" t="inlineStr">
        <is>
          <t>芳賀町は人口密度211人/km²と低密度で、賃貸需要は限定的。持ち家比率が高く、駐車場完備の戸建て賃貸が有利。 借家の空室率は約0%と需給は比較的引き締まっている。</t>
        </is>
      </c>
      <c r="V470" t="inlineStr">
        <is>
          <t>芳賀町（栃木県）：鬼怒川・思川など利根川水系の氾濫リスク。北部山地の土砂災害、内陸地震に留意。</t>
        </is>
      </c>
    </row>
    <row r="471">
      <c r="A471" t="inlineStr">
        <is>
          <t>栃木県</t>
        </is>
      </c>
      <c r="B471" t="inlineStr">
        <is>
          <t>壬生町</t>
        </is>
      </c>
      <c r="C471" t="n">
        <v>15670</v>
      </c>
      <c r="D471" t="n">
        <v>38627</v>
      </c>
      <c r="E471" s="6" t="n">
        <v>623.1</v>
      </c>
      <c r="F471" s="7" t="n">
        <v>47.5</v>
      </c>
      <c r="G471" t="n">
        <v>39474</v>
      </c>
      <c r="H471" t="n">
        <v>38627</v>
      </c>
      <c r="I471" t="n">
        <v>37386</v>
      </c>
      <c r="J471" t="n">
        <v>32981</v>
      </c>
      <c r="K471" s="27">
        <f>(H471/D471-1)</f>
        <v/>
      </c>
      <c r="L471" s="27">
        <f>(I471/D471-1)</f>
        <v/>
      </c>
      <c r="M471" s="27">
        <f>(J471/D471-1)</f>
        <v/>
      </c>
      <c r="N471" t="n">
        <v>61.4</v>
      </c>
      <c r="O471" s="28">
        <f>(N471+F471)/2</f>
        <v/>
      </c>
      <c r="P471">
        <f>IF(O471="計算不能","計算不能",IF(O471&gt;=80,5,IF(O471&gt;=60,4,IF(O471&gt;=40,3,IF(O471&gt;=28,2,1)))))</f>
        <v/>
      </c>
      <c r="Q471" t="n">
        <v>4158</v>
      </c>
      <c r="R471" t="n">
        <v>1710</v>
      </c>
      <c r="S471" s="27">
        <f>R471/Q471</f>
        <v/>
      </c>
      <c r="T471" t="inlineStr">
        <is>
          <t>壬生町は2045年までに人口が約14.6%減と緩やかな減少局面。若年層の都市部流出と高齢化が進むが、当面の賃貸稼働は一定程度維持される見通し。</t>
        </is>
      </c>
      <c r="U471" t="inlineStr">
        <is>
          <t>壬生町は人口密度623人/km²で、主要道路沿いや中心市街地に一定の賃貸需要が局在。立地選別が稼働を左右する。 借家の空室率は約41%と供給過多気味で、空室長期化リスクに要警戒。</t>
        </is>
      </c>
      <c r="V471" t="inlineStr">
        <is>
          <t>壬生町（栃木県）：鬼怒川・思川など利根川水系の氾濫リスク。北部山地の土砂災害、内陸地震に留意。</t>
        </is>
      </c>
    </row>
    <row r="472">
      <c r="A472" t="inlineStr">
        <is>
          <t>栃木県</t>
        </is>
      </c>
      <c r="B472" t="inlineStr">
        <is>
          <t>野木町</t>
        </is>
      </c>
      <c r="C472" t="n">
        <v>9850</v>
      </c>
      <c r="D472" t="n">
        <v>24141</v>
      </c>
      <c r="E472" s="6" t="n">
        <v>810.5</v>
      </c>
      <c r="F472" s="7" t="n">
        <v>51.2</v>
      </c>
      <c r="G472" t="n">
        <v>24913</v>
      </c>
      <c r="H472" t="n">
        <v>24141</v>
      </c>
      <c r="I472" t="n">
        <v>23141</v>
      </c>
      <c r="J472" t="n">
        <v>19499</v>
      </c>
      <c r="K472" s="27">
        <f>(H472/D472-1)</f>
        <v/>
      </c>
      <c r="L472" s="27">
        <f>(I472/D472-1)</f>
        <v/>
      </c>
      <c r="M472" s="27">
        <f>(J472/D472-1)</f>
        <v/>
      </c>
      <c r="N472" t="n">
        <v>56.7</v>
      </c>
      <c r="O472" s="28">
        <f>(N472+F472)/2</f>
        <v/>
      </c>
      <c r="P472">
        <f>IF(O472="計算不能","計算不能",IF(O472&gt;=80,5,IF(O472&gt;=60,4,IF(O472&gt;=40,3,IF(O472&gt;=28,2,1)))))</f>
        <v/>
      </c>
      <c r="Q472" t="n">
        <v>2614</v>
      </c>
      <c r="R472" t="n">
        <v>720</v>
      </c>
      <c r="S472" s="27">
        <f>R472/Q472</f>
        <v/>
      </c>
      <c r="T472" t="inlineStr">
        <is>
          <t>野木町は2045年までに人口が約19.2%減と明確な減少トレンド。高齢化の進行と世帯数の縮小により、中長期では賃貸需要の構造的縮小に警戒が必要。</t>
        </is>
      </c>
      <c r="U472" t="inlineStr">
        <is>
          <t>野木町は人口密度810人/km²で、主要道路沿いや中心市街地に一定の賃貸需要が局在。立地選別が稼働を左右する。 借家の空室率は約28%と供給過多気味で、空室長期化リスクに要警戒。</t>
        </is>
      </c>
      <c r="V472" t="inlineStr">
        <is>
          <t>野木町（栃木県）：鬼怒川・思川など利根川水系の氾濫リスク。北部山地の土砂災害、内陸地震に留意。</t>
        </is>
      </c>
    </row>
    <row r="473">
      <c r="A473" t="inlineStr">
        <is>
          <t>栃木県</t>
        </is>
      </c>
      <c r="B473" t="inlineStr">
        <is>
          <t>塩谷町</t>
        </is>
      </c>
      <c r="C473" t="n">
        <v>4026</v>
      </c>
      <c r="D473" t="n">
        <v>9132</v>
      </c>
      <c r="E473" s="6" t="n">
        <v>51.7</v>
      </c>
      <c r="F473" s="7" t="n">
        <v>15.2</v>
      </c>
      <c r="G473" t="n">
        <v>10354</v>
      </c>
      <c r="H473" t="n">
        <v>9132</v>
      </c>
      <c r="I473" t="n">
        <v>8119</v>
      </c>
      <c r="J473" t="n">
        <v>5379</v>
      </c>
      <c r="K473" s="27">
        <f>(H473/D473-1)</f>
        <v/>
      </c>
      <c r="L473" s="27">
        <f>(I473/D473-1)</f>
        <v/>
      </c>
      <c r="M473" s="27">
        <f>(J473/D473-1)</f>
        <v/>
      </c>
      <c r="N473" t="n">
        <v>35.7</v>
      </c>
      <c r="O473" s="28">
        <f>(N473+F473)/2</f>
        <v/>
      </c>
      <c r="P473">
        <f>IF(O473="計算不能","計算不能",IF(O473&gt;=80,5,IF(O473&gt;=60,4,IF(O473&gt;=40,3,IF(O473&gt;=28,2,1)))))</f>
        <v/>
      </c>
      <c r="Q473" t="n">
        <v>1068</v>
      </c>
      <c r="R473" t="n">
        <v>0</v>
      </c>
      <c r="S473" s="27">
        <f>R473/Q473</f>
        <v/>
      </c>
      <c r="T473" t="inlineStr">
        <is>
          <t>塩谷町は2045年までに人口が約41.1%減と急激な過疎・超高齢化が進行。若年労働世代の流出と自然減が重なり、賃貸事業としての持続性は極めて限定的。</t>
        </is>
      </c>
      <c r="U473" t="inlineStr">
        <is>
          <t>塩谷町は人口密度52人/km²と過疎的水準で、民間賃貸の新規需要は薄い。実需に裏付けられた格安戸建ての指値取得のみが現実的。 借家の空室率は約0%と需給は比較的引き締まっている。</t>
        </is>
      </c>
      <c r="V473" t="inlineStr">
        <is>
          <t>塩谷町（栃木県）：鬼怒川・思川など利根川水系の氾濫リスク。北部山地の土砂災害、内陸地震に留意。</t>
        </is>
      </c>
    </row>
    <row r="474">
      <c r="A474" t="inlineStr">
        <is>
          <t>栃木県</t>
        </is>
      </c>
      <c r="B474" t="inlineStr">
        <is>
          <t>高根沢町</t>
        </is>
      </c>
      <c r="C474" t="n">
        <v>11800</v>
      </c>
      <c r="D474" t="n">
        <v>28405</v>
      </c>
      <c r="E474" s="6" t="n">
        <v>401.9</v>
      </c>
      <c r="F474" s="7" t="n">
        <v>40.1</v>
      </c>
      <c r="G474" t="n">
        <v>29229</v>
      </c>
      <c r="H474" t="n">
        <v>28405</v>
      </c>
      <c r="I474" t="n">
        <v>27456</v>
      </c>
      <c r="J474" t="n">
        <v>23939</v>
      </c>
      <c r="K474" s="27">
        <f>(H474/D474-1)</f>
        <v/>
      </c>
      <c r="L474" s="27">
        <f>(I474/D474-1)</f>
        <v/>
      </c>
      <c r="M474" s="27">
        <f>(J474/D474-1)</f>
        <v/>
      </c>
      <c r="N474" t="n">
        <v>59.4</v>
      </c>
      <c r="O474" s="28">
        <f>(N474+F474)/2</f>
        <v/>
      </c>
      <c r="P474">
        <f>IF(O474="計算不能","計算不能",IF(O474&gt;=80,5,IF(O474&gt;=60,4,IF(O474&gt;=40,3,IF(O474&gt;=28,2,1)))))</f>
        <v/>
      </c>
      <c r="Q474" t="n">
        <v>3131</v>
      </c>
      <c r="R474" t="n">
        <v>1100</v>
      </c>
      <c r="S474" s="27">
        <f>R474/Q474</f>
        <v/>
      </c>
      <c r="T474" t="inlineStr">
        <is>
          <t>高根沢町は2045年までに人口が約15.7%減と明確な減少トレンド。高齢化の進行と世帯数の縮小により、中長期では賃貸需要の構造的縮小に警戒が必要。</t>
        </is>
      </c>
      <c r="U474" t="inlineStr">
        <is>
          <t>高根沢町は人口密度402人/km²と低密度で、賃貸需要は限定的。持ち家比率が高く、駐車場完備の戸建て賃貸が有利。 借家の空室率は約35%と供給過多気味で、空室長期化リスクに要警戒。</t>
        </is>
      </c>
      <c r="V474" t="inlineStr">
        <is>
          <t>高根沢町（栃木県）：鬼怒川・思川など利根川水系の氾濫リスク。北部山地の土砂災害、内陸地震に留意。</t>
        </is>
      </c>
    </row>
    <row r="475">
      <c r="A475" t="inlineStr">
        <is>
          <t>栃木県</t>
        </is>
      </c>
      <c r="B475" t="inlineStr">
        <is>
          <t>那須町</t>
        </is>
      </c>
      <c r="C475" t="n">
        <v>9560</v>
      </c>
      <c r="D475" t="n">
        <v>22816</v>
      </c>
      <c r="E475" s="6" t="n">
        <v>59.7</v>
      </c>
      <c r="F475" s="7" t="n">
        <v>16</v>
      </c>
      <c r="G475" t="n">
        <v>23956</v>
      </c>
      <c r="H475" t="n">
        <v>22816</v>
      </c>
      <c r="I475" t="n">
        <v>21486</v>
      </c>
      <c r="J475" t="n">
        <v>17269</v>
      </c>
      <c r="K475" s="27">
        <f>(H475/D475-1)</f>
        <v/>
      </c>
      <c r="L475" s="27">
        <f>(I475/D475-1)</f>
        <v/>
      </c>
      <c r="M475" s="27">
        <f>(J475/D475-1)</f>
        <v/>
      </c>
      <c r="N475" t="n">
        <v>50</v>
      </c>
      <c r="O475" s="28">
        <f>(N475+F475)/2</f>
        <v/>
      </c>
      <c r="P475">
        <f>IF(O475="計算不能","計算不能",IF(O475&gt;=80,5,IF(O475&gt;=60,4,IF(O475&gt;=40,3,IF(O475&gt;=28,2,1)))))</f>
        <v/>
      </c>
      <c r="Q475" t="n">
        <v>2537</v>
      </c>
      <c r="R475" t="n">
        <v>130</v>
      </c>
      <c r="S475" s="27">
        <f>R475/Q475</f>
        <v/>
      </c>
      <c r="T475" t="inlineStr">
        <is>
          <t>那須町は2045年までに人口が約24.3%減と明確な減少トレンド。高齢化の進行と世帯数の縮小により、中長期では賃貸需要の構造的縮小に警戒が必要。</t>
        </is>
      </c>
      <c r="U475" t="inlineStr">
        <is>
          <t>那須町は人口密度60人/km²と過疎的水準で、民間賃貸の新規需要は薄い。実需に裏付けられた格安戸建ての指値取得のみが現実的。 借家の空室率は約5%と需給は比較的引き締まっている。</t>
        </is>
      </c>
      <c r="V475" t="inlineStr">
        <is>
          <t>那須町（栃木県）：鬼怒川・思川など利根川水系の氾濫リスク。北部山地の土砂災害、内陸地震に留意。</t>
        </is>
      </c>
    </row>
    <row r="476">
      <c r="A476" t="inlineStr">
        <is>
          <t>栃木県</t>
        </is>
      </c>
      <c r="B476" t="inlineStr">
        <is>
          <t>那珂川町</t>
        </is>
      </c>
      <c r="C476" t="n">
        <v>5230</v>
      </c>
      <c r="D476" t="n">
        <v>13371</v>
      </c>
      <c r="E476" s="6" t="n">
        <v>69.40000000000001</v>
      </c>
      <c r="F476" s="7" t="n">
        <v>16.9</v>
      </c>
      <c r="G476" t="n">
        <v>15215</v>
      </c>
      <c r="H476" t="n">
        <v>13371</v>
      </c>
      <c r="I476" t="n">
        <v>11978</v>
      </c>
      <c r="J476" t="n">
        <v>8149</v>
      </c>
      <c r="K476" s="27">
        <f>(H476/D476-1)</f>
        <v/>
      </c>
      <c r="L476" s="27">
        <f>(I476/D476-1)</f>
        <v/>
      </c>
      <c r="M476" s="27">
        <f>(J476/D476-1)</f>
        <v/>
      </c>
      <c r="N476" t="n">
        <v>36.1</v>
      </c>
      <c r="O476" s="28">
        <f>(N476+F476)/2</f>
        <v/>
      </c>
      <c r="P476">
        <f>IF(O476="計算不能","計算不能",IF(O476&gt;=80,5,IF(O476&gt;=60,4,IF(O476&gt;=40,3,IF(O476&gt;=28,2,1)))))</f>
        <v/>
      </c>
      <c r="Q476" t="n">
        <v>1388</v>
      </c>
      <c r="R476" t="n">
        <v>450</v>
      </c>
      <c r="S476" s="27">
        <f>R476/Q476</f>
        <v/>
      </c>
      <c r="T476" t="inlineStr">
        <is>
          <t>那珂川町は2045年までに人口が約39.1%減と急激な過疎・超高齢化が進行。若年労働世代の流出と自然減が重なり、賃貸事業としての持続性は極めて限定的。</t>
        </is>
      </c>
      <c r="U476" t="inlineStr">
        <is>
          <t>那珂川町は人口密度69人/km²と過疎的水準で、民間賃貸の新規需要は薄い。実需に裏付けられた格安戸建ての指値取得のみが現実的。 借家の空室率は約32%と供給過多気味で、空室長期化リスクに要警戒。</t>
        </is>
      </c>
      <c r="V476" t="inlineStr">
        <is>
          <t>那珂川町（栃木県）：鬼怒川・思川など利根川水系の氾濫リスク。北部山地の土砂災害、内陸地震に留意。</t>
        </is>
      </c>
    </row>
    <row r="477">
      <c r="A477" t="inlineStr">
        <is>
          <t>群馬県</t>
        </is>
      </c>
      <c r="B477" t="inlineStr">
        <is>
          <t>前橋市</t>
        </is>
      </c>
      <c r="C477" t="n">
        <v>143710</v>
      </c>
      <c r="D477" t="n">
        <v>324621</v>
      </c>
      <c r="E477" s="6" t="n">
        <v>1041.6</v>
      </c>
      <c r="F477" s="7" t="n">
        <v>55.8</v>
      </c>
      <c r="G477" t="n">
        <v>332149</v>
      </c>
      <c r="H477" t="n">
        <v>324621</v>
      </c>
      <c r="I477" t="n">
        <v>315720</v>
      </c>
      <c r="J477" t="n">
        <v>283266</v>
      </c>
      <c r="K477" s="27">
        <f>(H477/D477-1)</f>
        <v/>
      </c>
      <c r="L477" s="27">
        <f>(I477/D477-1)</f>
        <v/>
      </c>
      <c r="M477" s="27">
        <f>(J477/D477-1)</f>
        <v/>
      </c>
      <c r="N477" t="n">
        <v>62.4</v>
      </c>
      <c r="O477" s="28">
        <f>(N477+F477)/2</f>
        <v/>
      </c>
      <c r="P477">
        <f>IF(O477="計算不能","計算不能",IF(O477&gt;=80,5,IF(O477&gt;=60,4,IF(O477&gt;=40,3,IF(O477&gt;=28,2,1)))))</f>
        <v/>
      </c>
      <c r="Q477" t="n">
        <v>34983</v>
      </c>
      <c r="R477" t="n">
        <v>14940</v>
      </c>
      <c r="S477" s="27">
        <f>R477/Q477</f>
        <v/>
      </c>
      <c r="T477" t="inlineStr">
        <is>
          <t>前橋市は2045年までに人口が約12.7%減と緩やかな減少局面。若年層の都市部流出と高齢化が進むが、当面の賃貸稼働は一定程度維持される見通し。</t>
        </is>
      </c>
      <c r="U477" t="inlineStr">
        <is>
          <t>前橋市は人口密度1,042人/km²で、主要道路沿いや中心市街地に一定の賃貸需要が局在。立地選別が稼働を左右する。 借家の空室率は約43%と供給過多気味で、空室長期化リスクに要警戒。</t>
        </is>
      </c>
      <c r="V477" t="inlineStr">
        <is>
          <t>前橋市（群馬県）：利根川・烏川水系の洪水、北部山間の土砂災害・雪害、浅間山の降灰に注意。</t>
        </is>
      </c>
    </row>
    <row r="478">
      <c r="A478" t="inlineStr">
        <is>
          <t>群馬県</t>
        </is>
      </c>
      <c r="B478" t="inlineStr">
        <is>
          <t>高崎市</t>
        </is>
      </c>
      <c r="C478" t="n">
        <v>160860</v>
      </c>
      <c r="D478" t="n">
        <v>369221</v>
      </c>
      <c r="E478" s="6" t="n">
        <v>792.3</v>
      </c>
      <c r="F478" s="7" t="n">
        <v>50.8</v>
      </c>
      <c r="G478" t="n">
        <v>372973</v>
      </c>
      <c r="H478" t="n">
        <v>369221</v>
      </c>
      <c r="I478" t="n">
        <v>363458</v>
      </c>
      <c r="J478" t="n">
        <v>340034</v>
      </c>
      <c r="K478" s="27">
        <f>(H478/D478-1)</f>
        <v/>
      </c>
      <c r="L478" s="27">
        <f>(I478/D478-1)</f>
        <v/>
      </c>
      <c r="M478" s="27">
        <f>(J478/D478-1)</f>
        <v/>
      </c>
      <c r="N478" t="n">
        <v>68</v>
      </c>
      <c r="O478" s="28">
        <f>(N478+F478)/2</f>
        <v/>
      </c>
      <c r="P478">
        <f>IF(O478="計算不能","計算不能",IF(O478&gt;=80,5,IF(O478&gt;=60,4,IF(O478&gt;=40,3,IF(O478&gt;=28,2,1)))))</f>
        <v/>
      </c>
      <c r="Q478" t="n">
        <v>39158</v>
      </c>
      <c r="R478" t="n">
        <v>11590</v>
      </c>
      <c r="S478" s="27">
        <f>R478/Q478</f>
        <v/>
      </c>
      <c r="T478" t="inlineStr">
        <is>
          <t>高崎市は2045年までに人口が約7.9%減と緩やかな減少局面。若年層の都市部流出と高齢化が進むが、当面の賃貸稼働は一定程度維持される見通し。</t>
        </is>
      </c>
      <c r="U478" t="inlineStr">
        <is>
          <t>高崎市は人口密度792人/km²で、主要道路沿いや中心市街地に一定の賃貸需要が局在。立地選別が稼働を左右する。 借家の空室率は約30%と供給過多気味で、空室長期化リスクに要警戒。</t>
        </is>
      </c>
      <c r="V478" t="inlineStr">
        <is>
          <t>高崎市（群馬県）：利根川・烏川水系の洪水、北部山間の土砂災害・雪害、浅間山の降灰に注意。</t>
        </is>
      </c>
    </row>
    <row r="479">
      <c r="A479" t="inlineStr">
        <is>
          <t>群馬県</t>
        </is>
      </c>
      <c r="B479" t="inlineStr">
        <is>
          <t>桐生市</t>
        </is>
      </c>
      <c r="C479" t="n">
        <v>42700</v>
      </c>
      <c r="D479" t="n">
        <v>97073</v>
      </c>
      <c r="E479" s="6" t="n">
        <v>354.2</v>
      </c>
      <c r="F479" s="7" t="n">
        <v>37.7</v>
      </c>
      <c r="G479" t="n">
        <v>106445</v>
      </c>
      <c r="H479" t="n">
        <v>97073</v>
      </c>
      <c r="I479" t="n">
        <v>89193</v>
      </c>
      <c r="J479" t="n">
        <v>66404</v>
      </c>
      <c r="K479" s="27">
        <f>(H479/D479-1)</f>
        <v/>
      </c>
      <c r="L479" s="27">
        <f>(I479/D479-1)</f>
        <v/>
      </c>
      <c r="M479" s="27">
        <f>(J479/D479-1)</f>
        <v/>
      </c>
      <c r="N479" t="n">
        <v>41.4</v>
      </c>
      <c r="O479" s="28">
        <f>(N479+F479)/2</f>
        <v/>
      </c>
      <c r="P479">
        <f>IF(O479="計算不能","計算不能",IF(O479&gt;=80,5,IF(O479&gt;=60,4,IF(O479&gt;=40,3,IF(O479&gt;=28,2,1)))))</f>
        <v/>
      </c>
      <c r="Q479" t="n">
        <v>10394</v>
      </c>
      <c r="R479" t="n">
        <v>5380</v>
      </c>
      <c r="S479" s="27">
        <f>R479/Q479</f>
        <v/>
      </c>
      <c r="T479" t="inlineStr">
        <is>
          <t>桐生市は2045年までに人口が約31.6%減と急激な過疎・超高齢化が進行。若年労働世代の流出と自然減が重なり、賃貸事業としての持続性は極めて限定的。</t>
        </is>
      </c>
      <c r="U479" t="inlineStr">
        <is>
          <t>桐生市は人口密度354人/km²と低密度で、賃貸需要は限定的。持ち家比率が高く、駐車場完備の戸建て賃貸が有利。 借家の空室率は約52%と供給過多気味で、空室長期化リスクに要警戒。</t>
        </is>
      </c>
      <c r="V479" t="inlineStr">
        <is>
          <t>桐生市（群馬県）：利根川・烏川水系の洪水、北部山間の土砂災害・雪害、浅間山の降灰に注意。</t>
        </is>
      </c>
    </row>
    <row r="480">
      <c r="A480" t="inlineStr">
        <is>
          <t>群馬県</t>
        </is>
      </c>
      <c r="B480" t="inlineStr">
        <is>
          <t>伊勢崎市</t>
        </is>
      </c>
      <c r="C480" t="n">
        <v>88910</v>
      </c>
      <c r="D480" t="n">
        <v>210617</v>
      </c>
      <c r="E480" s="6" t="n">
        <v>1493.6</v>
      </c>
      <c r="F480" s="7" t="n">
        <v>64.90000000000001</v>
      </c>
      <c r="G480" t="n">
        <v>211850</v>
      </c>
      <c r="H480" t="n">
        <v>210617</v>
      </c>
      <c r="I480" t="n">
        <v>208381</v>
      </c>
      <c r="J480" t="n">
        <v>196438</v>
      </c>
      <c r="K480" s="27">
        <f>(H480/D480-1)</f>
        <v/>
      </c>
      <c r="L480" s="27">
        <f>(I480/D480-1)</f>
        <v/>
      </c>
      <c r="M480" s="27">
        <f>(J480/D480-1)</f>
        <v/>
      </c>
      <c r="N480" t="n">
        <v>69.8</v>
      </c>
      <c r="O480" s="28">
        <f>(N480+F480)/2</f>
        <v/>
      </c>
      <c r="P480">
        <f>IF(O480="計算不能","計算不能",IF(O480&gt;=80,5,IF(O480&gt;=60,4,IF(O480&gt;=40,3,IF(O480&gt;=28,2,1)))))</f>
        <v/>
      </c>
      <c r="Q480" t="n">
        <v>21643</v>
      </c>
      <c r="R480" t="n">
        <v>7870</v>
      </c>
      <c r="S480" s="27">
        <f>R480/Q480</f>
        <v/>
      </c>
      <c r="T480" t="inlineStr">
        <is>
          <t>伊勢崎市は2045年までに人口が約6.7%減と緩やかな減少局面。若年層の都市部流出と高齢化が進むが、当面の賃貸稼働は一定程度維持される見通し。</t>
        </is>
      </c>
      <c r="U480" t="inlineStr">
        <is>
          <t>伊勢崎市は人口密度1,494人/km²で、主要道路沿いや中心市街地に一定の賃貸需要が局在。立地選別が稼働を左右する。 借家の空室率は約36%と供給過多気味で、空室長期化リスクに要警戒。</t>
        </is>
      </c>
      <c r="V480" t="inlineStr">
        <is>
          <t>伊勢崎市（群馬県）：利根川・烏川水系の洪水、北部山間の土砂災害・雪害、浅間山の降灰に注意。</t>
        </is>
      </c>
    </row>
    <row r="481">
      <c r="A481" t="inlineStr">
        <is>
          <t>群馬県</t>
        </is>
      </c>
      <c r="B481" t="inlineStr">
        <is>
          <t>太田市</t>
        </is>
      </c>
      <c r="C481" t="n">
        <v>93850</v>
      </c>
      <c r="D481" t="n">
        <v>221868</v>
      </c>
      <c r="E481" s="6" t="n">
        <v>1250.1</v>
      </c>
      <c r="F481" s="7" t="n">
        <v>60</v>
      </c>
      <c r="G481" t="n">
        <v>223014</v>
      </c>
      <c r="H481" t="n">
        <v>221868</v>
      </c>
      <c r="I481" t="n">
        <v>219038</v>
      </c>
      <c r="J481" t="n">
        <v>205600</v>
      </c>
      <c r="K481" s="27">
        <f>(H481/D481-1)</f>
        <v/>
      </c>
      <c r="L481" s="27">
        <f>(I481/D481-1)</f>
        <v/>
      </c>
      <c r="M481" s="27">
        <f>(J481/D481-1)</f>
        <v/>
      </c>
      <c r="N481" t="n">
        <v>69.40000000000001</v>
      </c>
      <c r="O481" s="28">
        <f>(N481+F481)/2</f>
        <v/>
      </c>
      <c r="P481">
        <f>IF(O481="計算不能","計算不能",IF(O481&gt;=80,5,IF(O481&gt;=60,4,IF(O481&gt;=40,3,IF(O481&gt;=28,2,1)))))</f>
        <v/>
      </c>
      <c r="Q481" t="n">
        <v>22845</v>
      </c>
      <c r="R481" t="n">
        <v>9040</v>
      </c>
      <c r="S481" s="27">
        <f>R481/Q481</f>
        <v/>
      </c>
      <c r="T481" t="inlineStr">
        <is>
          <t>太田市は2045年までに人口が約7.3%減と緩やかな減少局面。若年層の都市部流出と高齢化が進むが、当面の賃貸稼働は一定程度維持される見通し。</t>
        </is>
      </c>
      <c r="U481" t="inlineStr">
        <is>
          <t>太田市は人口密度1,250人/km²で、主要道路沿いや中心市街地に一定の賃貸需要が局在。立地選別が稼働を左右する。 借家の空室率は約40%と供給過多気味で、空室長期化リスクに要警戒。</t>
        </is>
      </c>
      <c r="V481" t="inlineStr">
        <is>
          <t>太田市（群馬県）：利根川・烏川水系の洪水、北部山間の土砂災害・雪害、浅間山の降灰に注意。</t>
        </is>
      </c>
    </row>
    <row r="482">
      <c r="A482" t="inlineStr">
        <is>
          <t>群馬県</t>
        </is>
      </c>
      <c r="B482" t="inlineStr">
        <is>
          <t>沼田市</t>
        </is>
      </c>
      <c r="C482" t="n">
        <v>18920</v>
      </c>
      <c r="D482" t="n">
        <v>41555</v>
      </c>
      <c r="E482" s="6" t="n">
        <v>93.09999999999999</v>
      </c>
      <c r="F482" s="7" t="n">
        <v>19.3</v>
      </c>
      <c r="G482" t="n">
        <v>45337</v>
      </c>
      <c r="H482" t="n">
        <v>41555</v>
      </c>
      <c r="I482" t="n">
        <v>38620</v>
      </c>
      <c r="J482" t="n">
        <v>30013</v>
      </c>
      <c r="K482" s="27">
        <f>(H482/D482-1)</f>
        <v/>
      </c>
      <c r="L482" s="27">
        <f>(I482/D482-1)</f>
        <v/>
      </c>
      <c r="M482" s="27">
        <f>(J482/D482-1)</f>
        <v/>
      </c>
      <c r="N482" t="n">
        <v>43</v>
      </c>
      <c r="O482" s="28">
        <f>(N482+F482)/2</f>
        <v/>
      </c>
      <c r="P482">
        <f>IF(O482="計算不能","計算不能",IF(O482&gt;=80,5,IF(O482&gt;=60,4,IF(O482&gt;=40,3,IF(O482&gt;=28,2,1)))))</f>
        <v/>
      </c>
      <c r="Q482" t="n">
        <v>4605</v>
      </c>
      <c r="R482" t="n">
        <v>1510</v>
      </c>
      <c r="S482" s="27">
        <f>R482/Q482</f>
        <v/>
      </c>
      <c r="T482" t="inlineStr">
        <is>
          <t>沼田市は2045年までに人口が約27.8%減と明確な減少トレンド。高齢化の進行と世帯数の縮小により、中長期では賃貸需要の構造的縮小に警戒が必要。</t>
        </is>
      </c>
      <c r="U482" t="inlineStr">
        <is>
          <t>沼田市は人口密度93人/km²と過疎的水準で、民間賃貸の新規需要は薄い。実需に裏付けられた格安戸建ての指値取得のみが現実的。 借家の空室率は約33%と供給過多気味で、空室長期化リスクに要警戒。</t>
        </is>
      </c>
      <c r="V482" t="inlineStr">
        <is>
          <t>沼田市（群馬県）：利根川・烏川水系の洪水、北部山間の土砂災害・雪害、浅間山の降灰に注意。</t>
        </is>
      </c>
    </row>
    <row r="483">
      <c r="A483" t="inlineStr">
        <is>
          <t>群馬県</t>
        </is>
      </c>
      <c r="B483" t="inlineStr">
        <is>
          <t>館林市</t>
        </is>
      </c>
      <c r="C483" t="n">
        <v>31310</v>
      </c>
      <c r="D483" t="n">
        <v>72820</v>
      </c>
      <c r="E483" s="6" t="n">
        <v>1194.6</v>
      </c>
      <c r="F483" s="7" t="n">
        <v>58.9</v>
      </c>
      <c r="G483" t="n">
        <v>75309</v>
      </c>
      <c r="H483" t="n">
        <v>72820</v>
      </c>
      <c r="I483" t="n">
        <v>69896</v>
      </c>
      <c r="J483" t="n">
        <v>60301</v>
      </c>
      <c r="K483" s="27">
        <f>(H483/D483-1)</f>
        <v/>
      </c>
      <c r="L483" s="27">
        <f>(I483/D483-1)</f>
        <v/>
      </c>
      <c r="M483" s="27">
        <f>(J483/D483-1)</f>
        <v/>
      </c>
      <c r="N483" t="n">
        <v>57.4</v>
      </c>
      <c r="O483" s="28">
        <f>(N483+F483)/2</f>
        <v/>
      </c>
      <c r="P483">
        <f>IF(O483="計算不能","計算不能",IF(O483&gt;=80,5,IF(O483&gt;=60,4,IF(O483&gt;=40,3,IF(O483&gt;=28,2,1)))))</f>
        <v/>
      </c>
      <c r="Q483" t="n">
        <v>7621</v>
      </c>
      <c r="R483" t="n">
        <v>3490</v>
      </c>
      <c r="S483" s="27">
        <f>R483/Q483</f>
        <v/>
      </c>
      <c r="T483" t="inlineStr">
        <is>
          <t>館林市は2045年までに人口が約17.2%減と明確な減少トレンド。高齢化の進行と世帯数の縮小により、中長期では賃貸需要の構造的縮小に警戒が必要。</t>
        </is>
      </c>
      <c r="U483" t="inlineStr">
        <is>
          <t>館林市は人口密度1,195人/km²で、主要道路沿いや中心市街地に一定の賃貸需要が局在。立地選別が稼働を左右する。 借家の空室率は約46%と供給過多気味で、空室長期化リスクに要警戒。</t>
        </is>
      </c>
      <c r="V483" t="inlineStr">
        <is>
          <t>館林市（群馬県）：利根川・烏川水系の洪水、北部山間の土砂災害・雪害、浅間山の降灰に注意。</t>
        </is>
      </c>
    </row>
    <row r="484">
      <c r="A484" t="inlineStr">
        <is>
          <t>群馬県</t>
        </is>
      </c>
      <c r="B484" t="inlineStr">
        <is>
          <t>渋川市</t>
        </is>
      </c>
      <c r="C484" t="n">
        <v>29630</v>
      </c>
      <c r="D484" t="n">
        <v>69602</v>
      </c>
      <c r="E484" s="6" t="n">
        <v>292.7</v>
      </c>
      <c r="F484" s="7" t="n">
        <v>34.6</v>
      </c>
      <c r="G484" t="n">
        <v>74581</v>
      </c>
      <c r="H484" t="n">
        <v>69602</v>
      </c>
      <c r="I484" t="n">
        <v>64679</v>
      </c>
      <c r="J484" t="n">
        <v>49674</v>
      </c>
      <c r="K484" s="27">
        <f>(H484/D484-1)</f>
        <v/>
      </c>
      <c r="L484" s="27">
        <f>(I484/D484-1)</f>
        <v/>
      </c>
      <c r="M484" s="27">
        <f>(J484/D484-1)</f>
        <v/>
      </c>
      <c r="N484" t="n">
        <v>44.3</v>
      </c>
      <c r="O484" s="28">
        <f>(N484+F484)/2</f>
        <v/>
      </c>
      <c r="P484">
        <f>IF(O484="計算不能","計算不能",IF(O484&gt;=80,5,IF(O484&gt;=60,4,IF(O484&gt;=40,3,IF(O484&gt;=28,2,1)))))</f>
        <v/>
      </c>
      <c r="Q484" t="n">
        <v>7212</v>
      </c>
      <c r="R484" t="n">
        <v>2150</v>
      </c>
      <c r="S484" s="27">
        <f>R484/Q484</f>
        <v/>
      </c>
      <c r="T484" t="inlineStr">
        <is>
          <t>渋川市は2045年までに人口が約28.6%減と明確な減少トレンド。高齢化の進行と世帯数の縮小により、中長期では賃貸需要の構造的縮小に警戒が必要。</t>
        </is>
      </c>
      <c r="U484" t="inlineStr">
        <is>
          <t>渋川市は人口密度293人/km²と低密度で、賃貸需要は限定的。持ち家比率が高く、駐車場完備の戸建て賃貸が有利。 借家の空室率は約30%と供給過多気味で、空室長期化リスクに要警戒。</t>
        </is>
      </c>
      <c r="V484" t="inlineStr">
        <is>
          <t>渋川市（群馬県）：利根川・烏川水系の洪水、北部山間の土砂災害・雪害、浅間山の降灰に注意。</t>
        </is>
      </c>
    </row>
    <row r="485">
      <c r="A485" t="inlineStr">
        <is>
          <t>群馬県</t>
        </is>
      </c>
      <c r="B485" t="inlineStr">
        <is>
          <t>藤岡市</t>
        </is>
      </c>
      <c r="C485" t="n">
        <v>24740</v>
      </c>
      <c r="D485" t="n">
        <v>59603</v>
      </c>
      <c r="E485" s="6" t="n">
        <v>329.4</v>
      </c>
      <c r="F485" s="7" t="n">
        <v>36.5</v>
      </c>
      <c r="G485" t="n">
        <v>63261</v>
      </c>
      <c r="H485" t="n">
        <v>59603</v>
      </c>
      <c r="I485" t="n">
        <v>56335</v>
      </c>
      <c r="J485" t="n">
        <v>45841</v>
      </c>
      <c r="K485" s="27">
        <f>(H485/D485-1)</f>
        <v/>
      </c>
      <c r="L485" s="27">
        <f>(I485/D485-1)</f>
        <v/>
      </c>
      <c r="M485" s="27">
        <f>(J485/D485-1)</f>
        <v/>
      </c>
      <c r="N485" t="n">
        <v>48.9</v>
      </c>
      <c r="O485" s="28">
        <f>(N485+F485)/2</f>
        <v/>
      </c>
      <c r="P485">
        <f>IF(O485="計算不能","計算不能",IF(O485&gt;=80,5,IF(O485&gt;=60,4,IF(O485&gt;=40,3,IF(O485&gt;=28,2,1)))))</f>
        <v/>
      </c>
      <c r="Q485" t="n">
        <v>6022</v>
      </c>
      <c r="R485" t="n">
        <v>1780</v>
      </c>
      <c r="S485" s="27">
        <f>R485/Q485</f>
        <v/>
      </c>
      <c r="T485" t="inlineStr">
        <is>
          <t>藤岡市は2045年までに人口が約23.1%減と明確な減少トレンド。高齢化の進行と世帯数の縮小により、中長期では賃貸需要の構造的縮小に警戒が必要。</t>
        </is>
      </c>
      <c r="U485" t="inlineStr">
        <is>
          <t>藤岡市は人口密度329人/km²と低密度で、賃貸需要は限定的。持ち家比率が高く、駐車場完備の戸建て賃貸が有利。 借家の空室率は約30%と供給過多気味で、空室長期化リスクに要警戒。</t>
        </is>
      </c>
      <c r="V485" t="inlineStr">
        <is>
          <t>藤岡市（群馬県）：利根川・烏川水系の洪水、北部山間の土砂災害・雪害、浅間山の降灰に注意。</t>
        </is>
      </c>
    </row>
    <row r="486">
      <c r="A486" t="inlineStr">
        <is>
          <t>群馬県</t>
        </is>
      </c>
      <c r="B486" t="inlineStr">
        <is>
          <t>富岡市</t>
        </is>
      </c>
      <c r="C486" t="n">
        <v>18530</v>
      </c>
      <c r="D486" t="n">
        <v>44056</v>
      </c>
      <c r="E486" s="6" t="n">
        <v>356.4</v>
      </c>
      <c r="F486" s="7" t="n">
        <v>37.8</v>
      </c>
      <c r="G486" t="n">
        <v>47446</v>
      </c>
      <c r="H486" t="n">
        <v>44056</v>
      </c>
      <c r="I486" t="n">
        <v>41428</v>
      </c>
      <c r="J486" t="n">
        <v>33076</v>
      </c>
      <c r="K486" s="27">
        <f>(H486/D486-1)</f>
        <v/>
      </c>
      <c r="L486" s="27">
        <f>(I486/D486-1)</f>
        <v/>
      </c>
      <c r="M486" s="27">
        <f>(J486/D486-1)</f>
        <v/>
      </c>
      <c r="N486" t="n">
        <v>45.3</v>
      </c>
      <c r="O486" s="28">
        <f>(N486+F486)/2</f>
        <v/>
      </c>
      <c r="P486">
        <f>IF(O486="計算不能","計算不能",IF(O486&gt;=80,5,IF(O486&gt;=60,4,IF(O486&gt;=40,3,IF(O486&gt;=28,2,1)))))</f>
        <v/>
      </c>
      <c r="Q486" t="n">
        <v>4510</v>
      </c>
      <c r="R486" t="n">
        <v>1370</v>
      </c>
      <c r="S486" s="27">
        <f>R486/Q486</f>
        <v/>
      </c>
      <c r="T486" t="inlineStr">
        <is>
          <t>富岡市は2045年までに人口が約24.9%減と明確な減少トレンド。高齢化の進行と世帯数の縮小により、中長期では賃貸需要の構造的縮小に警戒が必要。</t>
        </is>
      </c>
      <c r="U486" t="inlineStr">
        <is>
          <t>富岡市は人口密度356人/km²と低密度で、賃貸需要は限定的。持ち家比率が高く、駐車場完備の戸建て賃貸が有利。 借家の空室率は約30%と供給過多気味で、空室長期化リスクに要警戒。</t>
        </is>
      </c>
      <c r="V486" t="inlineStr">
        <is>
          <t>富岡市（群馬県）：利根川・烏川水系の洪水、北部山間の土砂災害・雪害、浅間山の降灰に注意。</t>
        </is>
      </c>
    </row>
    <row r="487">
      <c r="A487" t="inlineStr">
        <is>
          <t>群馬県</t>
        </is>
      </c>
      <c r="B487" t="inlineStr">
        <is>
          <t>安中市</t>
        </is>
      </c>
      <c r="C487" t="n">
        <v>22430</v>
      </c>
      <c r="D487" t="n">
        <v>51556</v>
      </c>
      <c r="E487" s="6" t="n">
        <v>183.5</v>
      </c>
      <c r="F487" s="7" t="n">
        <v>28.4</v>
      </c>
      <c r="G487" t="n">
        <v>54907</v>
      </c>
      <c r="H487" t="n">
        <v>51556</v>
      </c>
      <c r="I487" t="n">
        <v>48286</v>
      </c>
      <c r="J487" t="n">
        <v>38042</v>
      </c>
      <c r="K487" s="27">
        <f>(H487/D487-1)</f>
        <v/>
      </c>
      <c r="L487" s="27">
        <f>(I487/D487-1)</f>
        <v/>
      </c>
      <c r="M487" s="27">
        <f>(J487/D487-1)</f>
        <v/>
      </c>
      <c r="N487" t="n">
        <v>46.3</v>
      </c>
      <c r="O487" s="28">
        <f>(N487+F487)/2</f>
        <v/>
      </c>
      <c r="P487">
        <f>IF(O487="計算不能","計算不能",IF(O487&gt;=80,5,IF(O487&gt;=60,4,IF(O487&gt;=40,3,IF(O487&gt;=28,2,1)))))</f>
        <v/>
      </c>
      <c r="Q487" t="n">
        <v>5460</v>
      </c>
      <c r="R487" t="n">
        <v>910</v>
      </c>
      <c r="S487" s="27">
        <f>R487/Q487</f>
        <v/>
      </c>
      <c r="T487" t="inlineStr">
        <is>
          <t>安中市は2045年までに人口が約26.2%減と明確な減少トレンド。高齢化の進行と世帯数の縮小により、中長期では賃貸需要の構造的縮小に警戒が必要。</t>
        </is>
      </c>
      <c r="U487" t="inlineStr">
        <is>
          <t>安中市は人口密度184人/km²と過疎的水準で、民間賃貸の新規需要は薄い。実需に裏付けられた格安戸建ての指値取得のみが現実的。 借家の空室率は約17%と需給は比較的引き締まっている。</t>
        </is>
      </c>
      <c r="V487" t="inlineStr">
        <is>
          <t>安中市（群馬県）：利根川・烏川水系の洪水、北部山間の土砂災害・雪害、浅間山の降灰に注意。</t>
        </is>
      </c>
    </row>
    <row r="488">
      <c r="A488" t="inlineStr">
        <is>
          <t>群馬県</t>
        </is>
      </c>
      <c r="B488" t="inlineStr">
        <is>
          <t>みどり市</t>
        </is>
      </c>
      <c r="C488" t="n">
        <v>20710</v>
      </c>
      <c r="D488" t="n">
        <v>47266</v>
      </c>
      <c r="E488" s="6" t="n">
        <v>231.3</v>
      </c>
      <c r="F488" s="7" t="n">
        <v>31.6</v>
      </c>
      <c r="G488" t="n">
        <v>49648</v>
      </c>
      <c r="H488" t="n">
        <v>47266</v>
      </c>
      <c r="I488" t="n">
        <v>45165</v>
      </c>
      <c r="J488" t="n">
        <v>38183</v>
      </c>
      <c r="K488" s="27">
        <f>(H488/D488-1)</f>
        <v/>
      </c>
      <c r="L488" s="27">
        <f>(I488/D488-1)</f>
        <v/>
      </c>
      <c r="M488" s="27">
        <f>(J488/D488-1)</f>
        <v/>
      </c>
      <c r="N488" t="n">
        <v>53.3</v>
      </c>
      <c r="O488" s="28">
        <f>(N488+F488)/2</f>
        <v/>
      </c>
      <c r="P488">
        <f>IF(O488="計算不能","計算不能",IF(O488&gt;=80,5,IF(O488&gt;=60,4,IF(O488&gt;=40,3,IF(O488&gt;=28,2,1)))))</f>
        <v/>
      </c>
      <c r="Q488" t="n">
        <v>5041</v>
      </c>
      <c r="R488" t="n">
        <v>1460</v>
      </c>
      <c r="S488" s="27">
        <f>R488/Q488</f>
        <v/>
      </c>
      <c r="T488" t="inlineStr">
        <is>
          <t>みどり市は2045年までに人口が約19.2%減と明確な減少トレンド。高齢化の進行と世帯数の縮小により、中長期では賃貸需要の構造的縮小に警戒が必要。</t>
        </is>
      </c>
      <c r="U488" t="inlineStr">
        <is>
          <t>みどり市は人口密度231人/km²と低密度で、賃貸需要は限定的。持ち家比率が高く、駐車場完備の戸建て賃貸が有利。 借家の空室率は約29%と供給過多気味で、空室長期化リスクに要警戒。</t>
        </is>
      </c>
      <c r="V488" t="inlineStr">
        <is>
          <t>みどり市（群馬県）：利根川・烏川水系の洪水、北部山間の土砂災害・雪害、浅間山の降灰に注意。</t>
        </is>
      </c>
    </row>
    <row r="489">
      <c r="A489" t="inlineStr">
        <is>
          <t>群馬県</t>
        </is>
      </c>
      <c r="B489" t="inlineStr">
        <is>
          <t>榛東村</t>
        </is>
      </c>
      <c r="C489" t="n">
        <v>6327</v>
      </c>
      <c r="D489" t="n">
        <v>14075</v>
      </c>
      <c r="E489" s="6" t="n">
        <v>504.1</v>
      </c>
      <c r="F489" s="7" t="n">
        <v>45.1</v>
      </c>
      <c r="G489" t="n">
        <v>14216</v>
      </c>
      <c r="H489" t="n">
        <v>14075</v>
      </c>
      <c r="I489" t="n">
        <v>13856</v>
      </c>
      <c r="J489" t="n">
        <v>12733</v>
      </c>
      <c r="K489" s="27">
        <f>(H489/D489-1)</f>
        <v/>
      </c>
      <c r="L489" s="27">
        <f>(I489/D489-1)</f>
        <v/>
      </c>
      <c r="M489" s="27">
        <f>(J489/D489-1)</f>
        <v/>
      </c>
      <c r="N489" t="n">
        <v>67.2</v>
      </c>
      <c r="O489" s="28">
        <f>(N489+F489)/2</f>
        <v/>
      </c>
      <c r="P489">
        <f>IF(O489="計算不能","計算不能",IF(O489&gt;=80,5,IF(O489&gt;=60,4,IF(O489&gt;=40,3,IF(O489&gt;=28,2,1)))))</f>
        <v/>
      </c>
      <c r="Q489" t="n">
        <v>1540</v>
      </c>
      <c r="R489" t="n">
        <v>0</v>
      </c>
      <c r="S489" s="27">
        <f>R489/Q489</f>
        <v/>
      </c>
      <c r="T489" t="inlineStr">
        <is>
          <t>榛東村は2045年までに人口が約9.5%減と緩やかな減少局面。若年層の都市部流出と高齢化が進むが、当面の賃貸稼働は一定程度維持される見通し。</t>
        </is>
      </c>
      <c r="U489" t="inlineStr">
        <is>
          <t>榛東村は人口密度504人/km²で、主要道路沿いや中心市街地に一定の賃貸需要が局在。立地選別が稼働を左右する。 借家の空室率は約0%と需給は比較的引き締まっている。</t>
        </is>
      </c>
      <c r="V489" t="inlineStr">
        <is>
          <t>榛東村（群馬県）：利根川・烏川水系の洪水、北部山間の土砂災害・雪害、浅間山の降灰に注意。</t>
        </is>
      </c>
    </row>
    <row r="490">
      <c r="A490" t="inlineStr">
        <is>
          <t>群馬県</t>
        </is>
      </c>
      <c r="B490" t="inlineStr">
        <is>
          <t>吉岡町</t>
        </is>
      </c>
      <c r="C490" t="n">
        <v>8540</v>
      </c>
      <c r="D490" t="n">
        <v>22326</v>
      </c>
      <c r="E490" s="6" t="n">
        <v>1119.3</v>
      </c>
      <c r="F490" s="7" t="n">
        <v>57.4</v>
      </c>
      <c r="G490" t="n">
        <v>21792</v>
      </c>
      <c r="H490" t="n">
        <v>22326</v>
      </c>
      <c r="I490" t="n">
        <v>22704</v>
      </c>
      <c r="J490" t="n">
        <v>22571</v>
      </c>
      <c r="K490" s="27">
        <f>(H490/D490-1)</f>
        <v/>
      </c>
      <c r="L490" s="27">
        <f>(I490/D490-1)</f>
        <v/>
      </c>
      <c r="M490" s="27">
        <f>(J490/D490-1)</f>
        <v/>
      </c>
      <c r="N490" t="n">
        <v>81.7</v>
      </c>
      <c r="O490" s="28">
        <f>(N490+F490)/2</f>
        <v/>
      </c>
      <c r="P490">
        <f>IF(O490="計算不能","計算不能",IF(O490&gt;=80,5,IF(O490&gt;=60,4,IF(O490&gt;=40,3,IF(O490&gt;=28,2,1)))))</f>
        <v/>
      </c>
      <c r="Q490" t="n">
        <v>2078</v>
      </c>
      <c r="R490" t="n">
        <v>340</v>
      </c>
      <c r="S490" s="27">
        <f>R490/Q490</f>
        <v/>
      </c>
      <c r="T490" t="inlineStr">
        <is>
          <t>吉岡町は2045年までの人口減少率が約1.1%と全国平均より緩やかで、概ね横ばいの安定推移。生産年齢人口の維持により、賃貸需要の急減リスクは相対的に低い。</t>
        </is>
      </c>
      <c r="U490" t="inlineStr">
        <is>
          <t>吉岡町は人口密度1,119人/km²で、主要道路沿いや中心市街地に一定の賃貸需要が局在。立地選別が稼働を左右する。 借家の空室率は約16%と需給は比較的引き締まっている。</t>
        </is>
      </c>
      <c r="V490" t="inlineStr">
        <is>
          <t>吉岡町（群馬県）：利根川・烏川水系の洪水、北部山間の土砂災害・雪害、浅間山の降灰に注意。</t>
        </is>
      </c>
    </row>
    <row r="491">
      <c r="A491" t="inlineStr">
        <is>
          <t>群馬県</t>
        </is>
      </c>
      <c r="B491" t="inlineStr">
        <is>
          <t>上野村</t>
        </is>
      </c>
      <c r="C491" t="n">
        <v>526</v>
      </c>
      <c r="D491" t="n">
        <v>990</v>
      </c>
      <c r="E491" s="6" t="n">
        <v>5.3</v>
      </c>
      <c r="F491" s="7" t="n">
        <v>10.5</v>
      </c>
      <c r="G491" t="n">
        <v>1128</v>
      </c>
      <c r="H491" t="n">
        <v>990</v>
      </c>
      <c r="I491" t="n">
        <v>877</v>
      </c>
      <c r="J491" t="n">
        <v>644</v>
      </c>
      <c r="K491" s="27">
        <f>(H491/D491-1)</f>
        <v/>
      </c>
      <c r="L491" s="27">
        <f>(I491/D491-1)</f>
        <v/>
      </c>
      <c r="M491" s="27">
        <f>(J491/D491-1)</f>
        <v/>
      </c>
      <c r="N491" t="n">
        <v>36.6</v>
      </c>
      <c r="O491" s="28">
        <f>(N491+F491)/2</f>
        <v/>
      </c>
      <c r="P491">
        <f>IF(O491="計算不能","計算不能",IF(O491&gt;=80,5,IF(O491&gt;=60,4,IF(O491&gt;=40,3,IF(O491&gt;=28,2,1)))))</f>
        <v/>
      </c>
      <c r="Q491" t="n">
        <v>128</v>
      </c>
      <c r="R491" t="n">
        <v>0</v>
      </c>
      <c r="S491" s="27">
        <f>R491/Q491</f>
        <v/>
      </c>
      <c r="T491" t="inlineStr">
        <is>
          <t>上野村は2045年までに人口が約34.9%減と急激な過疎・超高齢化が進行。若年労働世代の流出と自然減が重なり、賃貸事業としての持続性は極めて限定的。</t>
        </is>
      </c>
      <c r="U491" t="inlineStr">
        <is>
          <t>上野村は人口密度5人/km²と過疎的水準で、民間賃貸の新規需要は薄い。実需に裏付けられた格安戸建ての指値取得のみが現実的。 借家の空室率は約0%と需給は比較的引き締まっている。</t>
        </is>
      </c>
      <c r="V491" t="inlineStr">
        <is>
          <t>上野村（群馬県）：利根川・烏川水系の洪水、北部山間の土砂災害・雪害、浅間山の降灰に注意。</t>
        </is>
      </c>
    </row>
    <row r="492">
      <c r="A492" t="inlineStr">
        <is>
          <t>群馬県</t>
        </is>
      </c>
      <c r="B492" t="inlineStr">
        <is>
          <t>神流町</t>
        </is>
      </c>
      <c r="C492" t="n">
        <v>860</v>
      </c>
      <c r="D492" t="n">
        <v>1361</v>
      </c>
      <c r="E492" s="6" t="n">
        <v>11.3</v>
      </c>
      <c r="F492" s="7" t="n">
        <v>11.1</v>
      </c>
      <c r="G492" t="n">
        <v>1645</v>
      </c>
      <c r="H492" t="n">
        <v>1361</v>
      </c>
      <c r="I492" t="n">
        <v>1132</v>
      </c>
      <c r="J492" t="n">
        <v>619</v>
      </c>
      <c r="K492" s="27">
        <f>(H492/D492-1)</f>
        <v/>
      </c>
      <c r="L492" s="27">
        <f>(I492/D492-1)</f>
        <v/>
      </c>
      <c r="M492" s="27">
        <f>(J492/D492-1)</f>
        <v/>
      </c>
      <c r="N492" t="n">
        <v>28.3</v>
      </c>
      <c r="O492" s="28">
        <f>(N492+F492)/2</f>
        <v/>
      </c>
      <c r="P492">
        <f>IF(O492="計算不能","計算不能",IF(O492&gt;=80,5,IF(O492&gt;=60,4,IF(O492&gt;=40,3,IF(O492&gt;=28,2,1)))))</f>
        <v/>
      </c>
      <c r="Q492" t="n">
        <v>209</v>
      </c>
      <c r="R492" t="n">
        <v>0</v>
      </c>
      <c r="S492" s="27">
        <f>R492/Q492</f>
        <v/>
      </c>
      <c r="T492" t="inlineStr">
        <is>
          <t>神流町は2045年までに人口が約54.5%減と急激な過疎・超高齢化が進行。若年労働世代の流出と自然減が重なり、賃貸事業としての持続性は極めて限定的。</t>
        </is>
      </c>
      <c r="U492" t="inlineStr">
        <is>
          <t>神流町は人口密度11人/km²と過疎的水準で、民間賃貸の新規需要は薄い。実需に裏付けられた格安戸建ての指値取得のみが現実的。 借家の空室率は約0%と需給は比較的引き締まっている。</t>
        </is>
      </c>
      <c r="V492" t="inlineStr">
        <is>
          <t>神流町（群馬県）：利根川・烏川水系の洪水、北部山間の土砂災害・雪害、浅間山の降灰に注意。</t>
        </is>
      </c>
    </row>
    <row r="493">
      <c r="A493" t="inlineStr">
        <is>
          <t>群馬県</t>
        </is>
      </c>
      <c r="B493" t="inlineStr">
        <is>
          <t>下仁田町</t>
        </is>
      </c>
      <c r="C493" t="n">
        <v>3118</v>
      </c>
      <c r="D493" t="n">
        <v>5633</v>
      </c>
      <c r="E493" s="6" t="n">
        <v>29</v>
      </c>
      <c r="F493" s="7" t="n">
        <v>12.9</v>
      </c>
      <c r="G493" t="n">
        <v>6576</v>
      </c>
      <c r="H493" t="n">
        <v>5633</v>
      </c>
      <c r="I493" t="n">
        <v>4816</v>
      </c>
      <c r="J493" t="n">
        <v>2800</v>
      </c>
      <c r="K493" s="27">
        <f>(H493/D493-1)</f>
        <v/>
      </c>
      <c r="L493" s="27">
        <f>(I493/D493-1)</f>
        <v/>
      </c>
      <c r="M493" s="27">
        <f>(J493/D493-1)</f>
        <v/>
      </c>
      <c r="N493" t="n">
        <v>30.5</v>
      </c>
      <c r="O493" s="28">
        <f>(N493+F493)/2</f>
        <v/>
      </c>
      <c r="P493">
        <f>IF(O493="計算不能","計算不能",IF(O493&gt;=80,5,IF(O493&gt;=60,4,IF(O493&gt;=40,3,IF(O493&gt;=28,2,1)))))</f>
        <v/>
      </c>
      <c r="Q493" t="n">
        <v>759</v>
      </c>
      <c r="R493" t="n">
        <v>0</v>
      </c>
      <c r="S493" s="27">
        <f>R493/Q493</f>
        <v/>
      </c>
      <c r="T493" t="inlineStr">
        <is>
          <t>下仁田町は2045年までに人口が約50.3%減と急激な過疎・超高齢化が進行。若年労働世代の流出と自然減が重なり、賃貸事業としての持続性は極めて限定的。</t>
        </is>
      </c>
      <c r="U493" t="inlineStr">
        <is>
          <t>下仁田町は人口密度29人/km²と過疎的水準で、民間賃貸の新規需要は薄い。実需に裏付けられた格安戸建ての指値取得のみが現実的。 借家の空室率は約0%と需給は比較的引き締まっている。</t>
        </is>
      </c>
      <c r="V493" t="inlineStr">
        <is>
          <t>下仁田町（群馬県）：利根川・烏川水系の洪水、北部山間の土砂災害・雪害、浅間山の降灰に注意。</t>
        </is>
      </c>
    </row>
    <row r="494">
      <c r="A494" t="inlineStr">
        <is>
          <t>群馬県</t>
        </is>
      </c>
      <c r="B494" t="inlineStr">
        <is>
          <t>南牧村</t>
        </is>
      </c>
      <c r="C494" t="n">
        <v>1330</v>
      </c>
      <c r="D494" t="n">
        <v>1299</v>
      </c>
      <c r="E494" s="6" t="n">
        <v>25.1</v>
      </c>
      <c r="F494" s="7" t="n">
        <v>12.5</v>
      </c>
      <c r="G494" t="n">
        <v>1611</v>
      </c>
      <c r="H494" t="n">
        <v>1299</v>
      </c>
      <c r="I494" t="n">
        <v>1038</v>
      </c>
      <c r="J494" t="n">
        <v>522</v>
      </c>
      <c r="K494" s="27">
        <f>(H494/D494-1)</f>
        <v/>
      </c>
      <c r="L494" s="27">
        <f>(I494/D494-1)</f>
        <v/>
      </c>
      <c r="M494" s="27">
        <f>(J494/D494-1)</f>
        <v/>
      </c>
      <c r="N494" t="n">
        <v>26.5</v>
      </c>
      <c r="O494" s="28">
        <f>(N494+F494)/2</f>
        <v/>
      </c>
      <c r="P494">
        <f>IF(O494="計算不能","計算不能",IF(O494&gt;=80,5,IF(O494&gt;=60,4,IF(O494&gt;=40,3,IF(O494&gt;=28,2,1)))))</f>
        <v/>
      </c>
      <c r="Q494" t="n">
        <v>323</v>
      </c>
      <c r="R494" t="n">
        <v>0</v>
      </c>
      <c r="S494" s="27">
        <f>R494/Q494</f>
        <v/>
      </c>
      <c r="T494" t="inlineStr">
        <is>
          <t>南牧村は2045年までに人口が約59.8%減と急激な過疎・超高齢化が進行。若年労働世代の流出と自然減が重なり、賃貸事業としての持続性は極めて限定的。</t>
        </is>
      </c>
      <c r="U494" t="inlineStr">
        <is>
          <t>南牧村は人口密度25人/km²と過疎的水準で、民間賃貸の新規需要は薄い。実需に裏付けられた格安戸建ての指値取得のみが現実的。 借家の空室率は約0%と需給は比較的引き締まっている。</t>
        </is>
      </c>
      <c r="V494" t="inlineStr">
        <is>
          <t>南牧村（群馬県）：利根川・烏川水系の洪水、北部山間の土砂災害・雪害、浅間山の降灰に注意。</t>
        </is>
      </c>
    </row>
    <row r="495">
      <c r="A495" t="inlineStr">
        <is>
          <t>群馬県</t>
        </is>
      </c>
      <c r="B495" t="inlineStr">
        <is>
          <t>甘楽町</t>
        </is>
      </c>
      <c r="C495" t="n">
        <v>5158</v>
      </c>
      <c r="D495" t="n">
        <v>11583</v>
      </c>
      <c r="E495" s="6" t="n">
        <v>201.3</v>
      </c>
      <c r="F495" s="7" t="n">
        <v>30.1</v>
      </c>
      <c r="G495" t="n">
        <v>12491</v>
      </c>
      <c r="H495" t="n">
        <v>11583</v>
      </c>
      <c r="I495" t="n">
        <v>10920</v>
      </c>
      <c r="J495" t="n">
        <v>8644</v>
      </c>
      <c r="K495" s="27">
        <f>(H495/D495-1)</f>
        <v/>
      </c>
      <c r="L495" s="27">
        <f>(I495/D495-1)</f>
        <v/>
      </c>
      <c r="M495" s="27">
        <f>(J495/D495-1)</f>
        <v/>
      </c>
      <c r="N495" t="n">
        <v>45</v>
      </c>
      <c r="O495" s="28">
        <f>(N495+F495)/2</f>
        <v/>
      </c>
      <c r="P495">
        <f>IF(O495="計算不能","計算不能",IF(O495&gt;=80,5,IF(O495&gt;=60,4,IF(O495&gt;=40,3,IF(O495&gt;=28,2,1)))))</f>
        <v/>
      </c>
      <c r="Q495" t="n">
        <v>1255</v>
      </c>
      <c r="R495" t="n">
        <v>0</v>
      </c>
      <c r="S495" s="27">
        <f>R495/Q495</f>
        <v/>
      </c>
      <c r="T495" t="inlineStr">
        <is>
          <t>甘楽町は2045年までに人口が約25.4%減と明確な減少トレンド。高齢化の進行と世帯数の縮小により、中長期では賃貸需要の構造的縮小に警戒が必要。</t>
        </is>
      </c>
      <c r="U495" t="inlineStr">
        <is>
          <t>甘楽町は人口密度201人/km²と低密度で、賃貸需要は限定的。持ち家比率が高く、駐車場完備の戸建て賃貸が有利。 借家の空室率は約0%と需給は比較的引き締まっている。</t>
        </is>
      </c>
      <c r="V495" t="inlineStr">
        <is>
          <t>甘楽町（群馬県）：利根川・烏川水系の洪水、北部山間の土砂災害・雪害、浅間山の降灰に注意。</t>
        </is>
      </c>
    </row>
    <row r="496">
      <c r="A496" t="inlineStr">
        <is>
          <t>群馬県</t>
        </is>
      </c>
      <c r="B496" t="inlineStr">
        <is>
          <t>中之条町</t>
        </is>
      </c>
      <c r="C496" t="n">
        <v>6270</v>
      </c>
      <c r="D496" t="n">
        <v>14060</v>
      </c>
      <c r="E496" s="6" t="n">
        <v>31.6</v>
      </c>
      <c r="F496" s="7" t="n">
        <v>13.2</v>
      </c>
      <c r="G496" t="n">
        <v>15386</v>
      </c>
      <c r="H496" t="n">
        <v>14060</v>
      </c>
      <c r="I496" t="n">
        <v>12802</v>
      </c>
      <c r="J496" t="n">
        <v>9387</v>
      </c>
      <c r="K496" s="27">
        <f>(H496/D496-1)</f>
        <v/>
      </c>
      <c r="L496" s="27">
        <f>(I496/D496-1)</f>
        <v/>
      </c>
      <c r="M496" s="27">
        <f>(J496/D496-1)</f>
        <v/>
      </c>
      <c r="N496" t="n">
        <v>40.9</v>
      </c>
      <c r="O496" s="28">
        <f>(N496+F496)/2</f>
        <v/>
      </c>
      <c r="P496">
        <f>IF(O496="計算不能","計算不能",IF(O496&gt;=80,5,IF(O496&gt;=60,4,IF(O496&gt;=40,3,IF(O496&gt;=28,2,1)))))</f>
        <v/>
      </c>
      <c r="Q496" t="n">
        <v>1526</v>
      </c>
      <c r="R496" t="n">
        <v>330</v>
      </c>
      <c r="S496" s="27">
        <f>R496/Q496</f>
        <v/>
      </c>
      <c r="T496" t="inlineStr">
        <is>
          <t>中之条町は2045年までに人口が約33.2%減と急激な過疎・超高齢化が進行。若年労働世代の流出と自然減が重なり、賃貸事業としての持続性は極めて限定的。</t>
        </is>
      </c>
      <c r="U496" t="inlineStr">
        <is>
          <t>中之条町は人口密度32人/km²と過疎的水準で、民間賃貸の新規需要は薄い。実需に裏付けられた格安戸建ての指値取得のみが現実的。 借家の空室率は約22%とやや高めで、競合との差別化が必要。</t>
        </is>
      </c>
      <c r="V496" t="inlineStr">
        <is>
          <t>中之条町（群馬県）：利根川・烏川水系の洪水、北部山間の土砂災害・雪害、浅間山の降灰に注意。</t>
        </is>
      </c>
    </row>
    <row r="497">
      <c r="A497" t="inlineStr">
        <is>
          <t>群馬県</t>
        </is>
      </c>
      <c r="B497" t="inlineStr">
        <is>
          <t>長野原町</t>
        </is>
      </c>
      <c r="C497" t="n">
        <v>2523</v>
      </c>
      <c r="D497" t="n">
        <v>4641</v>
      </c>
      <c r="E497" s="6" t="n">
        <v>36.2</v>
      </c>
      <c r="F497" s="7" t="n">
        <v>13.6</v>
      </c>
      <c r="G497" t="n">
        <v>5095</v>
      </c>
      <c r="H497" t="n">
        <v>4641</v>
      </c>
      <c r="I497" t="n">
        <v>4219</v>
      </c>
      <c r="J497" t="n">
        <v>3047</v>
      </c>
      <c r="K497" s="27">
        <f>(H497/D497-1)</f>
        <v/>
      </c>
      <c r="L497" s="27">
        <f>(I497/D497-1)</f>
        <v/>
      </c>
      <c r="M497" s="27">
        <f>(J497/D497-1)</f>
        <v/>
      </c>
      <c r="N497" t="n">
        <v>40.4</v>
      </c>
      <c r="O497" s="28">
        <f>(N497+F497)/2</f>
        <v/>
      </c>
      <c r="P497">
        <f>IF(O497="計算不能","計算不能",IF(O497&gt;=80,5,IF(O497&gt;=60,4,IF(O497&gt;=40,3,IF(O497&gt;=28,2,1)))))</f>
        <v/>
      </c>
      <c r="Q497" t="n">
        <v>614</v>
      </c>
      <c r="R497" t="n">
        <v>0</v>
      </c>
      <c r="S497" s="27">
        <f>R497/Q497</f>
        <v/>
      </c>
      <c r="T497" t="inlineStr">
        <is>
          <t>長野原町は2045年までに人口が約34.3%減と急激な過疎・超高齢化が進行。若年労働世代の流出と自然減が重なり、賃貸事業としての持続性は極めて限定的。</t>
        </is>
      </c>
      <c r="U497" t="inlineStr">
        <is>
          <t>長野原町は人口密度36人/km²と過疎的水準で、民間賃貸の新規需要は薄い。実需に裏付けられた格安戸建ての指値取得のみが現実的。 借家の空室率は約0%と需給は比較的引き締まっている。</t>
        </is>
      </c>
      <c r="V497" t="inlineStr">
        <is>
          <t>長野原町（群馬県）：利根川・烏川水系の洪水、北部山間の土砂災害・雪害、浅間山の降灰に注意。</t>
        </is>
      </c>
    </row>
    <row r="498">
      <c r="A498" t="inlineStr">
        <is>
          <t>群馬県</t>
        </is>
      </c>
      <c r="B498" t="inlineStr">
        <is>
          <t>嬬恋村</t>
        </is>
      </c>
      <c r="C498" t="n">
        <v>4078</v>
      </c>
      <c r="D498" t="n">
        <v>8146</v>
      </c>
      <c r="E498" s="6" t="n">
        <v>24.3</v>
      </c>
      <c r="F498" s="7" t="n">
        <v>12.4</v>
      </c>
      <c r="G498" t="n">
        <v>8850</v>
      </c>
      <c r="H498" t="n">
        <v>8146</v>
      </c>
      <c r="I498" t="n">
        <v>7478</v>
      </c>
      <c r="J498" t="n">
        <v>5567</v>
      </c>
      <c r="K498" s="27">
        <f>(H498/D498-1)</f>
        <v/>
      </c>
      <c r="L498" s="27">
        <f>(I498/D498-1)</f>
        <v/>
      </c>
      <c r="M498" s="27">
        <f>(J498/D498-1)</f>
        <v/>
      </c>
      <c r="N498" t="n">
        <v>42.1</v>
      </c>
      <c r="O498" s="28">
        <f>(N498+F498)/2</f>
        <v/>
      </c>
      <c r="P498">
        <f>IF(O498="計算不能","計算不能",IF(O498&gt;=80,5,IF(O498&gt;=60,4,IF(O498&gt;=40,3,IF(O498&gt;=28,2,1)))))</f>
        <v/>
      </c>
      <c r="Q498" t="n">
        <v>992</v>
      </c>
      <c r="R498" t="n">
        <v>0</v>
      </c>
      <c r="S498" s="27">
        <f>R498/Q498</f>
        <v/>
      </c>
      <c r="T498" t="inlineStr">
        <is>
          <t>嬬恋村は2045年までに人口が約31.7%減と急激な過疎・超高齢化が進行。若年労働世代の流出と自然減が重なり、賃貸事業としての持続性は極めて限定的。</t>
        </is>
      </c>
      <c r="U498" t="inlineStr">
        <is>
          <t>嬬恋村は人口密度24人/km²と過疎的水準で、民間賃貸の新規需要は薄い。実需に裏付けられた格安戸建ての指値取得のみが現実的。 借家の空室率は約0%と需給は比較的引き締まっている。</t>
        </is>
      </c>
      <c r="V498" t="inlineStr">
        <is>
          <t>嬬恋村（群馬県）：利根川・烏川水系の洪水、北部山間の土砂災害・雪害、浅間山の降灰に注意。</t>
        </is>
      </c>
    </row>
    <row r="499">
      <c r="A499" t="inlineStr">
        <is>
          <t>群馬県</t>
        </is>
      </c>
      <c r="B499" t="inlineStr">
        <is>
          <t>草津町</t>
        </is>
      </c>
      <c r="C499" t="n">
        <v>3557</v>
      </c>
      <c r="D499" t="n">
        <v>5572</v>
      </c>
      <c r="E499" s="6" t="n">
        <v>115.5</v>
      </c>
      <c r="F499" s="7" t="n">
        <v>21.6</v>
      </c>
      <c r="G499" t="n">
        <v>6049</v>
      </c>
      <c r="H499" t="n">
        <v>5572</v>
      </c>
      <c r="I499" t="n">
        <v>5087</v>
      </c>
      <c r="J499" t="n">
        <v>3740</v>
      </c>
      <c r="K499" s="27">
        <f>(H499/D499-1)</f>
        <v/>
      </c>
      <c r="L499" s="27">
        <f>(I499/D499-1)</f>
        <v/>
      </c>
      <c r="M499" s="27">
        <f>(J499/D499-1)</f>
        <v/>
      </c>
      <c r="N499" t="n">
        <v>41.7</v>
      </c>
      <c r="O499" s="28">
        <f>(N499+F499)/2</f>
        <v/>
      </c>
      <c r="P499">
        <f>IF(O499="計算不能","計算不能",IF(O499&gt;=80,5,IF(O499&gt;=60,4,IF(O499&gt;=40,3,IF(O499&gt;=28,2,1)))))</f>
        <v/>
      </c>
      <c r="Q499" t="n">
        <v>865</v>
      </c>
      <c r="R499" t="n">
        <v>0</v>
      </c>
      <c r="S499" s="27">
        <f>R499/Q499</f>
        <v/>
      </c>
      <c r="T499" t="inlineStr">
        <is>
          <t>草津町は2045年までに人口が約32.9%減と急激な過疎・超高齢化が進行。若年労働世代の流出と自然減が重なり、賃貸事業としての持続性は極めて限定的。</t>
        </is>
      </c>
      <c r="U499" t="inlineStr">
        <is>
          <t>草津町は人口密度116人/km²と過疎的水準で、民間賃貸の新規需要は薄い。実需に裏付けられた格安戸建ての指値取得のみが現実的。 借家の空室率は約0%と需給は比較的引き締まっている。</t>
        </is>
      </c>
      <c r="V499" t="inlineStr">
        <is>
          <t>草津町（群馬県）：利根川・烏川水系の洪水、北部山間の土砂災害・雪害、浅間山の降灰に注意。</t>
        </is>
      </c>
    </row>
    <row r="500">
      <c r="A500" t="inlineStr">
        <is>
          <t>群馬県</t>
        </is>
      </c>
      <c r="B500" t="inlineStr">
        <is>
          <t>高山村</t>
        </is>
      </c>
      <c r="C500" t="n">
        <v>2461</v>
      </c>
      <c r="D500" t="n">
        <v>3309</v>
      </c>
      <c r="E500" s="6" t="n">
        <v>62.6</v>
      </c>
      <c r="F500" s="7" t="n">
        <v>16.3</v>
      </c>
      <c r="G500" t="n">
        <v>3511</v>
      </c>
      <c r="H500" t="n">
        <v>3309</v>
      </c>
      <c r="I500" t="n">
        <v>3110</v>
      </c>
      <c r="J500" t="n">
        <v>2524</v>
      </c>
      <c r="K500" s="27">
        <f>(H500/D500-1)</f>
        <v/>
      </c>
      <c r="L500" s="27">
        <f>(I500/D500-1)</f>
        <v/>
      </c>
      <c r="M500" s="27">
        <f>(J500/D500-1)</f>
        <v/>
      </c>
      <c r="N500" t="n">
        <v>48.3</v>
      </c>
      <c r="O500" s="28">
        <f>(N500+F500)/2</f>
        <v/>
      </c>
      <c r="P500">
        <f>IF(O500="計算不能","計算不能",IF(O500&gt;=80,5,IF(O500&gt;=60,4,IF(O500&gt;=40,3,IF(O500&gt;=28,2,1)))))</f>
        <v/>
      </c>
      <c r="Q500" t="n">
        <v>599</v>
      </c>
      <c r="R500" t="n">
        <v>0</v>
      </c>
      <c r="S500" s="27">
        <f>R500/Q500</f>
        <v/>
      </c>
      <c r="T500" t="inlineStr">
        <is>
          <t>高山村は2045年までに人口が約23.7%減と明確な減少トレンド。高齢化の進行と世帯数の縮小により、中長期では賃貸需要の構造的縮小に警戒が必要。</t>
        </is>
      </c>
      <c r="U500" t="inlineStr">
        <is>
          <t>高山村は人口密度63人/km²と過疎的水準で、民間賃貸の新規需要は薄い。実需に裏付けられた格安戸建ての指値取得のみが現実的。 借家の空室率は約0%と需給は比較的引き締まっている。</t>
        </is>
      </c>
      <c r="V500" t="inlineStr">
        <is>
          <t>高山村（群馬県）：利根川・烏川水系の洪水、北部山間の土砂災害・雪害、浅間山の降灰に注意。</t>
        </is>
      </c>
    </row>
    <row r="501">
      <c r="A501" t="inlineStr">
        <is>
          <t>群馬県</t>
        </is>
      </c>
      <c r="B501" t="inlineStr">
        <is>
          <t>東吾妻町</t>
        </is>
      </c>
      <c r="C501" t="n">
        <v>5453</v>
      </c>
      <c r="D501" t="n">
        <v>11465</v>
      </c>
      <c r="E501" s="6" t="n">
        <v>44.3</v>
      </c>
      <c r="F501" s="7" t="n">
        <v>14.4</v>
      </c>
      <c r="G501" t="n">
        <v>12728</v>
      </c>
      <c r="H501" t="n">
        <v>11465</v>
      </c>
      <c r="I501" t="n">
        <v>10277</v>
      </c>
      <c r="J501" t="n">
        <v>6988</v>
      </c>
      <c r="K501" s="27">
        <f>(H501/D501-1)</f>
        <v/>
      </c>
      <c r="L501" s="27">
        <f>(I501/D501-1)</f>
        <v/>
      </c>
      <c r="M501" s="27">
        <f>(J501/D501-1)</f>
        <v/>
      </c>
      <c r="N501" t="n">
        <v>38</v>
      </c>
      <c r="O501" s="28">
        <f>(N501+F501)/2</f>
        <v/>
      </c>
      <c r="P501">
        <f>IF(O501="計算不能","計算不能",IF(O501&gt;=80,5,IF(O501&gt;=60,4,IF(O501&gt;=40,3,IF(O501&gt;=28,2,1)))))</f>
        <v/>
      </c>
      <c r="Q501" t="n">
        <v>1327</v>
      </c>
      <c r="R501" t="n">
        <v>0</v>
      </c>
      <c r="S501" s="27">
        <f>R501/Q501</f>
        <v/>
      </c>
      <c r="T501" t="inlineStr">
        <is>
          <t>東吾妻町は2045年までに人口が約39.0%減と急激な過疎・超高齢化が進行。若年労働世代の流出と自然減が重なり、賃貸事業としての持続性は極めて限定的。</t>
        </is>
      </c>
      <c r="U501" t="inlineStr">
        <is>
          <t>東吾妻町は人口密度44人/km²と過疎的水準で、民間賃貸の新規需要は薄い。実需に裏付けられた格安戸建ての指値取得のみが現実的。 借家の空室率は約0%と需給は比較的引き締まっている。</t>
        </is>
      </c>
      <c r="V501" t="inlineStr">
        <is>
          <t>東吾妻町（群馬県）：利根川・烏川水系の洪水、北部山間の土砂災害・雪害、浅間山の降灰に注意。</t>
        </is>
      </c>
    </row>
    <row r="502">
      <c r="A502" t="inlineStr">
        <is>
          <t>群馬県</t>
        </is>
      </c>
      <c r="B502" t="inlineStr">
        <is>
          <t>片品村</t>
        </is>
      </c>
      <c r="C502" t="n">
        <v>1711</v>
      </c>
      <c r="D502" t="n">
        <v>3558</v>
      </c>
      <c r="E502" s="6" t="n">
        <v>9.1</v>
      </c>
      <c r="F502" s="7" t="n">
        <v>10.9</v>
      </c>
      <c r="G502" t="n">
        <v>3993</v>
      </c>
      <c r="H502" t="n">
        <v>3558</v>
      </c>
      <c r="I502" t="n">
        <v>3163</v>
      </c>
      <c r="J502" t="n">
        <v>2095</v>
      </c>
      <c r="K502" s="27">
        <f>(H502/D502-1)</f>
        <v/>
      </c>
      <c r="L502" s="27">
        <f>(I502/D502-1)</f>
        <v/>
      </c>
      <c r="M502" s="27">
        <f>(J502/D502-1)</f>
        <v/>
      </c>
      <c r="N502" t="n">
        <v>36.5</v>
      </c>
      <c r="O502" s="28">
        <f>(N502+F502)/2</f>
        <v/>
      </c>
      <c r="P502">
        <f>IF(O502="計算不能","計算不能",IF(O502&gt;=80,5,IF(O502&gt;=60,4,IF(O502&gt;=40,3,IF(O502&gt;=28,2,1)))))</f>
        <v/>
      </c>
      <c r="Q502" t="n">
        <v>416</v>
      </c>
      <c r="R502" t="n">
        <v>0</v>
      </c>
      <c r="S502" s="27">
        <f>R502/Q502</f>
        <v/>
      </c>
      <c r="T502" t="inlineStr">
        <is>
          <t>片品村は2045年までに人口が約41.1%減と急激な過疎・超高齢化が進行。若年労働世代の流出と自然減が重なり、賃貸事業としての持続性は極めて限定的。</t>
        </is>
      </c>
      <c r="U502" t="inlineStr">
        <is>
          <t>片品村は人口密度9人/km²と過疎的水準で、民間賃貸の新規需要は薄い。実需に裏付けられた格安戸建ての指値取得のみが現実的。 借家の空室率は約0%と需給は比較的引き締まっている。</t>
        </is>
      </c>
      <c r="V502" t="inlineStr">
        <is>
          <t>片品村（群馬県）：利根川・烏川水系の洪水、北部山間の土砂災害・雪害、浅間山の降灰に注意。</t>
        </is>
      </c>
    </row>
    <row r="503">
      <c r="A503" t="inlineStr">
        <is>
          <t>群馬県</t>
        </is>
      </c>
      <c r="B503" t="inlineStr">
        <is>
          <t>川場村</t>
        </is>
      </c>
      <c r="C503" t="n">
        <v>1109</v>
      </c>
      <c r="D503" t="n">
        <v>3174</v>
      </c>
      <c r="E503" s="6" t="n">
        <v>36.8</v>
      </c>
      <c r="F503" s="7" t="n">
        <v>13.7</v>
      </c>
      <c r="G503" t="n">
        <v>3480</v>
      </c>
      <c r="H503" t="n">
        <v>3174</v>
      </c>
      <c r="I503" t="n">
        <v>2921</v>
      </c>
      <c r="J503" t="n">
        <v>2346</v>
      </c>
      <c r="K503" s="27">
        <f>(H503/D503-1)</f>
        <v/>
      </c>
      <c r="L503" s="27">
        <f>(I503/D503-1)</f>
        <v/>
      </c>
      <c r="M503" s="27">
        <f>(J503/D503-1)</f>
        <v/>
      </c>
      <c r="N503" t="n">
        <v>42.7</v>
      </c>
      <c r="O503" s="28">
        <f>(N503+F503)/2</f>
        <v/>
      </c>
      <c r="P503">
        <f>IF(O503="計算不能","計算不能",IF(O503&gt;=80,5,IF(O503&gt;=60,4,IF(O503&gt;=40,3,IF(O503&gt;=28,2,1)))))</f>
        <v/>
      </c>
      <c r="Q503" t="n">
        <v>269</v>
      </c>
      <c r="R503" t="n">
        <v>0</v>
      </c>
      <c r="S503" s="27">
        <f>R503/Q503</f>
        <v/>
      </c>
      <c r="T503" t="inlineStr">
        <is>
          <t>川場村は2045年までに人口が約26.1%減と明確な減少トレンド。高齢化の進行と世帯数の縮小により、中長期では賃貸需要の構造的縮小に警戒が必要。</t>
        </is>
      </c>
      <c r="U503" t="inlineStr">
        <is>
          <t>川場村は人口密度37人/km²と過疎的水準で、民間賃貸の新規需要は薄い。実需に裏付けられた格安戸建ての指値取得のみが現実的。 借家の空室率は約0%と需給は比較的引き締まっている。</t>
        </is>
      </c>
      <c r="V503" t="inlineStr">
        <is>
          <t>川場村（群馬県）：利根川・烏川水系の洪水、北部山間の土砂災害・雪害、浅間山の降灰に注意。</t>
        </is>
      </c>
    </row>
    <row r="504">
      <c r="A504" t="inlineStr">
        <is>
          <t>群馬県</t>
        </is>
      </c>
      <c r="B504" t="inlineStr">
        <is>
          <t>昭和村</t>
        </is>
      </c>
      <c r="C504" t="n">
        <v>2975</v>
      </c>
      <c r="D504" t="n">
        <v>6630</v>
      </c>
      <c r="E504" s="6" t="n">
        <v>104.3</v>
      </c>
      <c r="F504" s="7" t="n">
        <v>20.4</v>
      </c>
      <c r="G504" t="n">
        <v>6953</v>
      </c>
      <c r="H504" t="n">
        <v>6630</v>
      </c>
      <c r="I504" t="n">
        <v>6327</v>
      </c>
      <c r="J504" t="n">
        <v>5340</v>
      </c>
      <c r="K504" s="27">
        <f>(H504/D504-1)</f>
        <v/>
      </c>
      <c r="L504" s="27">
        <f>(I504/D504-1)</f>
        <v/>
      </c>
      <c r="M504" s="27">
        <f>(J504/D504-1)</f>
        <v/>
      </c>
      <c r="N504" t="n">
        <v>53.4</v>
      </c>
      <c r="O504" s="28">
        <f>(N504+F504)/2</f>
        <v/>
      </c>
      <c r="P504">
        <f>IF(O504="計算不能","計算不能",IF(O504&gt;=80,5,IF(O504&gt;=60,4,IF(O504&gt;=40,3,IF(O504&gt;=28,2,1)))))</f>
        <v/>
      </c>
      <c r="Q504" t="n">
        <v>724</v>
      </c>
      <c r="R504" t="n">
        <v>0</v>
      </c>
      <c r="S504" s="27">
        <f>R504/Q504</f>
        <v/>
      </c>
      <c r="T504" t="inlineStr">
        <is>
          <t>昭和村は2045年までに人口が約19.5%減と明確な減少トレンド。高齢化の進行と世帯数の縮小により、中長期では賃貸需要の構造的縮小に警戒が必要。</t>
        </is>
      </c>
      <c r="U504" t="inlineStr">
        <is>
          <t>昭和村は人口密度104人/km²と過疎的水準で、民間賃貸の新規需要は薄い。実需に裏付けられた格安戸建ての指値取得のみが現実的。 借家の空室率は約0%と需給は比較的引き締まっている。</t>
        </is>
      </c>
      <c r="V504" t="inlineStr">
        <is>
          <t>昭和村（群馬県）：利根川・烏川水系の洪水、北部山間の土砂災害・雪害、浅間山の降灰に注意。</t>
        </is>
      </c>
    </row>
    <row r="505">
      <c r="A505" t="inlineStr">
        <is>
          <t>群馬県</t>
        </is>
      </c>
      <c r="B505" t="inlineStr">
        <is>
          <t>みなかみ町</t>
        </is>
      </c>
      <c r="C505" t="n">
        <v>6730</v>
      </c>
      <c r="D505" t="n">
        <v>15425</v>
      </c>
      <c r="E505" s="6" t="n">
        <v>20.2</v>
      </c>
      <c r="F505" s="7" t="n">
        <v>12</v>
      </c>
      <c r="G505" t="n">
        <v>17195</v>
      </c>
      <c r="H505" t="n">
        <v>15425</v>
      </c>
      <c r="I505" t="n">
        <v>13794</v>
      </c>
      <c r="J505" t="n">
        <v>9333</v>
      </c>
      <c r="K505" s="27">
        <f>(H505/D505-1)</f>
        <v/>
      </c>
      <c r="L505" s="27">
        <f>(I505/D505-1)</f>
        <v/>
      </c>
      <c r="M505" s="27">
        <f>(J505/D505-1)</f>
        <v/>
      </c>
      <c r="N505" t="n">
        <v>37.5</v>
      </c>
      <c r="O505" s="28">
        <f>(N505+F505)/2</f>
        <v/>
      </c>
      <c r="P505">
        <f>IF(O505="計算不能","計算不能",IF(O505&gt;=80,5,IF(O505&gt;=60,4,IF(O505&gt;=40,3,IF(O505&gt;=28,2,1)))))</f>
        <v/>
      </c>
      <c r="Q505" t="n">
        <v>1638</v>
      </c>
      <c r="R505" t="n">
        <v>150</v>
      </c>
      <c r="S505" s="27">
        <f>R505/Q505</f>
        <v/>
      </c>
      <c r="T505" t="inlineStr">
        <is>
          <t>みなかみ町は2045年までに人口が約39.5%減と急激な過疎・超高齢化が進行。若年労働世代の流出と自然減が重なり、賃貸事業としての持続性は極めて限定的。</t>
        </is>
      </c>
      <c r="U505" t="inlineStr">
        <is>
          <t>みなかみ町は人口密度20人/km²と過疎的水準で、民間賃貸の新規需要は薄い。実需に裏付けられた格安戸建ての指値取得のみが現実的。 借家の空室率は約9%と需給は比較的引き締まっている。</t>
        </is>
      </c>
      <c r="V505" t="inlineStr">
        <is>
          <t>みなかみ町（群馬県）：利根川・烏川水系の洪水、北部山間の土砂災害・雪害、浅間山の降灰に注意。</t>
        </is>
      </c>
    </row>
    <row r="506">
      <c r="A506" t="inlineStr">
        <is>
          <t>群馬県</t>
        </is>
      </c>
      <c r="B506" t="inlineStr">
        <is>
          <t>玉村町</t>
        </is>
      </c>
      <c r="C506" t="n">
        <v>15440</v>
      </c>
      <c r="D506" t="n">
        <v>34934</v>
      </c>
      <c r="E506" s="6" t="n">
        <v>1351.3</v>
      </c>
      <c r="F506" s="7" t="n">
        <v>62</v>
      </c>
      <c r="G506" t="n">
        <v>36054</v>
      </c>
      <c r="H506" t="n">
        <v>34934</v>
      </c>
      <c r="I506" t="n">
        <v>33553</v>
      </c>
      <c r="J506" t="n">
        <v>27888</v>
      </c>
      <c r="K506" s="27">
        <f>(H506/D506-1)</f>
        <v/>
      </c>
      <c r="L506" s="27">
        <f>(I506/D506-1)</f>
        <v/>
      </c>
      <c r="M506" s="27">
        <f>(J506/D506-1)</f>
        <v/>
      </c>
      <c r="N506" t="n">
        <v>56.3</v>
      </c>
      <c r="O506" s="28">
        <f>(N506+F506)/2</f>
        <v/>
      </c>
      <c r="P506">
        <f>IF(O506="計算不能","計算不能",IF(O506&gt;=80,5,IF(O506&gt;=60,4,IF(O506&gt;=40,3,IF(O506&gt;=28,2,1)))))</f>
        <v/>
      </c>
      <c r="Q506" t="n">
        <v>3758</v>
      </c>
      <c r="R506" t="n">
        <v>850</v>
      </c>
      <c r="S506" s="27">
        <f>R506/Q506</f>
        <v/>
      </c>
      <c r="T506" t="inlineStr">
        <is>
          <t>玉村町は2045年までに人口が約20.2%減と明確な減少トレンド。高齢化の進行と世帯数の縮小により、中長期では賃貸需要の構造的縮小に警戒が必要。</t>
        </is>
      </c>
      <c r="U506" t="inlineStr">
        <is>
          <t>玉村町は人口密度1,351人/km²で、主要道路沿いや中心市街地に一定の賃貸需要が局在。立地選別が稼働を左右する。 借家の空室率は約23%とやや高めで、競合との差別化が必要。</t>
        </is>
      </c>
      <c r="V506" t="inlineStr">
        <is>
          <t>玉村町（群馬県）：利根川・烏川水系の洪水、北部山間の土砂災害・雪害、浅間山の降灰に注意。</t>
        </is>
      </c>
    </row>
    <row r="507">
      <c r="A507" t="inlineStr">
        <is>
          <t>群馬県</t>
        </is>
      </c>
      <c r="B507" t="inlineStr">
        <is>
          <t>板倉町</t>
        </is>
      </c>
      <c r="C507" t="n">
        <v>5968</v>
      </c>
      <c r="D507" t="n">
        <v>13023</v>
      </c>
      <c r="E507" s="6" t="n">
        <v>302.8</v>
      </c>
      <c r="F507" s="7" t="n">
        <v>35.1</v>
      </c>
      <c r="G507" t="n">
        <v>14083</v>
      </c>
      <c r="H507" t="n">
        <v>13023</v>
      </c>
      <c r="I507" t="n">
        <v>12214</v>
      </c>
      <c r="J507" t="n">
        <v>9527</v>
      </c>
      <c r="K507" s="27">
        <f>(H507/D507-1)</f>
        <v/>
      </c>
      <c r="L507" s="27">
        <f>(I507/D507-1)</f>
        <v/>
      </c>
      <c r="M507" s="27">
        <f>(J507/D507-1)</f>
        <v/>
      </c>
      <c r="N507" t="n">
        <v>44.3</v>
      </c>
      <c r="O507" s="28">
        <f>(N507+F507)/2</f>
        <v/>
      </c>
      <c r="P507">
        <f>IF(O507="計算不能","計算不能",IF(O507&gt;=80,5,IF(O507&gt;=60,4,IF(O507&gt;=40,3,IF(O507&gt;=28,2,1)))))</f>
        <v/>
      </c>
      <c r="Q507" t="n">
        <v>1452</v>
      </c>
      <c r="R507" t="n">
        <v>0</v>
      </c>
      <c r="S507" s="27">
        <f>R507/Q507</f>
        <v/>
      </c>
      <c r="T507" t="inlineStr">
        <is>
          <t>板倉町は2045年までに人口が約26.8%減と明確な減少トレンド。高齢化の進行と世帯数の縮小により、中長期では賃貸需要の構造的縮小に警戒が必要。</t>
        </is>
      </c>
      <c r="U507" t="inlineStr">
        <is>
          <t>板倉町は人口密度303人/km²と低密度で、賃貸需要は限定的。持ち家比率が高く、駐車場完備の戸建て賃貸が有利。 借家の空室率は約0%と需給は比較的引き締まっている。</t>
        </is>
      </c>
      <c r="V507" t="inlineStr">
        <is>
          <t>板倉町（群馬県）：利根川・烏川水系の洪水、北部山間の土砂災害・雪害、浅間山の降灰に注意。</t>
        </is>
      </c>
    </row>
    <row r="508">
      <c r="A508" t="inlineStr">
        <is>
          <t>群馬県</t>
        </is>
      </c>
      <c r="B508" t="inlineStr">
        <is>
          <t>明和町</t>
        </is>
      </c>
      <c r="C508" t="n">
        <v>9656</v>
      </c>
      <c r="D508" t="n">
        <v>10257</v>
      </c>
      <c r="E508" s="6" t="n">
        <v>522.3</v>
      </c>
      <c r="F508" s="7" t="n">
        <v>45.4</v>
      </c>
      <c r="G508" t="n">
        <v>10882</v>
      </c>
      <c r="H508" t="n">
        <v>10257</v>
      </c>
      <c r="I508" t="n">
        <v>9939</v>
      </c>
      <c r="J508" t="n">
        <v>8680</v>
      </c>
      <c r="K508" s="27">
        <f>(H508/D508-1)</f>
        <v/>
      </c>
      <c r="L508" s="27">
        <f>(I508/D508-1)</f>
        <v/>
      </c>
      <c r="M508" s="27">
        <f>(J508/D508-1)</f>
        <v/>
      </c>
      <c r="N508" t="n">
        <v>54.2</v>
      </c>
      <c r="O508" s="28">
        <f>(N508+F508)/2</f>
        <v/>
      </c>
      <c r="P508">
        <f>IF(O508="計算不能","計算不能",IF(O508&gt;=80,5,IF(O508&gt;=60,4,IF(O508&gt;=40,3,IF(O508&gt;=28,2,1)))))</f>
        <v/>
      </c>
      <c r="Q508" t="n">
        <v>2350</v>
      </c>
      <c r="R508" t="n">
        <v>0</v>
      </c>
      <c r="S508" s="27">
        <f>R508/Q508</f>
        <v/>
      </c>
      <c r="T508" t="inlineStr">
        <is>
          <t>明和町は2045年までに人口が約15.4%減と明確な減少トレンド。高齢化の進行と世帯数の縮小により、中長期では賃貸需要の構造的縮小に警戒が必要。</t>
        </is>
      </c>
      <c r="U508" t="inlineStr">
        <is>
          <t>明和町は人口密度522人/km²で、主要道路沿いや中心市街地に一定の賃貸需要が局在。立地選別が稼働を左右する。 借家の空室率は約0%と需給は比較的引き締まっている。</t>
        </is>
      </c>
      <c r="V508" t="inlineStr">
        <is>
          <t>明和町（群馬県）：利根川・烏川水系の洪水、北部山間の土砂災害・雪害、浅間山の降灰に注意。</t>
        </is>
      </c>
    </row>
    <row r="509">
      <c r="A509" t="inlineStr">
        <is>
          <t>群馬県</t>
        </is>
      </c>
      <c r="B509" t="inlineStr">
        <is>
          <t>千代田町</t>
        </is>
      </c>
      <c r="C509" t="n">
        <v>4723</v>
      </c>
      <c r="D509" t="n">
        <v>10441</v>
      </c>
      <c r="E509" s="6" t="n">
        <v>475.7</v>
      </c>
      <c r="F509" s="7" t="n">
        <v>43.8</v>
      </c>
      <c r="G509" t="n">
        <v>10861</v>
      </c>
      <c r="H509" t="n">
        <v>10441</v>
      </c>
      <c r="I509" t="n">
        <v>10007</v>
      </c>
      <c r="J509" t="n">
        <v>8431</v>
      </c>
      <c r="K509" s="27">
        <f>(H509/D509-1)</f>
        <v/>
      </c>
      <c r="L509" s="27">
        <f>(I509/D509-1)</f>
        <v/>
      </c>
      <c r="M509" s="27">
        <f>(J509/D509-1)</f>
        <v/>
      </c>
      <c r="N509" t="n">
        <v>55.2</v>
      </c>
      <c r="O509" s="28">
        <f>(N509+F509)/2</f>
        <v/>
      </c>
      <c r="P509">
        <f>IF(O509="計算不能","計算不能",IF(O509&gt;=80,5,IF(O509&gt;=60,4,IF(O509&gt;=40,3,IF(O509&gt;=28,2,1)))))</f>
        <v/>
      </c>
      <c r="Q509" t="n">
        <v>1149</v>
      </c>
      <c r="R509" t="n">
        <v>0</v>
      </c>
      <c r="S509" s="27">
        <f>R509/Q509</f>
        <v/>
      </c>
      <c r="T509" t="inlineStr">
        <is>
          <t>千代田町は2045年までに人口が約19.3%減と明確な減少トレンド。高齢化の進行と世帯数の縮小により、中長期では賃貸需要の構造的縮小に警戒が必要。</t>
        </is>
      </c>
      <c r="U509" t="inlineStr">
        <is>
          <t>千代田町は人口密度476人/km²と低密度で、賃貸需要は限定的。持ち家比率が高く、駐車場完備の戸建て賃貸が有利。 借家の空室率は約0%と需給は比較的引き締まっている。</t>
        </is>
      </c>
      <c r="V509" t="inlineStr">
        <is>
          <t>千代田町（群馬県）：利根川・烏川水系の洪水、北部山間の土砂災害・雪害、浅間山の降灰に注意。</t>
        </is>
      </c>
    </row>
    <row r="510">
      <c r="A510" t="inlineStr">
        <is>
          <t>群馬県</t>
        </is>
      </c>
      <c r="B510" t="inlineStr">
        <is>
          <t>大泉町</t>
        </is>
      </c>
      <c r="C510" t="n">
        <v>18830</v>
      </c>
      <c r="D510" t="n">
        <v>41603</v>
      </c>
      <c r="E510" s="6" t="n">
        <v>2297.8</v>
      </c>
      <c r="F510" s="7" t="n">
        <v>73</v>
      </c>
      <c r="G510" t="n">
        <v>42089</v>
      </c>
      <c r="H510" t="n">
        <v>41603</v>
      </c>
      <c r="I510" t="n">
        <v>40788</v>
      </c>
      <c r="J510" t="n">
        <v>37305</v>
      </c>
      <c r="K510" s="27">
        <f>(H510/D510-1)</f>
        <v/>
      </c>
      <c r="L510" s="27">
        <f>(I510/D510-1)</f>
        <v/>
      </c>
      <c r="M510" s="27">
        <f>(J510/D510-1)</f>
        <v/>
      </c>
      <c r="N510" t="n">
        <v>66.2</v>
      </c>
      <c r="O510" s="28">
        <f>(N510+F510)/2</f>
        <v/>
      </c>
      <c r="P510">
        <f>IF(O510="計算不能","計算不能",IF(O510&gt;=80,5,IF(O510&gt;=60,4,IF(O510&gt;=40,3,IF(O510&gt;=28,2,1)))))</f>
        <v/>
      </c>
      <c r="Q510" t="n">
        <v>4583</v>
      </c>
      <c r="R510" t="n">
        <v>2850</v>
      </c>
      <c r="S510" s="27">
        <f>R510/Q510</f>
        <v/>
      </c>
      <c r="T510" t="inlineStr">
        <is>
          <t>大泉町は2045年までに人口が約10.3%減と緩やかな減少局面。若年層の都市部流出と高齢化が進むが、当面の賃貸稼働は一定程度維持される見通し。</t>
        </is>
      </c>
      <c r="U510" t="inlineStr">
        <is>
          <t>大泉町は人口密度2,298人/km²の都市部で、駅周辺や生活利便施設沿いに安定した賃貸需要がある。適切な家賃設定で高稼働を期待できる。 借家の空室率は約62%と供給過多気味で、空室長期化リスクに要警戒。</t>
        </is>
      </c>
      <c r="V510" t="inlineStr">
        <is>
          <t>大泉町（群馬県）：利根川・烏川水系の洪水、北部山間の土砂災害・雪害、浅間山の降灰に注意。</t>
        </is>
      </c>
    </row>
    <row r="511">
      <c r="A511" t="inlineStr">
        <is>
          <t>群馬県</t>
        </is>
      </c>
      <c r="B511" t="inlineStr">
        <is>
          <t>邑楽町</t>
        </is>
      </c>
      <c r="C511" t="n">
        <v>10000</v>
      </c>
      <c r="D511" t="n">
        <v>24510</v>
      </c>
      <c r="E511" s="6" t="n">
        <v>780.1</v>
      </c>
      <c r="F511" s="7" t="n">
        <v>50.6</v>
      </c>
      <c r="G511" t="n">
        <v>25522</v>
      </c>
      <c r="H511" t="n">
        <v>24510</v>
      </c>
      <c r="I511" t="n">
        <v>23347</v>
      </c>
      <c r="J511" t="n">
        <v>19221</v>
      </c>
      <c r="K511" s="27">
        <f>(H511/D511-1)</f>
        <v/>
      </c>
      <c r="L511" s="27">
        <f>(I511/D511-1)</f>
        <v/>
      </c>
      <c r="M511" s="27">
        <f>(J511/D511-1)</f>
        <v/>
      </c>
      <c r="N511" t="n">
        <v>53.5</v>
      </c>
      <c r="O511" s="28">
        <f>(N511+F511)/2</f>
        <v/>
      </c>
      <c r="P511">
        <f>IF(O511="計算不能","計算不能",IF(O511&gt;=80,5,IF(O511&gt;=60,4,IF(O511&gt;=40,3,IF(O511&gt;=28,2,1)))))</f>
        <v/>
      </c>
      <c r="Q511" t="n">
        <v>2434</v>
      </c>
      <c r="R511" t="n">
        <v>650</v>
      </c>
      <c r="S511" s="27">
        <f>R511/Q511</f>
        <v/>
      </c>
      <c r="T511" t="inlineStr">
        <is>
          <t>邑楽町は2045年までに人口が約21.6%減と明確な減少トレンド。高齢化の進行と世帯数の縮小により、中長期では賃貸需要の構造的縮小に警戒が必要。</t>
        </is>
      </c>
      <c r="U511" t="inlineStr">
        <is>
          <t>邑楽町は人口密度780人/km²で、主要道路沿いや中心市街地に一定の賃貸需要が局在。立地選別が稼働を左右する。 借家の空室率は約27%と供給過多気味で、空室長期化リスクに要警戒。</t>
        </is>
      </c>
      <c r="V511" t="inlineStr">
        <is>
          <t>邑楽町（群馬県）：利根川・烏川水系の洪水、北部山間の土砂災害・雪害、浅間山の降灰に注意。</t>
        </is>
      </c>
    </row>
    <row r="512">
      <c r="A512" t="inlineStr">
        <is>
          <t>埼玉県</t>
        </is>
      </c>
      <c r="B512" t="inlineStr">
        <is>
          <t>さいたま市</t>
        </is>
      </c>
      <c r="C512" t="n">
        <v>598800</v>
      </c>
      <c r="D512" t="n">
        <v>1353876</v>
      </c>
      <c r="E512" s="6" t="n">
        <v>6186</v>
      </c>
      <c r="F512" s="7" t="n">
        <v>92.40000000000001</v>
      </c>
      <c r="G512" t="n">
        <v>1324025</v>
      </c>
      <c r="H512" t="n">
        <v>1353876</v>
      </c>
      <c r="I512" t="n">
        <v>1362700</v>
      </c>
      <c r="J512" t="n">
        <v>1352396</v>
      </c>
      <c r="K512" s="27">
        <f>(H512/D512-1)</f>
        <v/>
      </c>
      <c r="L512" s="27">
        <f>(I512/D512-1)</f>
        <v/>
      </c>
      <c r="M512" s="27">
        <f>(J512/D512-1)</f>
        <v/>
      </c>
      <c r="N512" t="n">
        <v>79.90000000000001</v>
      </c>
      <c r="O512" s="28">
        <f>(N512+F512)/2</f>
        <v/>
      </c>
      <c r="P512">
        <f>IF(O512="計算不能","計算不能",IF(O512&gt;=80,5,IF(O512&gt;=60,4,IF(O512&gt;=40,3,IF(O512&gt;=28,2,1)))))</f>
        <v/>
      </c>
      <c r="Q512" t="n">
        <v>207700</v>
      </c>
      <c r="R512" t="n">
        <v>31400</v>
      </c>
      <c r="S512" s="27">
        <f>R512/Q512</f>
        <v/>
      </c>
      <c r="T512" t="inlineStr">
        <is>
          <t>さいたま市は2045年までの人口減少率が約0.1%と全国平均より緩やかで、概ね横ばいの安定推移。生産年齢人口の維持により、賃貸需要の急減リスクは相対的に低い。【最新動向】大宮・さいたま新都心・浦和の都心再開発に加え、武蔵浦和・岩槻の副都心整備も進行。首都圏屈指のベッドタウンとして子育て世代の流入が続き、人口は安定増。</t>
        </is>
      </c>
      <c r="U512" t="inlineStr">
        <is>
          <t>さいたま市は人口密度6,186人/km²の高密度市街地で、駅近ワンルームからファミリー向けまで極めて強い賃貸実需が存在。資産流動性・出口戦略の容易さも高い。 借家の空室率は約15%と需給は比較的引き締まっている。【最新動向】大宮・浦和を中心に通勤利便性を背景とした安定的な賃貸需要。再開発駅周辺は賃料上昇ポテンシャルが高く、ファミリー・単身ともに底堅い。</t>
        </is>
      </c>
      <c r="V512" t="inlineStr">
        <is>
          <t>さいたま市（埼玉県）：荒川・利根川・中川低地の内水・河川氾濫リスクが高い。地盤の軟弱なゼロメートル地帯に留意。</t>
        </is>
      </c>
    </row>
    <row r="513">
      <c r="A513" t="inlineStr">
        <is>
          <t>埼玉県</t>
        </is>
      </c>
      <c r="B513" t="inlineStr">
        <is>
          <t>川越市</t>
        </is>
      </c>
      <c r="C513" t="n">
        <v>156220</v>
      </c>
      <c r="D513" t="n">
        <v>355370</v>
      </c>
      <c r="E513" s="6" t="n">
        <v>3251.1</v>
      </c>
      <c r="F513" s="7" t="n">
        <v>80</v>
      </c>
      <c r="G513" t="n">
        <v>354571</v>
      </c>
      <c r="H513" t="n">
        <v>355370</v>
      </c>
      <c r="I513" t="n">
        <v>352898</v>
      </c>
      <c r="J513" t="n">
        <v>337466</v>
      </c>
      <c r="K513" s="27">
        <f>(H513/D513-1)</f>
        <v/>
      </c>
      <c r="L513" s="27">
        <f>(I513/D513-1)</f>
        <v/>
      </c>
      <c r="M513" s="27">
        <f>(J513/D513-1)</f>
        <v/>
      </c>
      <c r="N513" t="n">
        <v>72.40000000000001</v>
      </c>
      <c r="O513" s="28">
        <f>(N513+F513)/2</f>
        <v/>
      </c>
      <c r="P513">
        <f>IF(O513="計算不能","計算不能",IF(O513&gt;=80,5,IF(O513&gt;=60,4,IF(O513&gt;=40,3,IF(O513&gt;=28,2,1)))))</f>
        <v/>
      </c>
      <c r="Q513" t="n">
        <v>47553</v>
      </c>
      <c r="R513" t="n">
        <v>5820</v>
      </c>
      <c r="S513" s="27">
        <f>R513/Q513</f>
        <v/>
      </c>
      <c r="T513" t="inlineStr">
        <is>
          <t>川越市は2045年までに人口が約5.0%減と緩やかな減少局面。若年層の都市部流出と高齢化が進むが、当面の賃貸稼働は一定程度維持される見通し。</t>
        </is>
      </c>
      <c r="U513" t="inlineStr">
        <is>
          <t>川越市は人口密度3,251人/km²の都市部で、駅周辺や生活利便施設沿いに安定した賃貸需要がある。適切な家賃設定で高稼働を期待できる。 借家の空室率は約12%と需給は比較的引き締まっている。</t>
        </is>
      </c>
      <c r="V513" t="inlineStr">
        <is>
          <t>川越市（埼玉県）：荒川・利根川・中川低地の内水・河川氾濫リスクが高い。地盤の軟弱なゼロメートル地帯に留意。</t>
        </is>
      </c>
    </row>
    <row r="514">
      <c r="A514" t="inlineStr">
        <is>
          <t>埼玉県</t>
        </is>
      </c>
      <c r="B514" t="inlineStr">
        <is>
          <t>熊谷市</t>
        </is>
      </c>
      <c r="C514" t="n">
        <v>80580</v>
      </c>
      <c r="D514" t="n">
        <v>188920</v>
      </c>
      <c r="E514" s="6" t="n">
        <v>1178</v>
      </c>
      <c r="F514" s="7" t="n">
        <v>58.6</v>
      </c>
      <c r="G514" t="n">
        <v>194415</v>
      </c>
      <c r="H514" t="n">
        <v>188920</v>
      </c>
      <c r="I514" t="n">
        <v>182280</v>
      </c>
      <c r="J514" t="n">
        <v>158137</v>
      </c>
      <c r="K514" s="27">
        <f>(H514/D514-1)</f>
        <v/>
      </c>
      <c r="L514" s="27">
        <f>(I514/D514-1)</f>
        <v/>
      </c>
      <c r="M514" s="27">
        <f>(J514/D514-1)</f>
        <v/>
      </c>
      <c r="N514" t="n">
        <v>59</v>
      </c>
      <c r="O514" s="28">
        <f>(N514+F514)/2</f>
        <v/>
      </c>
      <c r="P514">
        <f>IF(O514="計算不能","計算不能",IF(O514&gt;=80,5,IF(O514&gt;=60,4,IF(O514&gt;=40,3,IF(O514&gt;=28,2,1)))))</f>
        <v/>
      </c>
      <c r="Q514" t="n">
        <v>24528</v>
      </c>
      <c r="R514" t="n">
        <v>5570</v>
      </c>
      <c r="S514" s="27">
        <f>R514/Q514</f>
        <v/>
      </c>
      <c r="T514" t="inlineStr">
        <is>
          <t>熊谷市は2045年までに人口が約16.3%減と明確な減少トレンド。高齢化の進行と世帯数の縮小により、中長期では賃貸需要の構造的縮小に警戒が必要。</t>
        </is>
      </c>
      <c r="U514" t="inlineStr">
        <is>
          <t>熊谷市は人口密度1,178人/km²で、主要道路沿いや中心市街地に一定の賃貸需要が局在。立地選別が稼働を左右する。 借家の空室率は約23%とやや高めで、競合との差別化が必要。</t>
        </is>
      </c>
      <c r="V514" t="inlineStr">
        <is>
          <t>熊谷市（埼玉県）：荒川・利根川・中川低地の内水・河川氾濫リスクが高い。地盤の軟弱なゼロメートル地帯に留意。</t>
        </is>
      </c>
    </row>
    <row r="515">
      <c r="A515" t="inlineStr">
        <is>
          <t>埼玉県</t>
        </is>
      </c>
      <c r="B515" t="inlineStr">
        <is>
          <t>川口市</t>
        </is>
      </c>
      <c r="C515" t="n">
        <v>272190</v>
      </c>
      <c r="D515" t="n">
        <v>602313</v>
      </c>
      <c r="E515" s="6" t="n">
        <v>9556.200000000001</v>
      </c>
      <c r="F515" s="7" t="n">
        <v>99.09999999999999</v>
      </c>
      <c r="G515" t="n">
        <v>594274</v>
      </c>
      <c r="H515" t="n">
        <v>602313</v>
      </c>
      <c r="I515" t="n">
        <v>605418</v>
      </c>
      <c r="J515" t="n">
        <v>603610</v>
      </c>
      <c r="K515" s="27">
        <f>(H515/D515-1)</f>
        <v/>
      </c>
      <c r="L515" s="27">
        <f>(I515/D515-1)</f>
        <v/>
      </c>
      <c r="M515" s="27">
        <f>(J515/D515-1)</f>
        <v/>
      </c>
      <c r="N515" t="n">
        <v>78.2</v>
      </c>
      <c r="O515" s="28">
        <f>(N515+F515)/2</f>
        <v/>
      </c>
      <c r="P515">
        <f>IF(O515="計算不能","計算不能",IF(O515&gt;=80,5,IF(O515&gt;=60,4,IF(O515&gt;=40,3,IF(O515&gt;=28,2,1)))))</f>
        <v/>
      </c>
      <c r="Q515" t="n">
        <v>82854</v>
      </c>
      <c r="R515" t="n">
        <v>16160</v>
      </c>
      <c r="S515" s="27">
        <f>R515/Q515</f>
        <v/>
      </c>
      <c r="T515" t="inlineStr">
        <is>
          <t>川口市は2045年までの人口減少率が約0.2%と全国平均より緩やかで、概ね横ばいの安定推移。生産年齢人口の維持により、賃貸需要の急減リスクは相対的に低い。</t>
        </is>
      </c>
      <c r="U515" t="inlineStr">
        <is>
          <t>川口市は人口密度9,556人/km²の高密度市街地で、駅近ワンルームからファミリー向けまで極めて強い賃貸実需が存在。資産流動性・出口戦略の容易さも高い。 借家の空室率は約20%とやや高めで、競合との差別化が必要。</t>
        </is>
      </c>
      <c r="V515" t="inlineStr">
        <is>
          <t>川口市（埼玉県）：荒川・利根川・中川低地の内水・河川氾濫リスクが高い。地盤の軟弱なゼロメートル地帯に留意。</t>
        </is>
      </c>
    </row>
    <row r="516">
      <c r="A516" t="inlineStr">
        <is>
          <t>埼玉県</t>
        </is>
      </c>
      <c r="B516" t="inlineStr">
        <is>
          <t>行田市</t>
        </is>
      </c>
      <c r="C516" t="n">
        <v>32410</v>
      </c>
      <c r="D516" t="n">
        <v>74480</v>
      </c>
      <c r="E516" s="6" t="n">
        <v>1128.7</v>
      </c>
      <c r="F516" s="7" t="n">
        <v>57.6</v>
      </c>
      <c r="G516" t="n">
        <v>78617</v>
      </c>
      <c r="H516" t="n">
        <v>74480</v>
      </c>
      <c r="I516" t="n">
        <v>69888</v>
      </c>
      <c r="J516" t="n">
        <v>54777</v>
      </c>
      <c r="K516" s="27">
        <f>(H516/D516-1)</f>
        <v/>
      </c>
      <c r="L516" s="27">
        <f>(I516/D516-1)</f>
        <v/>
      </c>
      <c r="M516" s="27">
        <f>(J516/D516-1)</f>
        <v/>
      </c>
      <c r="N516" t="n">
        <v>47.9</v>
      </c>
      <c r="O516" s="28">
        <f>(N516+F516)/2</f>
        <v/>
      </c>
      <c r="P516">
        <f>IF(O516="計算不能","計算不能",IF(O516&gt;=80,5,IF(O516&gt;=60,4,IF(O516&gt;=40,3,IF(O516&gt;=28,2,1)))))</f>
        <v/>
      </c>
      <c r="Q516" t="n">
        <v>9865</v>
      </c>
      <c r="R516" t="n">
        <v>1760</v>
      </c>
      <c r="S516" s="27">
        <f>R516/Q516</f>
        <v/>
      </c>
      <c r="T516" t="inlineStr">
        <is>
          <t>行田市は2045年までに人口が約26.5%減と明確な減少トレンド。高齢化の進行と世帯数の縮小により、中長期では賃貸需要の構造的縮小に警戒が必要。</t>
        </is>
      </c>
      <c r="U516" t="inlineStr">
        <is>
          <t>行田市は人口密度1,129人/km²で、主要道路沿いや中心市街地に一定の賃貸需要が局在。立地選別が稼働を左右する。 借家の空室率は約18%と需給は比較的引き締まっている。</t>
        </is>
      </c>
      <c r="V516" t="inlineStr">
        <is>
          <t>行田市（埼玉県）：荒川・利根川・中川低地の内水・河川氾濫リスクが高い。地盤の軟弱なゼロメートル地帯に留意。</t>
        </is>
      </c>
    </row>
    <row r="517">
      <c r="A517" t="inlineStr">
        <is>
          <t>埼玉県</t>
        </is>
      </c>
      <c r="B517" t="inlineStr">
        <is>
          <t>秩父市</t>
        </is>
      </c>
      <c r="C517" t="n">
        <v>23320</v>
      </c>
      <c r="D517" t="n">
        <v>55148</v>
      </c>
      <c r="E517" s="6" t="n">
        <v>94.59999999999999</v>
      </c>
      <c r="F517" s="7" t="n">
        <v>19.5</v>
      </c>
      <c r="G517" t="n">
        <v>59674</v>
      </c>
      <c r="H517" t="n">
        <v>55148</v>
      </c>
      <c r="I517" t="n">
        <v>51023</v>
      </c>
      <c r="J517" t="n">
        <v>39419</v>
      </c>
      <c r="K517" s="27">
        <f>(H517/D517-1)</f>
        <v/>
      </c>
      <c r="L517" s="27">
        <f>(I517/D517-1)</f>
        <v/>
      </c>
      <c r="M517" s="27">
        <f>(J517/D517-1)</f>
        <v/>
      </c>
      <c r="N517" t="n">
        <v>43.4</v>
      </c>
      <c r="O517" s="28">
        <f>(N517+F517)/2</f>
        <v/>
      </c>
      <c r="P517">
        <f>IF(O517="計算不能","計算不能",IF(O517&gt;=80,5,IF(O517&gt;=60,4,IF(O517&gt;=40,3,IF(O517&gt;=28,2,1)))))</f>
        <v/>
      </c>
      <c r="Q517" t="n">
        <v>7098</v>
      </c>
      <c r="R517" t="n">
        <v>2300</v>
      </c>
      <c r="S517" s="27">
        <f>R517/Q517</f>
        <v/>
      </c>
      <c r="T517" t="inlineStr">
        <is>
          <t>秩父市は2045年までに人口が約28.5%減と明確な減少トレンド。高齢化の進行と世帯数の縮小により、中長期では賃貸需要の構造的縮小に警戒が必要。</t>
        </is>
      </c>
      <c r="U517" t="inlineStr">
        <is>
          <t>秩父市は人口密度95人/km²と過疎的水準で、民間賃貸の新規需要は薄い。実需に裏付けられた格安戸建ての指値取得のみが現実的。 借家の空室率は約32%と供給過多気味で、空室長期化リスクに要警戒。</t>
        </is>
      </c>
      <c r="V517" t="inlineStr">
        <is>
          <t>秩父市（埼玉県）：荒川・利根川・中川低地の内水・河川氾濫リスクが高い。地盤の軟弱なゼロメートル地帯に留意。</t>
        </is>
      </c>
    </row>
    <row r="518">
      <c r="A518" t="inlineStr">
        <is>
          <t>埼玉県</t>
        </is>
      </c>
      <c r="B518" t="inlineStr">
        <is>
          <t>所沢市</t>
        </is>
      </c>
      <c r="C518" t="n">
        <v>157250</v>
      </c>
      <c r="D518" t="n">
        <v>339782</v>
      </c>
      <c r="E518" s="6" t="n">
        <v>4750.7</v>
      </c>
      <c r="F518" s="7" t="n">
        <v>80</v>
      </c>
      <c r="G518" t="n">
        <v>342464</v>
      </c>
      <c r="H518" t="n">
        <v>339782</v>
      </c>
      <c r="I518" t="n">
        <v>334989</v>
      </c>
      <c r="J518" t="n">
        <v>315029</v>
      </c>
      <c r="K518" s="27">
        <f>(H518/D518-1)</f>
        <v/>
      </c>
      <c r="L518" s="27">
        <f>(I518/D518-1)</f>
        <v/>
      </c>
      <c r="M518" s="27">
        <f>(J518/D518-1)</f>
        <v/>
      </c>
      <c r="N518" t="n">
        <v>68.8</v>
      </c>
      <c r="O518" s="28">
        <f>(N518+F518)/2</f>
        <v/>
      </c>
      <c r="P518">
        <f>IF(O518="計算不能","計算不能",IF(O518&gt;=80,5,IF(O518&gt;=60,4,IF(O518&gt;=40,3,IF(O518&gt;=28,2,1)))))</f>
        <v/>
      </c>
      <c r="Q518" t="n">
        <v>47866</v>
      </c>
      <c r="R518" t="n">
        <v>8480</v>
      </c>
      <c r="S518" s="27">
        <f>R518/Q518</f>
        <v/>
      </c>
      <c r="T518" t="inlineStr">
        <is>
          <t>所沢市は2045年までに人口が約7.3%減と緩やかな減少局面。若年層の都市部流出と高齢化が進むが、当面の賃貸稼働は一定程度維持される見通し。</t>
        </is>
      </c>
      <c r="U518" t="inlineStr">
        <is>
          <t>所沢市は人口密度4,751人/km²の都市部で、駅周辺や生活利便施設沿いに安定した賃貸需要がある。適切な家賃設定で高稼働を期待できる。 借家の空室率は約18%と需給は比較的引き締まっている。</t>
        </is>
      </c>
      <c r="V518" t="inlineStr">
        <is>
          <t>所沢市（埼玉県）：荒川・利根川・中川低地の内水・河川氾濫リスクが高い。地盤の軟弱なゼロメートル地帯に留意。</t>
        </is>
      </c>
    </row>
    <row r="519">
      <c r="A519" t="inlineStr">
        <is>
          <t>埼玉県</t>
        </is>
      </c>
      <c r="B519" t="inlineStr">
        <is>
          <t>飯能市</t>
        </is>
      </c>
      <c r="C519" t="n">
        <v>34280</v>
      </c>
      <c r="D519" t="n">
        <v>78885</v>
      </c>
      <c r="E519" s="6" t="n">
        <v>402.3</v>
      </c>
      <c r="F519" s="7" t="n">
        <v>40.1</v>
      </c>
      <c r="G519" t="n">
        <v>80361</v>
      </c>
      <c r="H519" t="n">
        <v>78885</v>
      </c>
      <c r="I519" t="n">
        <v>76263</v>
      </c>
      <c r="J519" t="n">
        <v>66635</v>
      </c>
      <c r="K519" s="27">
        <f>(H519/D519-1)</f>
        <v/>
      </c>
      <c r="L519" s="27">
        <f>(I519/D519-1)</f>
        <v/>
      </c>
      <c r="M519" s="27">
        <f>(J519/D519-1)</f>
        <v/>
      </c>
      <c r="N519" t="n">
        <v>61.4</v>
      </c>
      <c r="O519" s="28">
        <f>(N519+F519)/2</f>
        <v/>
      </c>
      <c r="P519">
        <f>IF(O519="計算不能","計算不能",IF(O519&gt;=80,5,IF(O519&gt;=60,4,IF(O519&gt;=40,3,IF(O519&gt;=28,2,1)))))</f>
        <v/>
      </c>
      <c r="Q519" t="n">
        <v>10434</v>
      </c>
      <c r="R519" t="n">
        <v>1420</v>
      </c>
      <c r="S519" s="27">
        <f>R519/Q519</f>
        <v/>
      </c>
      <c r="T519" t="inlineStr">
        <is>
          <t>飯能市は2045年までに人口が約15.5%減と明確な減少トレンド。高齢化の進行と世帯数の縮小により、中長期では賃貸需要の構造的縮小に警戒が必要。</t>
        </is>
      </c>
      <c r="U519" t="inlineStr">
        <is>
          <t>飯能市は人口密度402人/km²と低密度で、賃貸需要は限定的。持ち家比率が高く、駐車場完備の戸建て賃貸が有利。 借家の空室率は約14%と需給は比較的引き締まっている。</t>
        </is>
      </c>
      <c r="V519" t="inlineStr">
        <is>
          <t>飯能市（埼玉県）：荒川・利根川・中川低地の内水・河川氾濫リスクが高い。地盤の軟弱なゼロメートル地帯に留意。</t>
        </is>
      </c>
    </row>
    <row r="520">
      <c r="A520" t="inlineStr">
        <is>
          <t>埼玉県</t>
        </is>
      </c>
      <c r="B520" t="inlineStr">
        <is>
          <t>加須市</t>
        </is>
      </c>
      <c r="C520" t="n">
        <v>45150</v>
      </c>
      <c r="D520" t="n">
        <v>109475</v>
      </c>
      <c r="E520" s="6" t="n">
        <v>822.5</v>
      </c>
      <c r="F520" s="7" t="n">
        <v>51.5</v>
      </c>
      <c r="G520" t="n">
        <v>111623</v>
      </c>
      <c r="H520" t="n">
        <v>109475</v>
      </c>
      <c r="I520" t="n">
        <v>106034</v>
      </c>
      <c r="J520" t="n">
        <v>91763</v>
      </c>
      <c r="K520" s="27">
        <f>(H520/D520-1)</f>
        <v/>
      </c>
      <c r="L520" s="27">
        <f>(I520/D520-1)</f>
        <v/>
      </c>
      <c r="M520" s="27">
        <f>(J520/D520-1)</f>
        <v/>
      </c>
      <c r="N520" t="n">
        <v>61.1</v>
      </c>
      <c r="O520" s="28">
        <f>(N520+F520)/2</f>
        <v/>
      </c>
      <c r="P520">
        <f>IF(O520="計算不能","計算不能",IF(O520&gt;=80,5,IF(O520&gt;=60,4,IF(O520&gt;=40,3,IF(O520&gt;=28,2,1)))))</f>
        <v/>
      </c>
      <c r="Q520" t="n">
        <v>13743</v>
      </c>
      <c r="R520" t="n">
        <v>2280</v>
      </c>
      <c r="S520" s="27">
        <f>R520/Q520</f>
        <v/>
      </c>
      <c r="T520" t="inlineStr">
        <is>
          <t>加須市は2045年までに人口が約16.2%減と明確な減少トレンド。高齢化の進行と世帯数の縮小により、中長期では賃貸需要の構造的縮小に警戒が必要。</t>
        </is>
      </c>
      <c r="U520" t="inlineStr">
        <is>
          <t>加須市は人口密度822人/km²で、主要道路沿いや中心市街地に一定の賃貸需要が局在。立地選別が稼働を左右する。 借家の空室率は約17%と需給は比較的引き締まっている。</t>
        </is>
      </c>
      <c r="V520" t="inlineStr">
        <is>
          <t>加須市（埼玉県）：荒川・利根川・中川低地の内水・河川氾濫リスクが高い。地盤の軟弱なゼロメートル地帯に留意。</t>
        </is>
      </c>
    </row>
    <row r="521">
      <c r="A521" t="inlineStr">
        <is>
          <t>埼玉県</t>
        </is>
      </c>
      <c r="B521" t="inlineStr">
        <is>
          <t>本庄市</t>
        </is>
      </c>
      <c r="C521" t="n">
        <v>33940</v>
      </c>
      <c r="D521" t="n">
        <v>76871</v>
      </c>
      <c r="E521" s="6" t="n">
        <v>851.7</v>
      </c>
      <c r="F521" s="7" t="n">
        <v>52</v>
      </c>
      <c r="G521" t="n">
        <v>78569</v>
      </c>
      <c r="H521" t="n">
        <v>76871</v>
      </c>
      <c r="I521" t="n">
        <v>74876</v>
      </c>
      <c r="J521" t="n">
        <v>67647</v>
      </c>
      <c r="K521" s="27">
        <f>(H521/D521-1)</f>
        <v/>
      </c>
      <c r="L521" s="27">
        <f>(I521/D521-1)</f>
        <v/>
      </c>
      <c r="M521" s="27">
        <f>(J521/D521-1)</f>
        <v/>
      </c>
      <c r="N521" t="n">
        <v>63</v>
      </c>
      <c r="O521" s="28">
        <f>(N521+F521)/2</f>
        <v/>
      </c>
      <c r="P521">
        <f>IF(O521="計算不能","計算不能",IF(O521&gt;=80,5,IF(O521&gt;=60,4,IF(O521&gt;=40,3,IF(O521&gt;=28,2,1)))))</f>
        <v/>
      </c>
      <c r="Q521" t="n">
        <v>10331</v>
      </c>
      <c r="R521" t="n">
        <v>1560</v>
      </c>
      <c r="S521" s="27">
        <f>R521/Q521</f>
        <v/>
      </c>
      <c r="T521" t="inlineStr">
        <is>
          <t>本庄市は2045年までに人口が約12.0%減と緩やかな減少局面。若年層の都市部流出と高齢化が進むが、当面の賃貸稼働は一定程度維持される見通し。</t>
        </is>
      </c>
      <c r="U521" t="inlineStr">
        <is>
          <t>本庄市は人口密度852人/km²で、主要道路沿いや中心市街地に一定の賃貸需要が局在。立地選別が稼働を左右する。 借家の空室率は約15%と需給は比較的引き締まっている。</t>
        </is>
      </c>
      <c r="V521" t="inlineStr">
        <is>
          <t>本庄市（埼玉県）：荒川・利根川・中川低地の内水・河川氾濫リスクが高い。地盤の軟弱なゼロメートル地帯に留意。</t>
        </is>
      </c>
    </row>
    <row r="522">
      <c r="A522" t="inlineStr">
        <is>
          <t>埼玉県</t>
        </is>
      </c>
      <c r="B522" t="inlineStr">
        <is>
          <t>東松山市</t>
        </is>
      </c>
      <c r="C522" t="n">
        <v>40790</v>
      </c>
      <c r="D522" t="n">
        <v>90946</v>
      </c>
      <c r="E522" s="6" t="n">
        <v>1401.9</v>
      </c>
      <c r="F522" s="7" t="n">
        <v>63</v>
      </c>
      <c r="G522" t="n">
        <v>91791</v>
      </c>
      <c r="H522" t="n">
        <v>90946</v>
      </c>
      <c r="I522" t="n">
        <v>89230</v>
      </c>
      <c r="J522" t="n">
        <v>81337</v>
      </c>
      <c r="K522" s="27">
        <f>(H522/D522-1)</f>
        <v/>
      </c>
      <c r="L522" s="27">
        <f>(I522/D522-1)</f>
        <v/>
      </c>
      <c r="M522" s="27">
        <f>(J522/D522-1)</f>
        <v/>
      </c>
      <c r="N522" t="n">
        <v>66.59999999999999</v>
      </c>
      <c r="O522" s="28">
        <f>(N522+F522)/2</f>
        <v/>
      </c>
      <c r="P522">
        <f>IF(O522="計算不能","計算不能",IF(O522&gt;=80,5,IF(O522&gt;=60,4,IF(O522&gt;=40,3,IF(O522&gt;=28,2,1)))))</f>
        <v/>
      </c>
      <c r="Q522" t="n">
        <v>12416</v>
      </c>
      <c r="R522" t="n">
        <v>2020</v>
      </c>
      <c r="S522" s="27">
        <f>R522/Q522</f>
        <v/>
      </c>
      <c r="T522" t="inlineStr">
        <is>
          <t>東松山市は2045年までに人口が約10.6%減と緩やかな減少局面。若年層の都市部流出と高齢化が進むが、当面の賃貸稼働は一定程度維持される見通し。</t>
        </is>
      </c>
      <c r="U522" t="inlineStr">
        <is>
          <t>東松山市は人口密度1,402人/km²で、主要道路沿いや中心市街地に一定の賃貸需要が局在。立地選別が稼働を左右する。 借家の空室率は約16%と需給は比較的引き締まっている。</t>
        </is>
      </c>
      <c r="V522" t="inlineStr">
        <is>
          <t>東松山市（埼玉県）：荒川・利根川・中川低地の内水・河川氾濫リスクが高い。地盤の軟弱なゼロメートル地帯に留意。</t>
        </is>
      </c>
    </row>
    <row r="523">
      <c r="A523" t="inlineStr">
        <is>
          <t>埼玉県</t>
        </is>
      </c>
      <c r="B523" t="inlineStr">
        <is>
          <t>春日部市</t>
        </is>
      </c>
      <c r="C523" t="n">
        <v>99410</v>
      </c>
      <c r="D523" t="n">
        <v>223590</v>
      </c>
      <c r="E523" s="6" t="n">
        <v>3376</v>
      </c>
      <c r="F523" s="7" t="n">
        <v>80</v>
      </c>
      <c r="G523" t="n">
        <v>229792</v>
      </c>
      <c r="H523" t="n">
        <v>223590</v>
      </c>
      <c r="I523" t="n">
        <v>213991</v>
      </c>
      <c r="J523" t="n">
        <v>180999</v>
      </c>
      <c r="K523" s="27">
        <f>(H523/D523-1)</f>
        <v/>
      </c>
      <c r="L523" s="27">
        <f>(I523/D523-1)</f>
        <v/>
      </c>
      <c r="M523" s="27">
        <f>(J523/D523-1)</f>
        <v/>
      </c>
      <c r="N523" t="n">
        <v>57.4</v>
      </c>
      <c r="O523" s="28">
        <f>(N523+F523)/2</f>
        <v/>
      </c>
      <c r="P523">
        <f>IF(O523="計算不能","計算不能",IF(O523&gt;=80,5,IF(O523&gt;=60,4,IF(O523&gt;=40,3,IF(O523&gt;=28,2,1)))))</f>
        <v/>
      </c>
      <c r="Q523" t="n">
        <v>30260</v>
      </c>
      <c r="R523" t="n">
        <v>2710</v>
      </c>
      <c r="S523" s="27">
        <f>R523/Q523</f>
        <v/>
      </c>
      <c r="T523" t="inlineStr">
        <is>
          <t>春日部市は2045年までに人口が約19.0%減と明確な減少トレンド。高齢化の進行と世帯数の縮小により、中長期では賃貸需要の構造的縮小に警戒が必要。</t>
        </is>
      </c>
      <c r="U523" t="inlineStr">
        <is>
          <t>春日部市は人口密度3,376人/km²の都市部で、駅周辺や生活利便施設沿いに安定した賃貸需要がある。適切な家賃設定で高稼働を期待できる。 借家の空室率は約9%と需給は比較的引き締まっている。</t>
        </is>
      </c>
      <c r="V523" t="inlineStr">
        <is>
          <t>春日部市（埼玉県）：荒川・利根川・中川低地の内水・河川氾濫リスクが高い。地盤の軟弱なゼロメートル地帯に留意。</t>
        </is>
      </c>
    </row>
    <row r="524">
      <c r="A524" t="inlineStr">
        <is>
          <t>埼玉県</t>
        </is>
      </c>
      <c r="B524" t="inlineStr">
        <is>
          <t>狭山市</t>
        </is>
      </c>
      <c r="C524" t="n">
        <v>65800</v>
      </c>
      <c r="D524" t="n">
        <v>143489</v>
      </c>
      <c r="E524" s="6" t="n">
        <v>2913.9</v>
      </c>
      <c r="F524" s="7" t="n">
        <v>79.09999999999999</v>
      </c>
      <c r="G524" t="n">
        <v>148699</v>
      </c>
      <c r="H524" t="n">
        <v>143489</v>
      </c>
      <c r="I524" t="n">
        <v>137382</v>
      </c>
      <c r="J524" t="n">
        <v>116987</v>
      </c>
      <c r="K524" s="27">
        <f>(H524/D524-1)</f>
        <v/>
      </c>
      <c r="L524" s="27">
        <f>(I524/D524-1)</f>
        <v/>
      </c>
      <c r="M524" s="27">
        <f>(J524/D524-1)</f>
        <v/>
      </c>
      <c r="N524" t="n">
        <v>56.2</v>
      </c>
      <c r="O524" s="28">
        <f>(N524+F524)/2</f>
        <v/>
      </c>
      <c r="P524">
        <f>IF(O524="計算不能","計算不能",IF(O524&gt;=80,5,IF(O524&gt;=60,4,IF(O524&gt;=40,3,IF(O524&gt;=28,2,1)))))</f>
        <v/>
      </c>
      <c r="Q524" t="n">
        <v>20029</v>
      </c>
      <c r="R524" t="n">
        <v>3740</v>
      </c>
      <c r="S524" s="27">
        <f>R524/Q524</f>
        <v/>
      </c>
      <c r="T524" t="inlineStr">
        <is>
          <t>狭山市は2045年までに人口が約18.5%減と明確な減少トレンド。高齢化の進行と世帯数の縮小により、中長期では賃貸需要の構造的縮小に警戒が必要。</t>
        </is>
      </c>
      <c r="U524" t="inlineStr">
        <is>
          <t>狭山市は人口密度2,914人/km²の都市部で、駅周辺や生活利便施設沿いに安定した賃貸需要がある。適切な家賃設定で高稼働を期待できる。 借家の空室率は約19%とやや高めで、競合との差別化が必要。</t>
        </is>
      </c>
      <c r="V524" t="inlineStr">
        <is>
          <t>狭山市（埼玉県）：荒川・利根川・中川低地の内水・河川氾濫リスクが高い。地盤の軟弱なゼロメートル地帯に留意。</t>
        </is>
      </c>
    </row>
    <row r="525">
      <c r="A525" t="inlineStr">
        <is>
          <t>埼玉県</t>
        </is>
      </c>
      <c r="B525" t="inlineStr">
        <is>
          <t>羽生市</t>
        </is>
      </c>
      <c r="C525" t="n">
        <v>22090</v>
      </c>
      <c r="D525" t="n">
        <v>51044</v>
      </c>
      <c r="E525" s="6" t="n">
        <v>890.8</v>
      </c>
      <c r="F525" s="7" t="n">
        <v>52.8</v>
      </c>
      <c r="G525" t="n">
        <v>52862</v>
      </c>
      <c r="H525" t="n">
        <v>51044</v>
      </c>
      <c r="I525" t="n">
        <v>48926</v>
      </c>
      <c r="J525" t="n">
        <v>41228</v>
      </c>
      <c r="K525" s="27">
        <f>(H525/D525-1)</f>
        <v/>
      </c>
      <c r="L525" s="27">
        <f>(I525/D525-1)</f>
        <v/>
      </c>
      <c r="M525" s="27">
        <f>(J525/D525-1)</f>
        <v/>
      </c>
      <c r="N525" t="n">
        <v>56</v>
      </c>
      <c r="O525" s="28">
        <f>(N525+F525)/2</f>
        <v/>
      </c>
      <c r="P525">
        <f>IF(O525="計算不能","計算不能",IF(O525&gt;=80,5,IF(O525&gt;=60,4,IF(O525&gt;=40,3,IF(O525&gt;=28,2,1)))))</f>
        <v/>
      </c>
      <c r="Q525" t="n">
        <v>6724</v>
      </c>
      <c r="R525" t="n">
        <v>1170</v>
      </c>
      <c r="S525" s="27">
        <f>R525/Q525</f>
        <v/>
      </c>
      <c r="T525" t="inlineStr">
        <is>
          <t>羽生市は2045年までに人口が約19.2%減と明確な減少トレンド。高齢化の進行と世帯数の縮小により、中長期では賃貸需要の構造的縮小に警戒が必要。</t>
        </is>
      </c>
      <c r="U525" t="inlineStr">
        <is>
          <t>羽生市は人口密度891人/km²で、主要道路沿いや中心市街地に一定の賃貸需要が局在。立地選別が稼働を左右する。 借家の空室率は約17%と需給は比較的引き締まっている。</t>
        </is>
      </c>
      <c r="V525" t="inlineStr">
        <is>
          <t>羽生市（埼玉県）：荒川・利根川・中川低地の内水・河川氾濫リスクが高い。地盤の軟弱なゼロメートル地帯に留意。</t>
        </is>
      </c>
    </row>
    <row r="526">
      <c r="A526" t="inlineStr">
        <is>
          <t>埼玉県</t>
        </is>
      </c>
      <c r="B526" t="inlineStr">
        <is>
          <t>鴻巣市</t>
        </is>
      </c>
      <c r="C526" t="n">
        <v>48670</v>
      </c>
      <c r="D526" t="n">
        <v>113935</v>
      </c>
      <c r="E526" s="6" t="n">
        <v>1713.3</v>
      </c>
      <c r="F526" s="7" t="n">
        <v>67.09999999999999</v>
      </c>
      <c r="G526" t="n">
        <v>116828</v>
      </c>
      <c r="H526" t="n">
        <v>113935</v>
      </c>
      <c r="I526" t="n">
        <v>110345</v>
      </c>
      <c r="J526" t="n">
        <v>96450</v>
      </c>
      <c r="K526" s="27">
        <f>(H526/D526-1)</f>
        <v/>
      </c>
      <c r="L526" s="27">
        <f>(I526/D526-1)</f>
        <v/>
      </c>
      <c r="M526" s="27">
        <f>(J526/D526-1)</f>
        <v/>
      </c>
      <c r="N526" t="n">
        <v>60.4</v>
      </c>
      <c r="O526" s="28">
        <f>(N526+F526)/2</f>
        <v/>
      </c>
      <c r="P526">
        <f>IF(O526="計算不能","計算不能",IF(O526&gt;=80,5,IF(O526&gt;=60,4,IF(O526&gt;=40,3,IF(O526&gt;=28,2,1)))))</f>
        <v/>
      </c>
      <c r="Q526" t="n">
        <v>14815</v>
      </c>
      <c r="R526" t="n">
        <v>2030</v>
      </c>
      <c r="S526" s="27">
        <f>R526/Q526</f>
        <v/>
      </c>
      <c r="T526" t="inlineStr">
        <is>
          <t>鴻巣市は2045年までに人口が約15.3%減と明確な減少トレンド。高齢化の進行と世帯数の縮小により、中長期では賃貸需要の構造的縮小に警戒が必要。</t>
        </is>
      </c>
      <c r="U526" t="inlineStr">
        <is>
          <t>鴻巣市は人口密度1,713人/km²の都市部で、駅周辺や生活利便施設沿いに安定した賃貸需要がある。適切な家賃設定で高稼働を期待できる。 借家の空室率は約14%と需給は比較的引き締まっている。</t>
        </is>
      </c>
      <c r="V526" t="inlineStr">
        <is>
          <t>鴻巣市（埼玉県）：荒川・利根川・中川低地の内水・河川氾濫リスクが高い。地盤の軟弱なゼロメートル地帯に留意。</t>
        </is>
      </c>
    </row>
    <row r="527">
      <c r="A527" t="inlineStr">
        <is>
          <t>埼玉県</t>
        </is>
      </c>
      <c r="B527" t="inlineStr">
        <is>
          <t>深谷市</t>
        </is>
      </c>
      <c r="C527" t="n">
        <v>56740</v>
      </c>
      <c r="D527" t="n">
        <v>137365</v>
      </c>
      <c r="E527" s="6" t="n">
        <v>1000.9</v>
      </c>
      <c r="F527" s="7" t="n">
        <v>55</v>
      </c>
      <c r="G527" t="n">
        <v>141268</v>
      </c>
      <c r="H527" t="n">
        <v>137365</v>
      </c>
      <c r="I527" t="n">
        <v>132731</v>
      </c>
      <c r="J527" t="n">
        <v>115147</v>
      </c>
      <c r="K527" s="27">
        <f>(H527/D527-1)</f>
        <v/>
      </c>
      <c r="L527" s="27">
        <f>(I527/D527-1)</f>
        <v/>
      </c>
      <c r="M527" s="27">
        <f>(J527/D527-1)</f>
        <v/>
      </c>
      <c r="N527" t="n">
        <v>59.3</v>
      </c>
      <c r="O527" s="28">
        <f>(N527+F527)/2</f>
        <v/>
      </c>
      <c r="P527">
        <f>IF(O527="計算不能","計算不能",IF(O527&gt;=80,5,IF(O527&gt;=60,4,IF(O527&gt;=40,3,IF(O527&gt;=28,2,1)))))</f>
        <v/>
      </c>
      <c r="Q527" t="n">
        <v>17271</v>
      </c>
      <c r="R527" t="n">
        <v>3080</v>
      </c>
      <c r="S527" s="27">
        <f>R527/Q527</f>
        <v/>
      </c>
      <c r="T527" t="inlineStr">
        <is>
          <t>深谷市は2045年までに人口が約16.2%減と明確な減少トレンド。高齢化の進行と世帯数の縮小により、中長期では賃貸需要の構造的縮小に警戒が必要。</t>
        </is>
      </c>
      <c r="U527" t="inlineStr">
        <is>
          <t>深谷市は人口密度1,001人/km²で、主要道路沿いや中心市街地に一定の賃貸需要が局在。立地選別が稼働を左右する。 借家の空室率は約18%と需給は比較的引き締まっている。</t>
        </is>
      </c>
      <c r="V527" t="inlineStr">
        <is>
          <t>深谷市（埼玉県）：荒川・利根川・中川低地の内水・河川氾濫リスクが高い。地盤の軟弱なゼロメートル地帯に留意。</t>
        </is>
      </c>
    </row>
    <row r="528">
      <c r="A528" t="inlineStr">
        <is>
          <t>埼玉県</t>
        </is>
      </c>
      <c r="B528" t="inlineStr">
        <is>
          <t>上尾市</t>
        </is>
      </c>
      <c r="C528" t="n">
        <v>98370</v>
      </c>
      <c r="D528" t="n">
        <v>225590</v>
      </c>
      <c r="E528" s="6" t="n">
        <v>4939.6</v>
      </c>
      <c r="F528" s="7" t="n">
        <v>80</v>
      </c>
      <c r="G528" t="n">
        <v>226940</v>
      </c>
      <c r="H528" t="n">
        <v>225590</v>
      </c>
      <c r="I528" t="n">
        <v>221466</v>
      </c>
      <c r="J528" t="n">
        <v>206237</v>
      </c>
      <c r="K528" s="27">
        <f>(H528/D528-1)</f>
        <v/>
      </c>
      <c r="L528" s="27">
        <f>(I528/D528-1)</f>
        <v/>
      </c>
      <c r="M528" s="27">
        <f>(J528/D528-1)</f>
        <v/>
      </c>
      <c r="N528" t="n">
        <v>68.3</v>
      </c>
      <c r="O528" s="28">
        <f>(N528+F528)/2</f>
        <v/>
      </c>
      <c r="P528">
        <f>IF(O528="計算不能","計算不能",IF(O528&gt;=80,5,IF(O528&gt;=60,4,IF(O528&gt;=40,3,IF(O528&gt;=28,2,1)))))</f>
        <v/>
      </c>
      <c r="Q528" t="n">
        <v>29943</v>
      </c>
      <c r="R528" t="n">
        <v>4200</v>
      </c>
      <c r="S528" s="27">
        <f>R528/Q528</f>
        <v/>
      </c>
      <c r="T528" t="inlineStr">
        <is>
          <t>上尾市は2045年までに人口が約8.6%減と緩やかな減少局面。若年層の都市部流出と高齢化が進むが、当面の賃貸稼働は一定程度維持される見通し。</t>
        </is>
      </c>
      <c r="U528" t="inlineStr">
        <is>
          <t>上尾市は人口密度4,940人/km²の都市部で、駅周辺や生活利便施設沿いに安定した賃貸需要がある。適切な家賃設定で高稼働を期待できる。 借家の空室率は約14%と需給は比較的引き締まっている。</t>
        </is>
      </c>
      <c r="V528" t="inlineStr">
        <is>
          <t>上尾市（埼玉県）：荒川・利根川・中川低地の内水・河川氾濫リスクが高い。地盤の軟弱なゼロメートル地帯に留意。</t>
        </is>
      </c>
    </row>
    <row r="529">
      <c r="A529" t="inlineStr">
        <is>
          <t>埼玉県</t>
        </is>
      </c>
      <c r="B529" t="inlineStr">
        <is>
          <t>草加市</t>
        </is>
      </c>
      <c r="C529" t="n">
        <v>114700</v>
      </c>
      <c r="D529" t="n">
        <v>247233</v>
      </c>
      <c r="E529" s="6" t="n">
        <v>9145</v>
      </c>
      <c r="F529" s="7" t="n">
        <v>98.3</v>
      </c>
      <c r="G529" t="n">
        <v>248304</v>
      </c>
      <c r="H529" t="n">
        <v>247233</v>
      </c>
      <c r="I529" t="n">
        <v>244031</v>
      </c>
      <c r="J529" t="n">
        <v>232977</v>
      </c>
      <c r="K529" s="27">
        <f>(H529/D529-1)</f>
        <v/>
      </c>
      <c r="L529" s="27">
        <f>(I529/D529-1)</f>
        <v/>
      </c>
      <c r="M529" s="27">
        <f>(J529/D529-1)</f>
        <v/>
      </c>
      <c r="N529" t="n">
        <v>70.40000000000001</v>
      </c>
      <c r="O529" s="28">
        <f>(N529+F529)/2</f>
        <v/>
      </c>
      <c r="P529">
        <f>IF(O529="計算不能","計算不能",IF(O529&gt;=80,5,IF(O529&gt;=60,4,IF(O529&gt;=40,3,IF(O529&gt;=28,2,1)))))</f>
        <v/>
      </c>
      <c r="Q529" t="n">
        <v>34914</v>
      </c>
      <c r="R529" t="n">
        <v>10990</v>
      </c>
      <c r="S529" s="27">
        <f>R529/Q529</f>
        <v/>
      </c>
      <c r="T529" t="inlineStr">
        <is>
          <t>草加市は2045年までに人口が約5.8%減と緩やかな減少局面。若年層の都市部流出と高齢化が進むが、当面の賃貸稼働は一定程度維持される見通し。</t>
        </is>
      </c>
      <c r="U529" t="inlineStr">
        <is>
          <t>草加市は人口密度9,145人/km²の高密度市街地で、駅近ワンルームからファミリー向けまで極めて強い賃貸実需が存在。資産流動性・出口戦略の容易さも高い。 借家の空室率は約31%と供給過多気味で、空室長期化リスクに要警戒。</t>
        </is>
      </c>
      <c r="V529" t="inlineStr">
        <is>
          <t>草加市（埼玉県）：荒川・利根川・中川低地の内水・河川氾濫リスクが高い。地盤の軟弱なゼロメートル地帯に留意。</t>
        </is>
      </c>
    </row>
    <row r="530">
      <c r="A530" t="inlineStr">
        <is>
          <t>埼玉県</t>
        </is>
      </c>
      <c r="B530" t="inlineStr">
        <is>
          <t>越谷市</t>
        </is>
      </c>
      <c r="C530" t="n">
        <v>144170</v>
      </c>
      <c r="D530" t="n">
        <v>344085</v>
      </c>
      <c r="E530" s="6" t="n">
        <v>5670.7</v>
      </c>
      <c r="F530" s="7" t="n">
        <v>91.3</v>
      </c>
      <c r="G530" t="n">
        <v>341621</v>
      </c>
      <c r="H530" t="n">
        <v>344085</v>
      </c>
      <c r="I530" t="n">
        <v>343314</v>
      </c>
      <c r="J530" t="n">
        <v>334379</v>
      </c>
      <c r="K530" s="27">
        <f>(H530/D530-1)</f>
        <v/>
      </c>
      <c r="L530" s="27">
        <f>(I530/D530-1)</f>
        <v/>
      </c>
      <c r="M530" s="27">
        <f>(J530/D530-1)</f>
        <v/>
      </c>
      <c r="N530" t="n">
        <v>74.90000000000001</v>
      </c>
      <c r="O530" s="28">
        <f>(N530+F530)/2</f>
        <v/>
      </c>
      <c r="P530">
        <f>IF(O530="計算不能","計算不能",IF(O530&gt;=80,5,IF(O530&gt;=60,4,IF(O530&gt;=40,3,IF(O530&gt;=28,2,1)))))</f>
        <v/>
      </c>
      <c r="Q530" t="n">
        <v>43885</v>
      </c>
      <c r="R530" t="n">
        <v>3620</v>
      </c>
      <c r="S530" s="27">
        <f>R530/Q530</f>
        <v/>
      </c>
      <c r="T530" t="inlineStr">
        <is>
          <t>越谷市は2045年までの人口減少率が約2.8%と全国平均より緩やかで、概ね横ばいの安定推移。生産年齢人口の維持により、賃貸需要の急減リスクは相対的に低い。</t>
        </is>
      </c>
      <c r="U530" t="inlineStr">
        <is>
          <t>越谷市は人口密度5,671人/km²の高密度市街地で、駅近ワンルームからファミリー向けまで極めて強い賃貸実需が存在。資産流動性・出口戦略の容易さも高い。 借家の空室率は約8%と需給は比較的引き締まっている。</t>
        </is>
      </c>
      <c r="V530" t="inlineStr">
        <is>
          <t>越谷市（埼玉県）：荒川・利根川・中川低地の内水・河川氾濫リスクが高い。地盤の軟弱なゼロメートル地帯に留意。</t>
        </is>
      </c>
    </row>
    <row r="531">
      <c r="A531" t="inlineStr">
        <is>
          <t>埼玉県</t>
        </is>
      </c>
      <c r="B531" t="inlineStr">
        <is>
          <t>蕨市</t>
        </is>
      </c>
      <c r="C531" t="n">
        <v>37740</v>
      </c>
      <c r="D531" t="n">
        <v>74649</v>
      </c>
      <c r="E531" s="6" t="n">
        <v>14776.9</v>
      </c>
      <c r="F531" s="7" t="n">
        <v>100</v>
      </c>
      <c r="G531" t="n">
        <v>74283</v>
      </c>
      <c r="H531" t="n">
        <v>74649</v>
      </c>
      <c r="I531" t="n">
        <v>74684</v>
      </c>
      <c r="J531" t="n">
        <v>73741</v>
      </c>
      <c r="K531" s="27">
        <f>(H531/D531-1)</f>
        <v/>
      </c>
      <c r="L531" s="27">
        <f>(I531/D531-1)</f>
        <v/>
      </c>
      <c r="M531" s="27">
        <f>(J531/D531-1)</f>
        <v/>
      </c>
      <c r="N531" t="n">
        <v>75.40000000000001</v>
      </c>
      <c r="O531" s="28">
        <f>(N531+F531)/2</f>
        <v/>
      </c>
      <c r="P531">
        <f>IF(O531="計算不能","計算不能",IF(O531&gt;=80,5,IF(O531&gt;=60,4,IF(O531&gt;=40,3,IF(O531&gt;=28,2,1)))))</f>
        <v/>
      </c>
      <c r="Q531" t="n">
        <v>11487</v>
      </c>
      <c r="R531" t="n">
        <v>2670</v>
      </c>
      <c r="S531" s="27">
        <f>R531/Q531</f>
        <v/>
      </c>
      <c r="T531" t="inlineStr">
        <is>
          <t>蕨市は2045年までの人口減少率が約1.2%と全国平均より緩やかで、概ね横ばいの安定推移。生産年齢人口の維持により、賃貸需要の急減リスクは相対的に低い。</t>
        </is>
      </c>
      <c r="U531" t="inlineStr">
        <is>
          <t>蕨市は人口密度14,777人/km²の高密度市街地で、駅近ワンルームからファミリー向けまで極めて強い賃貸実需が存在。資産流動性・出口戦略の容易さも高い。 借家の空室率は約23%とやや高めで、競合との差別化が必要。</t>
        </is>
      </c>
      <c r="V531" t="inlineStr">
        <is>
          <t>蕨市（埼玉県）：荒川・利根川・中川低地の内水・河川氾濫リスクが高い。地盤の軟弱なゼロメートル地帯に留意。</t>
        </is>
      </c>
    </row>
    <row r="532">
      <c r="A532" t="inlineStr">
        <is>
          <t>埼玉県</t>
        </is>
      </c>
      <c r="B532" t="inlineStr">
        <is>
          <t>戸田市</t>
        </is>
      </c>
      <c r="C532" t="n">
        <v>65700</v>
      </c>
      <c r="D532" t="n">
        <v>145357</v>
      </c>
      <c r="E532" s="6" t="n">
        <v>7650.6</v>
      </c>
      <c r="F532" s="7" t="n">
        <v>95.3</v>
      </c>
      <c r="G532" t="n">
        <v>140899</v>
      </c>
      <c r="H532" t="n">
        <v>145357</v>
      </c>
      <c r="I532" t="n">
        <v>148217</v>
      </c>
      <c r="J532" t="n">
        <v>151415</v>
      </c>
      <c r="K532" s="27">
        <f>(H532/D532-1)</f>
        <v/>
      </c>
      <c r="L532" s="27">
        <f>(I532/D532-1)</f>
        <v/>
      </c>
      <c r="M532" s="27">
        <f>(J532/D532-1)</f>
        <v/>
      </c>
      <c r="N532" t="n">
        <v>84.90000000000001</v>
      </c>
      <c r="O532" s="28">
        <f>(N532+F532)/2</f>
        <v/>
      </c>
      <c r="P532">
        <f>IF(O532="計算不能","計算不能",IF(O532&gt;=80,5,IF(O532&gt;=60,4,IF(O532&gt;=40,3,IF(O532&gt;=28,2,1)))))</f>
        <v/>
      </c>
      <c r="Q532" t="n">
        <v>19998</v>
      </c>
      <c r="R532" t="n">
        <v>3820</v>
      </c>
      <c r="S532" s="27">
        <f>R532/Q532</f>
        <v/>
      </c>
      <c r="T532" t="inlineStr">
        <is>
          <t>戸田市は2025年から2045年にかけて人口が約4.2%増と全国的にも希少な人口増トレンド。都市機能の集積と職住近接需要を背景に、単身・若年ファミリー層の流入が継続し、賃貸母数の拡大が見込める。</t>
        </is>
      </c>
      <c r="U532" t="inlineStr">
        <is>
          <t>戸田市は人口密度7,651人/km²の高密度市街地で、駅近ワンルームからファミリー向けまで極めて強い賃貸実需が存在。資産流動性・出口戦略の容易さも高い。 借家の空室率は約19%とやや高めで、競合との差別化が必要。</t>
        </is>
      </c>
      <c r="V532" t="inlineStr">
        <is>
          <t>戸田市（埼玉県）：荒川・利根川・中川低地の内水・河川氾濫リスクが高い。地盤の軟弱なゼロメートル地帯に留意。</t>
        </is>
      </c>
    </row>
    <row r="533">
      <c r="A533" t="inlineStr">
        <is>
          <t>埼玉県</t>
        </is>
      </c>
      <c r="B533" t="inlineStr">
        <is>
          <t>入間市</t>
        </is>
      </c>
      <c r="C533" t="n">
        <v>61150</v>
      </c>
      <c r="D533" t="n">
        <v>142042</v>
      </c>
      <c r="E533" s="6" t="n">
        <v>3136.7</v>
      </c>
      <c r="F533" s="7" t="n">
        <v>80</v>
      </c>
      <c r="G533" t="n">
        <v>145651</v>
      </c>
      <c r="H533" t="n">
        <v>142042</v>
      </c>
      <c r="I533" t="n">
        <v>137230</v>
      </c>
      <c r="J533" t="n">
        <v>119272</v>
      </c>
      <c r="K533" s="27">
        <f>(H533/D533-1)</f>
        <v/>
      </c>
      <c r="L533" s="27">
        <f>(I533/D533-1)</f>
        <v/>
      </c>
      <c r="M533" s="27">
        <f>(J533/D533-1)</f>
        <v/>
      </c>
      <c r="N533" t="n">
        <v>59.9</v>
      </c>
      <c r="O533" s="28">
        <f>(N533+F533)/2</f>
        <v/>
      </c>
      <c r="P533">
        <f>IF(O533="計算不能","計算不能",IF(O533&gt;=80,5,IF(O533&gt;=60,4,IF(O533&gt;=40,3,IF(O533&gt;=28,2,1)))))</f>
        <v/>
      </c>
      <c r="Q533" t="n">
        <v>18613</v>
      </c>
      <c r="R533" t="n">
        <v>2320</v>
      </c>
      <c r="S533" s="27">
        <f>R533/Q533</f>
        <v/>
      </c>
      <c r="T533" t="inlineStr">
        <is>
          <t>入間市は2045年までに人口が約16.0%減と明確な減少トレンド。高齢化の進行と世帯数の縮小により、中長期では賃貸需要の構造的縮小に警戒が必要。</t>
        </is>
      </c>
      <c r="U533" t="inlineStr">
        <is>
          <t>入間市は人口密度3,137人/km²の都市部で、駅周辺や生活利便施設沿いに安定した賃貸需要がある。適切な家賃設定で高稼働を期待できる。 借家の空室率は約12%と需給は比較的引き締まっている。</t>
        </is>
      </c>
      <c r="V533" t="inlineStr">
        <is>
          <t>入間市（埼玉県）：荒川・利根川・中川低地の内水・河川氾濫リスクが高い。地盤の軟弱なゼロメートル地帯に留意。</t>
        </is>
      </c>
    </row>
    <row r="534">
      <c r="A534" t="inlineStr">
        <is>
          <t>埼玉県</t>
        </is>
      </c>
      <c r="B534" t="inlineStr">
        <is>
          <t>朝霞市</t>
        </is>
      </c>
      <c r="C534" t="n">
        <v>63450</v>
      </c>
      <c r="D534" t="n">
        <v>143941</v>
      </c>
      <c r="E534" s="6" t="n">
        <v>8021.2</v>
      </c>
      <c r="F534" s="7" t="n">
        <v>96</v>
      </c>
      <c r="G534" t="n">
        <v>141083</v>
      </c>
      <c r="H534" t="n">
        <v>143941</v>
      </c>
      <c r="I534" t="n">
        <v>145839</v>
      </c>
      <c r="J534" t="n">
        <v>147750</v>
      </c>
      <c r="K534" s="27">
        <f>(H534/D534-1)</f>
        <v/>
      </c>
      <c r="L534" s="27">
        <f>(I534/D534-1)</f>
        <v/>
      </c>
      <c r="M534" s="27">
        <f>(J534/D534-1)</f>
        <v/>
      </c>
      <c r="N534" t="n">
        <v>81.3</v>
      </c>
      <c r="O534" s="28">
        <f>(N534+F534)/2</f>
        <v/>
      </c>
      <c r="P534">
        <f>IF(O534="計算不能","計算不能",IF(O534&gt;=80,5,IF(O534&gt;=60,4,IF(O534&gt;=40,3,IF(O534&gt;=28,2,1)))))</f>
        <v/>
      </c>
      <c r="Q534" t="n">
        <v>19314</v>
      </c>
      <c r="R534" t="n">
        <v>2860</v>
      </c>
      <c r="S534" s="27">
        <f>R534/Q534</f>
        <v/>
      </c>
      <c r="T534" t="inlineStr">
        <is>
          <t>朝霞市は2045年までの人口減少率が約2.6%と全国平均より緩やかで、概ね横ばいの安定推移。生産年齢人口の維持により、賃貸需要の急減リスクは相対的に低い。</t>
        </is>
      </c>
      <c r="U534" t="inlineStr">
        <is>
          <t>朝霞市は人口密度8,021人/km²の高密度市街地で、駅近ワンルームからファミリー向けまで極めて強い賃貸実需が存在。資産流動性・出口戦略の容易さも高い。 借家の空室率は約15%と需給は比較的引き締まっている。</t>
        </is>
      </c>
      <c r="V534" t="inlineStr">
        <is>
          <t>朝霞市（埼玉県）：荒川・利根川・中川低地の内水・河川氾濫リスクが高い。地盤の軟弱なゼロメートル地帯に留意。</t>
        </is>
      </c>
    </row>
    <row r="535">
      <c r="A535" t="inlineStr">
        <is>
          <t>埼玉県</t>
        </is>
      </c>
      <c r="B535" t="inlineStr">
        <is>
          <t>志木市</t>
        </is>
      </c>
      <c r="C535" t="n">
        <v>33330</v>
      </c>
      <c r="D535" t="n">
        <v>76666</v>
      </c>
      <c r="E535" s="6" t="n">
        <v>8290.799999999999</v>
      </c>
      <c r="F535" s="7" t="n">
        <v>96.59999999999999</v>
      </c>
      <c r="G535" t="n">
        <v>75346</v>
      </c>
      <c r="H535" t="n">
        <v>76666</v>
      </c>
      <c r="I535" t="n">
        <v>77221</v>
      </c>
      <c r="J535" t="n">
        <v>77047</v>
      </c>
      <c r="K535" s="27">
        <f>(H535/D535-1)</f>
        <v/>
      </c>
      <c r="L535" s="27">
        <f>(I535/D535-1)</f>
        <v/>
      </c>
      <c r="M535" s="27">
        <f>(J535/D535-1)</f>
        <v/>
      </c>
      <c r="N535" t="n">
        <v>79.3</v>
      </c>
      <c r="O535" s="28">
        <f>(N535+F535)/2</f>
        <v/>
      </c>
      <c r="P535">
        <f>IF(O535="計算不能","計算不能",IF(O535&gt;=80,5,IF(O535&gt;=60,4,IF(O535&gt;=40,3,IF(O535&gt;=28,2,1)))))</f>
        <v/>
      </c>
      <c r="Q535" t="n">
        <v>10145</v>
      </c>
      <c r="R535" t="n">
        <v>740</v>
      </c>
      <c r="S535" s="27">
        <f>R535/Q535</f>
        <v/>
      </c>
      <c r="T535" t="inlineStr">
        <is>
          <t>志木市は2045年までの人口減少率が約0.5%と全国平均より緩やかで、概ね横ばいの安定推移。生産年齢人口の維持により、賃貸需要の急減リスクは相対的に低い。</t>
        </is>
      </c>
      <c r="U535" t="inlineStr">
        <is>
          <t>志木市は人口密度8,291人/km²の高密度市街地で、駅近ワンルームからファミリー向けまで極めて強い賃貸実需が存在。資産流動性・出口戦略の容易さも高い。 借家の空室率は約7%と需給は比較的引き締まっている。</t>
        </is>
      </c>
      <c r="V535" t="inlineStr">
        <is>
          <t>志木市（埼玉県）：荒川・利根川・中川低地の内水・河川氾濫リスクが高い。地盤の軟弱なゼロメートル地帯に留意。</t>
        </is>
      </c>
    </row>
    <row r="536">
      <c r="A536" t="inlineStr">
        <is>
          <t>埼玉県</t>
        </is>
      </c>
      <c r="B536" t="inlineStr">
        <is>
          <t>和光市</t>
        </is>
      </c>
      <c r="C536" t="n">
        <v>40610</v>
      </c>
      <c r="D536" t="n">
        <v>85639</v>
      </c>
      <c r="E536" s="6" t="n">
        <v>7575.7</v>
      </c>
      <c r="F536" s="7" t="n">
        <v>95.2</v>
      </c>
      <c r="G536" t="n">
        <v>83989</v>
      </c>
      <c r="H536" t="n">
        <v>85639</v>
      </c>
      <c r="I536" t="n">
        <v>86097</v>
      </c>
      <c r="J536" t="n">
        <v>85401</v>
      </c>
      <c r="K536" s="27">
        <f>(H536/D536-1)</f>
        <v/>
      </c>
      <c r="L536" s="27">
        <f>(I536/D536-1)</f>
        <v/>
      </c>
      <c r="M536" s="27">
        <f>(J536/D536-1)</f>
        <v/>
      </c>
      <c r="N536" t="n">
        <v>79.2</v>
      </c>
      <c r="O536" s="28">
        <f>(N536+F536)/2</f>
        <v/>
      </c>
      <c r="P536">
        <f>IF(O536="計算不能","計算不能",IF(O536&gt;=80,5,IF(O536&gt;=60,4,IF(O536&gt;=40,3,IF(O536&gt;=28,2,1)))))</f>
        <v/>
      </c>
      <c r="Q536" t="n">
        <v>12361</v>
      </c>
      <c r="R536" t="n">
        <v>2030</v>
      </c>
      <c r="S536" s="27">
        <f>R536/Q536</f>
        <v/>
      </c>
      <c r="T536" t="inlineStr">
        <is>
          <t>和光市は2045年までの人口減少率が約0.3%と全国平均より緩やかで、概ね横ばいの安定推移。生産年齢人口の維持により、賃貸需要の急減リスクは相対的に低い。</t>
        </is>
      </c>
      <c r="U536" t="inlineStr">
        <is>
          <t>和光市は人口密度7,576人/km²の高密度市街地で、駅近ワンルームからファミリー向けまで極めて強い賃貸実需が存在。資産流動性・出口戦略の容易さも高い。 借家の空室率は約16%と需給は比較的引き締まっている。</t>
        </is>
      </c>
      <c r="V536" t="inlineStr">
        <is>
          <t>和光市（埼玉県）：荒川・利根川・中川低地の内水・河川氾濫リスクが高い。地盤の軟弱なゼロメートル地帯に留意。</t>
        </is>
      </c>
    </row>
    <row r="537">
      <c r="A537" t="inlineStr">
        <is>
          <t>埼玉県</t>
        </is>
      </c>
      <c r="B537" t="inlineStr">
        <is>
          <t>新座市</t>
        </is>
      </c>
      <c r="C537" t="n">
        <v>75680</v>
      </c>
      <c r="D537" t="n">
        <v>167343</v>
      </c>
      <c r="E537" s="6" t="n">
        <v>7229.9</v>
      </c>
      <c r="F537" s="7" t="n">
        <v>94.5</v>
      </c>
      <c r="G537" t="n">
        <v>166017</v>
      </c>
      <c r="H537" t="n">
        <v>167343</v>
      </c>
      <c r="I537" t="n">
        <v>167176</v>
      </c>
      <c r="J537" t="n">
        <v>164112</v>
      </c>
      <c r="K537" s="27">
        <f>(H537/D537-1)</f>
        <v/>
      </c>
      <c r="L537" s="27">
        <f>(I537/D537-1)</f>
        <v/>
      </c>
      <c r="M537" s="27">
        <f>(J537/D537-1)</f>
        <v/>
      </c>
      <c r="N537" t="n">
        <v>75.59999999999999</v>
      </c>
      <c r="O537" s="28">
        <f>(N537+F537)/2</f>
        <v/>
      </c>
      <c r="P537">
        <f>IF(O537="計算不能","計算不能",IF(O537&gt;=80,5,IF(O537&gt;=60,4,IF(O537&gt;=40,3,IF(O537&gt;=28,2,1)))))</f>
        <v/>
      </c>
      <c r="Q537" t="n">
        <v>23036</v>
      </c>
      <c r="R537" t="n">
        <v>3010</v>
      </c>
      <c r="S537" s="27">
        <f>R537/Q537</f>
        <v/>
      </c>
      <c r="T537" t="inlineStr">
        <is>
          <t>新座市は2045年までの人口減少率が約1.9%と全国平均より緩やかで、概ね横ばいの安定推移。生産年齢人口の維持により、賃貸需要の急減リスクは相対的に低い。</t>
        </is>
      </c>
      <c r="U537" t="inlineStr">
        <is>
          <t>新座市は人口密度7,230人/km²の高密度市街地で、駅近ワンルームからファミリー向けまで極めて強い賃貸実需が存在。資産流動性・出口戦略の容易さも高い。 借家の空室率は約13%と需給は比較的引き締まっている。</t>
        </is>
      </c>
      <c r="V537" t="inlineStr">
        <is>
          <t>新座市（埼玉県）：荒川・利根川・中川低地の内水・河川氾濫リスクが高い。地盤の軟弱なゼロメートル地帯に留意。</t>
        </is>
      </c>
    </row>
    <row r="538">
      <c r="A538" t="inlineStr">
        <is>
          <t>埼玉県</t>
        </is>
      </c>
      <c r="B538" t="inlineStr">
        <is>
          <t>桶川市</t>
        </is>
      </c>
      <c r="C538" t="n">
        <v>30940</v>
      </c>
      <c r="D538" t="n">
        <v>73780</v>
      </c>
      <c r="E538" s="6" t="n">
        <v>2880.1</v>
      </c>
      <c r="F538" s="7" t="n">
        <v>78.8</v>
      </c>
      <c r="G538" t="n">
        <v>74748</v>
      </c>
      <c r="H538" t="n">
        <v>73780</v>
      </c>
      <c r="I538" t="n">
        <v>72171</v>
      </c>
      <c r="J538" t="n">
        <v>66563</v>
      </c>
      <c r="K538" s="27">
        <f>(H538/D538-1)</f>
        <v/>
      </c>
      <c r="L538" s="27">
        <f>(I538/D538-1)</f>
        <v/>
      </c>
      <c r="M538" s="27">
        <f>(J538/D538-1)</f>
        <v/>
      </c>
      <c r="N538" t="n">
        <v>66.09999999999999</v>
      </c>
      <c r="O538" s="28">
        <f>(N538+F538)/2</f>
        <v/>
      </c>
      <c r="P538">
        <f>IF(O538="計算不能","計算不能",IF(O538&gt;=80,5,IF(O538&gt;=60,4,IF(O538&gt;=40,3,IF(O538&gt;=28,2,1)))))</f>
        <v/>
      </c>
      <c r="Q538" t="n">
        <v>9418</v>
      </c>
      <c r="R538" t="n">
        <v>2110</v>
      </c>
      <c r="S538" s="27">
        <f>R538/Q538</f>
        <v/>
      </c>
      <c r="T538" t="inlineStr">
        <is>
          <t>桶川市は2045年までに人口が約9.8%減と緩やかな減少局面。若年層の都市部流出と高齢化が進むが、当面の賃貸稼働は一定程度維持される見通し。</t>
        </is>
      </c>
      <c r="U538" t="inlineStr">
        <is>
          <t>桶川市は人口密度2,880人/km²の都市部で、駅周辺や生活利便施設沿いに安定した賃貸需要がある。適切な家賃設定で高稼働を期待できる。 借家の空室率は約22%とやや高めで、競合との差別化が必要。</t>
        </is>
      </c>
      <c r="V538" t="inlineStr">
        <is>
          <t>桶川市（埼玉県）：荒川・利根川・中川低地の内水・河川氾濫リスクが高い。地盤の軟弱なゼロメートル地帯に留意。</t>
        </is>
      </c>
    </row>
    <row r="539">
      <c r="A539" t="inlineStr">
        <is>
          <t>埼玉県</t>
        </is>
      </c>
      <c r="B539" t="inlineStr">
        <is>
          <t>久喜市</t>
        </is>
      </c>
      <c r="C539" t="n">
        <v>63730</v>
      </c>
      <c r="D539" t="n">
        <v>146973</v>
      </c>
      <c r="E539" s="6" t="n">
        <v>1785.7</v>
      </c>
      <c r="F539" s="7" t="n">
        <v>67.90000000000001</v>
      </c>
      <c r="G539" t="n">
        <v>150582</v>
      </c>
      <c r="H539" t="n">
        <v>146973</v>
      </c>
      <c r="I539" t="n">
        <v>141956</v>
      </c>
      <c r="J539" t="n">
        <v>123169</v>
      </c>
      <c r="K539" s="27">
        <f>(H539/D539-1)</f>
        <v/>
      </c>
      <c r="L539" s="27">
        <f>(I539/D539-1)</f>
        <v/>
      </c>
      <c r="M539" s="27">
        <f>(J539/D539-1)</f>
        <v/>
      </c>
      <c r="N539" t="n">
        <v>60</v>
      </c>
      <c r="O539" s="28">
        <f>(N539+F539)/2</f>
        <v/>
      </c>
      <c r="P539">
        <f>IF(O539="計算不能","計算不能",IF(O539&gt;=80,5,IF(O539&gt;=60,4,IF(O539&gt;=40,3,IF(O539&gt;=28,2,1)))))</f>
        <v/>
      </c>
      <c r="Q539" t="n">
        <v>19399</v>
      </c>
      <c r="R539" t="n">
        <v>3650</v>
      </c>
      <c r="S539" s="27">
        <f>R539/Q539</f>
        <v/>
      </c>
      <c r="T539" t="inlineStr">
        <is>
          <t>久喜市は2045年までに人口が約16.2%減と明確な減少トレンド。高齢化の進行と世帯数の縮小により、中長期では賃貸需要の構造的縮小に警戒が必要。</t>
        </is>
      </c>
      <c r="U539" t="inlineStr">
        <is>
          <t>久喜市は人口密度1,786人/km²の都市部で、駅周辺や生活利便施設沿いに安定した賃貸需要がある。適切な家賃設定で高稼働を期待できる。 借家の空室率は約19%とやや高めで、競合との差別化が必要。</t>
        </is>
      </c>
      <c r="V539" t="inlineStr">
        <is>
          <t>久喜市（埼玉県）：荒川・利根川・中川低地の内水・河川氾濫リスクが高い。地盤の軟弱なゼロメートル地帯に留意。</t>
        </is>
      </c>
    </row>
    <row r="540">
      <c r="A540" t="inlineStr">
        <is>
          <t>埼玉県</t>
        </is>
      </c>
      <c r="B540" t="inlineStr">
        <is>
          <t>北本市</t>
        </is>
      </c>
      <c r="C540" t="n">
        <v>27920</v>
      </c>
      <c r="D540" t="n">
        <v>62926</v>
      </c>
      <c r="E540" s="6" t="n">
        <v>3240.3</v>
      </c>
      <c r="F540" s="7" t="n">
        <v>80</v>
      </c>
      <c r="G540" t="n">
        <v>65201</v>
      </c>
      <c r="H540" t="n">
        <v>62926</v>
      </c>
      <c r="I540" t="n">
        <v>59745</v>
      </c>
      <c r="J540" t="n">
        <v>49046</v>
      </c>
      <c r="K540" s="27">
        <f>(H540/D540-1)</f>
        <v/>
      </c>
      <c r="L540" s="27">
        <f>(I540/D540-1)</f>
        <v/>
      </c>
      <c r="M540" s="27">
        <f>(J540/D540-1)</f>
        <v/>
      </c>
      <c r="N540" t="n">
        <v>54</v>
      </c>
      <c r="O540" s="28">
        <f>(N540+F540)/2</f>
        <v/>
      </c>
      <c r="P540">
        <f>IF(O540="計算不能","計算不能",IF(O540&gt;=80,5,IF(O540&gt;=60,4,IF(O540&gt;=40,3,IF(O540&gt;=28,2,1)))))</f>
        <v/>
      </c>
      <c r="Q540" t="n">
        <v>8498</v>
      </c>
      <c r="R540" t="n">
        <v>1050</v>
      </c>
      <c r="S540" s="27">
        <f>R540/Q540</f>
        <v/>
      </c>
      <c r="T540" t="inlineStr">
        <is>
          <t>北本市は2045年までに人口が約22.1%減と明確な減少トレンド。高齢化の進行と世帯数の縮小により、中長期では賃貸需要の構造的縮小に警戒が必要。</t>
        </is>
      </c>
      <c r="U540" t="inlineStr">
        <is>
          <t>北本市は人口密度3,240人/km²の都市部で、駅周辺や生活利便施設沿いに安定した賃貸需要がある。適切な家賃設定で高稼働を期待できる。 借家の空室率は約12%と需給は比較的引き締まっている。</t>
        </is>
      </c>
      <c r="V540" t="inlineStr">
        <is>
          <t>北本市（埼玉県）：荒川・利根川・中川低地の内水・河川氾濫リスクが高い。地盤の軟弱なゼロメートル地帯に留意。</t>
        </is>
      </c>
    </row>
    <row r="541">
      <c r="A541" t="inlineStr">
        <is>
          <t>埼玉県</t>
        </is>
      </c>
      <c r="B541" t="inlineStr">
        <is>
          <t>八潮市</t>
        </is>
      </c>
      <c r="C541" t="n">
        <v>43690</v>
      </c>
      <c r="D541" t="n">
        <v>93550</v>
      </c>
      <c r="E541" s="6" t="n">
        <v>5182.4</v>
      </c>
      <c r="F541" s="7" t="n">
        <v>90.40000000000001</v>
      </c>
      <c r="G541" t="n">
        <v>93363</v>
      </c>
      <c r="H541" t="n">
        <v>93550</v>
      </c>
      <c r="I541" t="n">
        <v>96270</v>
      </c>
      <c r="J541" t="n">
        <v>101276</v>
      </c>
      <c r="K541" s="27">
        <f>(H541/D541-1)</f>
        <v/>
      </c>
      <c r="L541" s="27">
        <f>(I541/D541-1)</f>
        <v/>
      </c>
      <c r="M541" s="27">
        <f>(J541/D541-1)</f>
        <v/>
      </c>
      <c r="N541" t="n">
        <v>81.59999999999999</v>
      </c>
      <c r="O541" s="28">
        <f>(N541+F541)/2</f>
        <v/>
      </c>
      <c r="P541">
        <f>IF(O541="計算不能","計算不能",IF(O541&gt;=80,5,IF(O541&gt;=60,4,IF(O541&gt;=40,3,IF(O541&gt;=28,2,1)))))</f>
        <v/>
      </c>
      <c r="Q541" t="n">
        <v>13299</v>
      </c>
      <c r="R541" t="n">
        <v>1400</v>
      </c>
      <c r="S541" s="27">
        <f>R541/Q541</f>
        <v/>
      </c>
      <c r="T541" t="inlineStr">
        <is>
          <t>八潮市は2025年から2045年にかけて人口が約8.3%増と全国的にも希少な人口増トレンド。都市機能の集積と職住近接需要を背景に、単身・若年ファミリー層の流入が継続し、賃貸母数の拡大が見込める。</t>
        </is>
      </c>
      <c r="U541" t="inlineStr">
        <is>
          <t>八潮市は人口密度5,182人/km²の高密度市街地で、駅近ワンルームからファミリー向けまで極めて強い賃貸実需が存在。資産流動性・出口戦略の容易さも高い。 借家の空室率は約11%と需給は比較的引き締まっている。</t>
        </is>
      </c>
      <c r="V541" t="inlineStr">
        <is>
          <t>八潮市（埼玉県）：荒川・利根川・中川低地の内水・河川氾濫リスクが高い。地盤の軟弱なゼロメートル地帯に留意。</t>
        </is>
      </c>
    </row>
    <row r="542">
      <c r="A542" t="inlineStr">
        <is>
          <t>埼玉県</t>
        </is>
      </c>
      <c r="B542" t="inlineStr">
        <is>
          <t>富士見市</t>
        </is>
      </c>
      <c r="C542" t="n">
        <v>52180</v>
      </c>
      <c r="D542" t="n">
        <v>112710</v>
      </c>
      <c r="E542" s="6" t="n">
        <v>5706.8</v>
      </c>
      <c r="F542" s="7" t="n">
        <v>91.40000000000001</v>
      </c>
      <c r="G542" t="n">
        <v>111859</v>
      </c>
      <c r="H542" t="n">
        <v>112710</v>
      </c>
      <c r="I542" t="n">
        <v>111826</v>
      </c>
      <c r="J542" t="n">
        <v>107863</v>
      </c>
      <c r="K542" s="27">
        <f>(H542/D542-1)</f>
        <v/>
      </c>
      <c r="L542" s="27">
        <f>(I542/D542-1)</f>
        <v/>
      </c>
      <c r="M542" s="27">
        <f>(J542/D542-1)</f>
        <v/>
      </c>
      <c r="N542" t="n">
        <v>73.8</v>
      </c>
      <c r="O542" s="28">
        <f>(N542+F542)/2</f>
        <v/>
      </c>
      <c r="P542">
        <f>IF(O542="計算不能","計算不能",IF(O542&gt;=80,5,IF(O542&gt;=60,4,IF(O542&gt;=40,3,IF(O542&gt;=28,2,1)))))</f>
        <v/>
      </c>
      <c r="Q542" t="n">
        <v>15883</v>
      </c>
      <c r="R542" t="n">
        <v>2380</v>
      </c>
      <c r="S542" s="27">
        <f>R542/Q542</f>
        <v/>
      </c>
      <c r="T542" t="inlineStr">
        <is>
          <t>富士見市は2045年までの人口減少率が約4.3%と全国平均より緩やかで、概ね横ばいの安定推移。生産年齢人口の維持により、賃貸需要の急減リスクは相対的に低い。</t>
        </is>
      </c>
      <c r="U542" t="inlineStr">
        <is>
          <t>富士見市は人口密度5,707人/km²の高密度市街地で、駅近ワンルームからファミリー向けまで極めて強い賃貸実需が存在。資産流動性・出口戦略の容易さも高い。 借家の空室率は約15%と需給は比較的引き締まっている。</t>
        </is>
      </c>
      <c r="V542" t="inlineStr">
        <is>
          <t>富士見市（埼玉県）：荒川・利根川・中川低地の内水・河川氾濫リスクが高い。地盤の軟弱なゼロメートル地帯に留意。</t>
        </is>
      </c>
    </row>
    <row r="543">
      <c r="A543" t="inlineStr">
        <is>
          <t>埼玉県</t>
        </is>
      </c>
      <c r="B543" t="inlineStr">
        <is>
          <t>三郷市</t>
        </is>
      </c>
      <c r="C543" t="n">
        <v>62500</v>
      </c>
      <c r="D543" t="n">
        <v>142488</v>
      </c>
      <c r="E543" s="6" t="n">
        <v>4665.7</v>
      </c>
      <c r="F543" s="7" t="n">
        <v>80</v>
      </c>
      <c r="G543" t="n">
        <v>142145</v>
      </c>
      <c r="H543" t="n">
        <v>142488</v>
      </c>
      <c r="I543" t="n">
        <v>143139</v>
      </c>
      <c r="J543" t="n">
        <v>141487</v>
      </c>
      <c r="K543" s="27">
        <f>(H543/D543-1)</f>
        <v/>
      </c>
      <c r="L543" s="27">
        <f>(I543/D543-1)</f>
        <v/>
      </c>
      <c r="M543" s="27">
        <f>(J543/D543-1)</f>
        <v/>
      </c>
      <c r="N543" t="n">
        <v>75.5</v>
      </c>
      <c r="O543" s="28">
        <f>(N543+F543)/2</f>
        <v/>
      </c>
      <c r="P543">
        <f>IF(O543="計算不能","計算不能",IF(O543&gt;=80,5,IF(O543&gt;=60,4,IF(O543&gt;=40,3,IF(O543&gt;=28,2,1)))))</f>
        <v/>
      </c>
      <c r="Q543" t="n">
        <v>19024</v>
      </c>
      <c r="R543" t="n">
        <v>4010</v>
      </c>
      <c r="S543" s="27">
        <f>R543/Q543</f>
        <v/>
      </c>
      <c r="T543" t="inlineStr">
        <is>
          <t>三郷市は2045年までの人口減少率が約0.7%と全国平均より緩やかで、概ね横ばいの安定推移。生産年齢人口の維持により、賃貸需要の急減リスクは相対的に低い。</t>
        </is>
      </c>
      <c r="U543" t="inlineStr">
        <is>
          <t>三郷市は人口密度4,666人/km²の都市部で、駅周辺や生活利便施設沿いに安定した賃貸需要がある。適切な家賃設定で高稼働を期待できる。 借家の空室率は約21%とやや高めで、競合との差別化が必要。</t>
        </is>
      </c>
      <c r="V543" t="inlineStr">
        <is>
          <t>三郷市（埼玉県）：荒川・利根川・中川低地の内水・河川氾濫リスクが高い。地盤の軟弱なゼロメートル地帯に留意。</t>
        </is>
      </c>
    </row>
    <row r="544">
      <c r="A544" t="inlineStr">
        <is>
          <t>埼玉県</t>
        </is>
      </c>
      <c r="B544" t="inlineStr">
        <is>
          <t>蓮田市</t>
        </is>
      </c>
      <c r="C544" t="n">
        <v>26080</v>
      </c>
      <c r="D544" t="n">
        <v>60028</v>
      </c>
      <c r="E544" s="6" t="n">
        <v>2215.7</v>
      </c>
      <c r="F544" s="7" t="n">
        <v>72.2</v>
      </c>
      <c r="G544" t="n">
        <v>61499</v>
      </c>
      <c r="H544" t="n">
        <v>60028</v>
      </c>
      <c r="I544" t="n">
        <v>58032</v>
      </c>
      <c r="J544" t="n">
        <v>51816</v>
      </c>
      <c r="K544" s="27">
        <f>(H544/D544-1)</f>
        <v/>
      </c>
      <c r="L544" s="27">
        <f>(I544/D544-1)</f>
        <v/>
      </c>
      <c r="M544" s="27">
        <f>(J544/D544-1)</f>
        <v/>
      </c>
      <c r="N544" t="n">
        <v>61.3</v>
      </c>
      <c r="O544" s="28">
        <f>(N544+F544)/2</f>
        <v/>
      </c>
      <c r="P544">
        <f>IF(O544="計算不能","計算不能",IF(O544&gt;=80,5,IF(O544&gt;=60,4,IF(O544&gt;=40,3,IF(O544&gt;=28,2,1)))))</f>
        <v/>
      </c>
      <c r="Q544" t="n">
        <v>7938</v>
      </c>
      <c r="R544" t="n">
        <v>960</v>
      </c>
      <c r="S544" s="27">
        <f>R544/Q544</f>
        <v/>
      </c>
      <c r="T544" t="inlineStr">
        <is>
          <t>蓮田市は2045年までに人口が約13.7%減と緩やかな減少局面。若年層の都市部流出と高齢化が進むが、当面の賃貸稼働は一定程度維持される見通し。</t>
        </is>
      </c>
      <c r="U544" t="inlineStr">
        <is>
          <t>蓮田市は人口密度2,216人/km²の都市部で、駅周辺や生活利便施設沿いに安定した賃貸需要がある。適切な家賃設定で高稼働を期待できる。 借家の空室率は約12%と需給は比較的引き締まっている。</t>
        </is>
      </c>
      <c r="V544" t="inlineStr">
        <is>
          <t>蓮田市（埼玉県）：荒川・利根川・中川低地の内水・河川氾濫リスクが高い。地盤の軟弱なゼロメートル地帯に留意。</t>
        </is>
      </c>
    </row>
    <row r="545">
      <c r="A545" t="inlineStr">
        <is>
          <t>埼玉県</t>
        </is>
      </c>
      <c r="B545" t="inlineStr">
        <is>
          <t>坂戸市</t>
        </is>
      </c>
      <c r="C545" t="n">
        <v>45090</v>
      </c>
      <c r="D545" t="n">
        <v>98595</v>
      </c>
      <c r="E545" s="6" t="n">
        <v>2422.9</v>
      </c>
      <c r="F545" s="7" t="n">
        <v>74.2</v>
      </c>
      <c r="G545" t="n">
        <v>100275</v>
      </c>
      <c r="H545" t="n">
        <v>98595</v>
      </c>
      <c r="I545" t="n">
        <v>95855</v>
      </c>
      <c r="J545" t="n">
        <v>86507</v>
      </c>
      <c r="K545" s="27">
        <f>(H545/D545-1)</f>
        <v/>
      </c>
      <c r="L545" s="27">
        <f>(I545/D545-1)</f>
        <v/>
      </c>
      <c r="M545" s="27">
        <f>(J545/D545-1)</f>
        <v/>
      </c>
      <c r="N545" t="n">
        <v>63.7</v>
      </c>
      <c r="O545" s="28">
        <f>(N545+F545)/2</f>
        <v/>
      </c>
      <c r="P545">
        <f>IF(O545="計算不能","計算不能",IF(O545&gt;=80,5,IF(O545&gt;=60,4,IF(O545&gt;=40,3,IF(O545&gt;=28,2,1)))))</f>
        <v/>
      </c>
      <c r="Q545" t="n">
        <v>13725</v>
      </c>
      <c r="R545" t="n">
        <v>5470</v>
      </c>
      <c r="S545" s="27">
        <f>R545/Q545</f>
        <v/>
      </c>
      <c r="T545" t="inlineStr">
        <is>
          <t>坂戸市は2045年までに人口が約12.3%減と緩やかな減少局面。若年層の都市部流出と高齢化が進むが、当面の賃貸稼働は一定程度維持される見通し。</t>
        </is>
      </c>
      <c r="U545" t="inlineStr">
        <is>
          <t>坂戸市は人口密度2,423人/km²の都市部で、駅周辺や生活利便施設沿いに安定した賃貸需要がある。適切な家賃設定で高稼働を期待できる。 借家の空室率は約40%と供給過多気味で、空室長期化リスクに要警戒。</t>
        </is>
      </c>
      <c r="V545" t="inlineStr">
        <is>
          <t>坂戸市（埼玉県）：荒川・利根川・中川低地の内水・河川氾濫リスクが高い。地盤の軟弱なゼロメートル地帯に留意。</t>
        </is>
      </c>
    </row>
    <row r="546">
      <c r="A546" t="inlineStr">
        <is>
          <t>埼玉県</t>
        </is>
      </c>
      <c r="B546" t="inlineStr">
        <is>
          <t>幸手市</t>
        </is>
      </c>
      <c r="C546" t="n">
        <v>20920</v>
      </c>
      <c r="D546" t="n">
        <v>47901</v>
      </c>
      <c r="E546" s="6" t="n">
        <v>1403.9</v>
      </c>
      <c r="F546" s="7" t="n">
        <v>63.1</v>
      </c>
      <c r="G546" t="n">
        <v>50066</v>
      </c>
      <c r="H546" t="n">
        <v>47901</v>
      </c>
      <c r="I546" t="n">
        <v>45251</v>
      </c>
      <c r="J546" t="n">
        <v>36270</v>
      </c>
      <c r="K546" s="27">
        <f>(H546/D546-1)</f>
        <v/>
      </c>
      <c r="L546" s="27">
        <f>(I546/D546-1)</f>
        <v/>
      </c>
      <c r="M546" s="27">
        <f>(J546/D546-1)</f>
        <v/>
      </c>
      <c r="N546" t="n">
        <v>51</v>
      </c>
      <c r="O546" s="28">
        <f>(N546+F546)/2</f>
        <v/>
      </c>
      <c r="P546">
        <f>IF(O546="計算不能","計算不能",IF(O546&gt;=80,5,IF(O546&gt;=60,4,IF(O546&gt;=40,3,IF(O546&gt;=28,2,1)))))</f>
        <v/>
      </c>
      <c r="Q546" t="n">
        <v>6368</v>
      </c>
      <c r="R546" t="n">
        <v>1350</v>
      </c>
      <c r="S546" s="27">
        <f>R546/Q546</f>
        <v/>
      </c>
      <c r="T546" t="inlineStr">
        <is>
          <t>幸手市は2045年までに人口が約24.3%減と明確な減少トレンド。高齢化の進行と世帯数の縮小により、中長期では賃貸需要の構造的縮小に警戒が必要。</t>
        </is>
      </c>
      <c r="U546" t="inlineStr">
        <is>
          <t>幸手市は人口密度1,404人/km²で、主要道路沿いや中心市街地に一定の賃貸需要が局在。立地選別が稼働を左右する。 借家の空室率は約21%とやや高めで、競合との差別化が必要。</t>
        </is>
      </c>
      <c r="V546" t="inlineStr">
        <is>
          <t>幸手市（埼玉県）：荒川・利根川・中川低地の内水・河川氾濫リスクが高い。地盤の軟弱なゼロメートル地帯に留意。</t>
        </is>
      </c>
    </row>
    <row r="547">
      <c r="A547" t="inlineStr">
        <is>
          <t>埼玉県</t>
        </is>
      </c>
      <c r="B547" t="inlineStr">
        <is>
          <t>鶴ヶ島市</t>
        </is>
      </c>
      <c r="C547" t="n">
        <v>31910</v>
      </c>
      <c r="D547" t="n">
        <v>69050</v>
      </c>
      <c r="E547" s="6" t="n">
        <v>4005.3</v>
      </c>
      <c r="F547" s="7" t="n">
        <v>80</v>
      </c>
      <c r="G547" t="n">
        <v>70117</v>
      </c>
      <c r="H547" t="n">
        <v>69050</v>
      </c>
      <c r="I547" t="n">
        <v>67227</v>
      </c>
      <c r="J547" t="n">
        <v>60290</v>
      </c>
      <c r="K547" s="27">
        <f>(H547/D547-1)</f>
        <v/>
      </c>
      <c r="L547" s="27">
        <f>(I547/D547-1)</f>
        <v/>
      </c>
      <c r="M547" s="27">
        <f>(J547/D547-1)</f>
        <v/>
      </c>
      <c r="N547" t="n">
        <v>63.9</v>
      </c>
      <c r="O547" s="28">
        <f>(N547+F547)/2</f>
        <v/>
      </c>
      <c r="P547">
        <f>IF(O547="計算不能","計算不能",IF(O547&gt;=80,5,IF(O547&gt;=60,4,IF(O547&gt;=40,3,IF(O547&gt;=28,2,1)))))</f>
        <v/>
      </c>
      <c r="Q547" t="n">
        <v>9713</v>
      </c>
      <c r="R547" t="n">
        <v>1550</v>
      </c>
      <c r="S547" s="27">
        <f>R547/Q547</f>
        <v/>
      </c>
      <c r="T547" t="inlineStr">
        <is>
          <t>鶴ヶ島市は2045年までに人口が約12.7%減と緩やかな減少局面。若年層の都市部流出と高齢化が進むが、当面の賃貸稼働は一定程度維持される見通し。</t>
        </is>
      </c>
      <c r="U547" t="inlineStr">
        <is>
          <t>鶴ヶ島市は人口密度4,005人/km²の都市部で、駅周辺や生活利便施設沿いに安定した賃貸需要がある。適切な家賃設定で高稼働を期待できる。 借家の空室率は約16%と需給は比較的引き締まっている。</t>
        </is>
      </c>
      <c r="V547" t="inlineStr">
        <is>
          <t>鶴ヶ島市（埼玉県）：荒川・利根川・中川低地の内水・河川氾濫リスクが高い。地盤の軟弱なゼロメートル地帯に留意。</t>
        </is>
      </c>
    </row>
    <row r="548">
      <c r="A548" t="inlineStr">
        <is>
          <t>埼玉県</t>
        </is>
      </c>
      <c r="B548" t="inlineStr">
        <is>
          <t>日高市</t>
        </is>
      </c>
      <c r="C548" t="n">
        <v>22270</v>
      </c>
      <c r="D548" t="n">
        <v>53462</v>
      </c>
      <c r="E548" s="6" t="n">
        <v>1125.3</v>
      </c>
      <c r="F548" s="7" t="n">
        <v>57.5</v>
      </c>
      <c r="G548" t="n">
        <v>54571</v>
      </c>
      <c r="H548" t="n">
        <v>53462</v>
      </c>
      <c r="I548" t="n">
        <v>51771</v>
      </c>
      <c r="J548" t="n">
        <v>46239</v>
      </c>
      <c r="K548" s="27">
        <f>(H548/D548-1)</f>
        <v/>
      </c>
      <c r="L548" s="27">
        <f>(I548/D548-1)</f>
        <v/>
      </c>
      <c r="M548" s="27">
        <f>(J548/D548-1)</f>
        <v/>
      </c>
      <c r="N548" t="n">
        <v>62.1</v>
      </c>
      <c r="O548" s="28">
        <f>(N548+F548)/2</f>
        <v/>
      </c>
      <c r="P548">
        <f>IF(O548="計算不能","計算不能",IF(O548&gt;=80,5,IF(O548&gt;=60,4,IF(O548&gt;=40,3,IF(O548&gt;=28,2,1)))))</f>
        <v/>
      </c>
      <c r="Q548" t="n">
        <v>6778</v>
      </c>
      <c r="R548" t="n">
        <v>790</v>
      </c>
      <c r="S548" s="27">
        <f>R548/Q548</f>
        <v/>
      </c>
      <c r="T548" t="inlineStr">
        <is>
          <t>日高市は2045年までに人口が約13.5%減と緩やかな減少局面。若年層の都市部流出と高齢化が進むが、当面の賃貸稼働は一定程度維持される見通し。</t>
        </is>
      </c>
      <c r="U548" t="inlineStr">
        <is>
          <t>日高市は人口密度1,125人/km²で、主要道路沿いや中心市街地に一定の賃貸需要が局在。立地選別が稼働を左右する。 借家の空室率は約12%と需給は比較的引き締まっている。</t>
        </is>
      </c>
      <c r="V548" t="inlineStr">
        <is>
          <t>日高市（埼玉県）：荒川・利根川・中川低地の内水・河川氾濫リスクが高い。地盤の軟弱なゼロメートル地帯に留意。</t>
        </is>
      </c>
    </row>
    <row r="549">
      <c r="A549" t="inlineStr">
        <is>
          <t>埼玉県</t>
        </is>
      </c>
      <c r="B549" t="inlineStr">
        <is>
          <t>吉川市</t>
        </is>
      </c>
      <c r="C549" t="n">
        <v>28540</v>
      </c>
      <c r="D549" t="n">
        <v>74158</v>
      </c>
      <c r="E549" s="6" t="n">
        <v>2252.9</v>
      </c>
      <c r="F549" s="7" t="n">
        <v>72.5</v>
      </c>
      <c r="G549" t="n">
        <v>71979</v>
      </c>
      <c r="H549" t="n">
        <v>74158</v>
      </c>
      <c r="I549" t="n">
        <v>75487</v>
      </c>
      <c r="J549" t="n">
        <v>76924</v>
      </c>
      <c r="K549" s="27">
        <f>(H549/D549-1)</f>
        <v/>
      </c>
      <c r="L549" s="27">
        <f>(I549/D549-1)</f>
        <v/>
      </c>
      <c r="M549" s="27">
        <f>(J549/D549-1)</f>
        <v/>
      </c>
      <c r="N549" t="n">
        <v>84.3</v>
      </c>
      <c r="O549" s="28">
        <f>(N549+F549)/2</f>
        <v/>
      </c>
      <c r="P549">
        <f>IF(O549="計算不能","計算不能",IF(O549&gt;=80,5,IF(O549&gt;=60,4,IF(O549&gt;=40,3,IF(O549&gt;=28,2,1)))))</f>
        <v/>
      </c>
      <c r="Q549" t="n">
        <v>8687</v>
      </c>
      <c r="R549" t="n">
        <v>1770</v>
      </c>
      <c r="S549" s="27">
        <f>R549/Q549</f>
        <v/>
      </c>
      <c r="T549" t="inlineStr">
        <is>
          <t>吉川市は2025年から2045年にかけて人口が約3.7%増と全国的にも希少な人口増トレンド。都市機能の集積と職住近接需要を背景に、単身・若年ファミリー層の流入が継続し、賃貸母数の拡大が見込める。</t>
        </is>
      </c>
      <c r="U549" t="inlineStr">
        <is>
          <t>吉川市は人口密度2,253人/km²の都市部で、駅周辺や生活利便施設沿いに安定した賃貸需要がある。適切な家賃設定で高稼働を期待できる。 借家の空室率は約20%とやや高めで、競合との差別化が必要。</t>
        </is>
      </c>
      <c r="V549" t="inlineStr">
        <is>
          <t>吉川市（埼玉県）：荒川・利根川・中川低地の内水・河川氾濫リスクが高い。地盤の軟弱なゼロメートル地帯に留意。</t>
        </is>
      </c>
    </row>
    <row r="550">
      <c r="A550" t="inlineStr">
        <is>
          <t>埼玉県</t>
        </is>
      </c>
      <c r="B550" t="inlineStr">
        <is>
          <t>ふじみ野市</t>
        </is>
      </c>
      <c r="C550" t="n">
        <v>50190</v>
      </c>
      <c r="D550" t="n">
        <v>112062</v>
      </c>
      <c r="E550" s="6" t="n">
        <v>7679.8</v>
      </c>
      <c r="F550" s="7" t="n">
        <v>95.40000000000001</v>
      </c>
      <c r="G550" t="n">
        <v>113597</v>
      </c>
      <c r="H550" t="n">
        <v>112062</v>
      </c>
      <c r="I550" t="n">
        <v>112580</v>
      </c>
      <c r="J550" t="n">
        <v>111619</v>
      </c>
      <c r="K550" s="27">
        <f>(H550/D550-1)</f>
        <v/>
      </c>
      <c r="L550" s="27">
        <f>(I550/D550-1)</f>
        <v/>
      </c>
      <c r="M550" s="27">
        <f>(J550/D550-1)</f>
        <v/>
      </c>
      <c r="N550" t="n">
        <v>72.40000000000001</v>
      </c>
      <c r="O550" s="28">
        <f>(N550+F550)/2</f>
        <v/>
      </c>
      <c r="P550">
        <f>IF(O550="計算不能","計算不能",IF(O550&gt;=80,5,IF(O550&gt;=60,4,IF(O550&gt;=40,3,IF(O550&gt;=28,2,1)))))</f>
        <v/>
      </c>
      <c r="Q550" t="n">
        <v>15277</v>
      </c>
      <c r="R550" t="n">
        <v>3630</v>
      </c>
      <c r="S550" s="27">
        <f>R550/Q550</f>
        <v/>
      </c>
      <c r="T550" t="inlineStr">
        <is>
          <t>ふじみ野市は2045年までの人口減少率が約0.4%と全国平均より緩やかで、概ね横ばいの安定推移。生産年齢人口の維持により、賃貸需要の急減リスクは相対的に低い。</t>
        </is>
      </c>
      <c r="U550" t="inlineStr">
        <is>
          <t>ふじみ野市は人口密度7,680人/km²の高密度市街地で、駅近ワンルームからファミリー向けまで極めて強い賃貸実需が存在。資産流動性・出口戦略の容易さも高い。 借家の空室率は約24%とやや高めで、競合との差別化が必要。</t>
        </is>
      </c>
      <c r="V550" t="inlineStr">
        <is>
          <t>ふじみ野市（埼玉県）：荒川・利根川・中川低地の内水・河川氾濫リスクが高い。地盤の軟弱なゼロメートル地帯に留意。</t>
        </is>
      </c>
    </row>
    <row r="551">
      <c r="A551" t="inlineStr">
        <is>
          <t>埼玉県</t>
        </is>
      </c>
      <c r="B551" t="inlineStr">
        <is>
          <t>白岡市</t>
        </is>
      </c>
      <c r="C551" t="n">
        <v>21090</v>
      </c>
      <c r="D551" t="n">
        <v>52451</v>
      </c>
      <c r="E551" s="6" t="n">
        <v>2066</v>
      </c>
      <c r="F551" s="7" t="n">
        <v>70.7</v>
      </c>
      <c r="G551" t="n">
        <v>52214</v>
      </c>
      <c r="H551" t="n">
        <v>52451</v>
      </c>
      <c r="I551" t="n">
        <v>52246</v>
      </c>
      <c r="J551" t="n">
        <v>50244</v>
      </c>
      <c r="K551" s="27">
        <f>(H551/D551-1)</f>
        <v/>
      </c>
      <c r="L551" s="27">
        <f>(I551/D551-1)</f>
        <v/>
      </c>
      <c r="M551" s="27">
        <f>(J551/D551-1)</f>
        <v/>
      </c>
      <c r="N551" t="n">
        <v>73.5</v>
      </c>
      <c r="O551" s="28">
        <f>(N551+F551)/2</f>
        <v/>
      </c>
      <c r="P551">
        <f>IF(O551="計算不能","計算不能",IF(O551&gt;=80,5,IF(O551&gt;=60,4,IF(O551&gt;=40,3,IF(O551&gt;=28,2,1)))))</f>
        <v/>
      </c>
      <c r="Q551" t="n">
        <v>6419</v>
      </c>
      <c r="R551" t="n">
        <v>390</v>
      </c>
      <c r="S551" s="27">
        <f>R551/Q551</f>
        <v/>
      </c>
      <c r="T551" t="inlineStr">
        <is>
          <t>白岡市は2045年までの人口減少率が約4.2%と全国平均より緩やかで、概ね横ばいの安定推移。生産年齢人口の維持により、賃貸需要の急減リスクは相対的に低い。</t>
        </is>
      </c>
      <c r="U551" t="inlineStr">
        <is>
          <t>白岡市は人口密度2,066人/km²の都市部で、駅周辺や生活利便施設沿いに安定した賃貸需要がある。適切な家賃設定で高稼働を期待できる。 借家の空室率は約6%と需給は比較的引き締まっている。</t>
        </is>
      </c>
      <c r="V551" t="inlineStr">
        <is>
          <t>白岡市（埼玉県）：荒川・利根川・中川低地の内水・河川氾濫リスクが高い。地盤の軟弱なゼロメートル地帯に留意。</t>
        </is>
      </c>
    </row>
    <row r="552">
      <c r="A552" t="inlineStr">
        <is>
          <t>埼玉県</t>
        </is>
      </c>
      <c r="B552" t="inlineStr">
        <is>
          <t>伊奈町</t>
        </is>
      </c>
      <c r="C552" t="n">
        <v>18640</v>
      </c>
      <c r="D552" t="n">
        <v>45588</v>
      </c>
      <c r="E552" s="6" t="n">
        <v>3005.4</v>
      </c>
      <c r="F552" s="7" t="n">
        <v>80</v>
      </c>
      <c r="G552" t="n">
        <v>44841</v>
      </c>
      <c r="H552" t="n">
        <v>45588</v>
      </c>
      <c r="I552" t="n">
        <v>45670</v>
      </c>
      <c r="J552" t="n">
        <v>45040</v>
      </c>
      <c r="K552" s="27">
        <f>(H552/D552-1)</f>
        <v/>
      </c>
      <c r="L552" s="27">
        <f>(I552/D552-1)</f>
        <v/>
      </c>
      <c r="M552" s="27">
        <f>(J552/D552-1)</f>
        <v/>
      </c>
      <c r="N552" t="n">
        <v>77.8</v>
      </c>
      <c r="O552" s="28">
        <f>(N552+F552)/2</f>
        <v/>
      </c>
      <c r="P552">
        <f>IF(O552="計算不能","計算不能",IF(O552&gt;=80,5,IF(O552&gt;=60,4,IF(O552&gt;=40,3,IF(O552&gt;=28,2,1)))))</f>
        <v/>
      </c>
      <c r="Q552" t="n">
        <v>5673</v>
      </c>
      <c r="R552" t="n">
        <v>590</v>
      </c>
      <c r="S552" s="27">
        <f>R552/Q552</f>
        <v/>
      </c>
      <c r="T552" t="inlineStr">
        <is>
          <t>伊奈町は2045年までの人口減少率が約1.2%と全国平均より緩やかで、概ね横ばいの安定推移。生産年齢人口の維持により、賃貸需要の急減リスクは相対的に低い。</t>
        </is>
      </c>
      <c r="U552" t="inlineStr">
        <is>
          <t>伊奈町は人口密度3,005人/km²の都市部で、駅周辺や生活利便施設沿いに安定した賃貸需要がある。適切な家賃設定で高稼働を期待できる。 借家の空室率は約10%と需給は比較的引き締まっている。</t>
        </is>
      </c>
      <c r="V552" t="inlineStr">
        <is>
          <t>伊奈町（埼玉県）：荒川・利根川・中川低地の内水・河川氾濫リスクが高い。地盤の軟弱なゼロメートル地帯に留意。</t>
        </is>
      </c>
    </row>
    <row r="553">
      <c r="A553" t="inlineStr">
        <is>
          <t>埼玉県</t>
        </is>
      </c>
      <c r="B553" t="inlineStr">
        <is>
          <t>三芳町</t>
        </is>
      </c>
      <c r="C553" t="n">
        <v>15230</v>
      </c>
      <c r="D553" t="n">
        <v>37170</v>
      </c>
      <c r="E553" s="6" t="n">
        <v>2444.9</v>
      </c>
      <c r="F553" s="7" t="n">
        <v>74.40000000000001</v>
      </c>
      <c r="G553" t="n">
        <v>38434</v>
      </c>
      <c r="H553" t="n">
        <v>37170</v>
      </c>
      <c r="I553" t="n">
        <v>36530</v>
      </c>
      <c r="J553" t="n">
        <v>34482</v>
      </c>
      <c r="K553" s="27">
        <f>(H553/D553-1)</f>
        <v/>
      </c>
      <c r="L553" s="27">
        <f>(I553/D553-1)</f>
        <v/>
      </c>
      <c r="M553" s="27">
        <f>(J553/D553-1)</f>
        <v/>
      </c>
      <c r="N553" t="n">
        <v>63.8</v>
      </c>
      <c r="O553" s="28">
        <f>(N553+F553)/2</f>
        <v/>
      </c>
      <c r="P553">
        <f>IF(O553="計算不能","計算不能",IF(O553&gt;=80,5,IF(O553&gt;=60,4,IF(O553&gt;=40,3,IF(O553&gt;=28,2,1)))))</f>
        <v/>
      </c>
      <c r="Q553" t="n">
        <v>4635</v>
      </c>
      <c r="R553" t="n">
        <v>320</v>
      </c>
      <c r="S553" s="27">
        <f>R553/Q553</f>
        <v/>
      </c>
      <c r="T553" t="inlineStr">
        <is>
          <t>三芳町は2045年までに人口が約7.2%減と緩やかな減少局面。若年層の都市部流出と高齢化が進むが、当面の賃貸稼働は一定程度維持される見通し。</t>
        </is>
      </c>
      <c r="U553" t="inlineStr">
        <is>
          <t>三芳町は人口密度2,445人/km²の都市部で、駅周辺や生活利便施設沿いに安定した賃貸需要がある。適切な家賃設定で高稼働を期待できる。 借家の空室率は約7%と需給は比較的引き締まっている。</t>
        </is>
      </c>
      <c r="V553" t="inlineStr">
        <is>
          <t>三芳町（埼玉県）：荒川・利根川・中川低地の内水・河川氾濫リスクが高い。地盤の軟弱なゼロメートル地帯に留意。</t>
        </is>
      </c>
    </row>
    <row r="554">
      <c r="A554" t="inlineStr">
        <is>
          <t>埼玉県</t>
        </is>
      </c>
      <c r="B554" t="inlineStr">
        <is>
          <t>毛呂山町</t>
        </is>
      </c>
      <c r="C554" t="n">
        <v>16260</v>
      </c>
      <c r="D554" t="n">
        <v>33936</v>
      </c>
      <c r="E554" s="6" t="n">
        <v>975.1</v>
      </c>
      <c r="F554" s="7" t="n">
        <v>54.5</v>
      </c>
      <c r="G554" t="n">
        <v>35366</v>
      </c>
      <c r="H554" t="n">
        <v>33936</v>
      </c>
      <c r="I554" t="n">
        <v>32001</v>
      </c>
      <c r="J554" t="n">
        <v>25651</v>
      </c>
      <c r="K554" s="27">
        <f>(H554/D554-1)</f>
        <v/>
      </c>
      <c r="L554" s="27">
        <f>(I554/D554-1)</f>
        <v/>
      </c>
      <c r="M554" s="27">
        <f>(J554/D554-1)</f>
        <v/>
      </c>
      <c r="N554" t="n">
        <v>51.4</v>
      </c>
      <c r="O554" s="28">
        <f>(N554+F554)/2</f>
        <v/>
      </c>
      <c r="P554">
        <f>IF(O554="計算不能","計算不能",IF(O554&gt;=80,5,IF(O554&gt;=60,4,IF(O554&gt;=40,3,IF(O554&gt;=28,2,1)))))</f>
        <v/>
      </c>
      <c r="Q554" t="n">
        <v>4949</v>
      </c>
      <c r="R554" t="n">
        <v>1160</v>
      </c>
      <c r="S554" s="27">
        <f>R554/Q554</f>
        <v/>
      </c>
      <c r="T554" t="inlineStr">
        <is>
          <t>毛呂山町は2045年までに人口が約24.4%減と明確な減少トレンド。高齢化の進行と世帯数の縮小により、中長期では賃貸需要の構造的縮小に警戒が必要。</t>
        </is>
      </c>
      <c r="U554" t="inlineStr">
        <is>
          <t>毛呂山町は人口密度975人/km²で、主要道路沿いや中心市街地に一定の賃貸需要が局在。立地選別が稼働を左右する。 借家の空室率は約23%とやや高めで、競合との差別化が必要。</t>
        </is>
      </c>
      <c r="V554" t="inlineStr">
        <is>
          <t>毛呂山町（埼玉県）：荒川・利根川・中川低地の内水・河川氾濫リスクが高い。地盤の軟弱なゼロメートル地帯に留意。</t>
        </is>
      </c>
    </row>
    <row r="555">
      <c r="A555" t="inlineStr">
        <is>
          <t>埼玉県</t>
        </is>
      </c>
      <c r="B555" t="inlineStr">
        <is>
          <t>越生町</t>
        </is>
      </c>
      <c r="C555" t="n">
        <v>5126</v>
      </c>
      <c r="D555" t="n">
        <v>10279</v>
      </c>
      <c r="E555" s="6" t="n">
        <v>253.3</v>
      </c>
      <c r="F555" s="7" t="n">
        <v>32.7</v>
      </c>
      <c r="G555" t="n">
        <v>11029</v>
      </c>
      <c r="H555" t="n">
        <v>10279</v>
      </c>
      <c r="I555" t="n">
        <v>9488</v>
      </c>
      <c r="J555" t="n">
        <v>6975</v>
      </c>
      <c r="K555" s="27">
        <f>(H555/D555-1)</f>
        <v/>
      </c>
      <c r="L555" s="27">
        <f>(I555/D555-1)</f>
        <v/>
      </c>
      <c r="M555" s="27">
        <f>(J555/D555-1)</f>
        <v/>
      </c>
      <c r="N555" t="n">
        <v>43.2</v>
      </c>
      <c r="O555" s="28">
        <f>(N555+F555)/2</f>
        <v/>
      </c>
      <c r="P555">
        <f>IF(O555="計算不能","計算不能",IF(O555&gt;=80,5,IF(O555&gt;=60,4,IF(O555&gt;=40,3,IF(O555&gt;=28,2,1)))))</f>
        <v/>
      </c>
      <c r="Q555" t="n">
        <v>1560</v>
      </c>
      <c r="R555" t="n">
        <v>0</v>
      </c>
      <c r="S555" s="27">
        <f>R555/Q555</f>
        <v/>
      </c>
      <c r="T555" t="inlineStr">
        <is>
          <t>越生町は2045年までに人口が約32.1%減と急激な過疎・超高齢化が進行。若年労働世代の流出と自然減が重なり、賃貸事業としての持続性は極めて限定的。</t>
        </is>
      </c>
      <c r="U555" t="inlineStr">
        <is>
          <t>越生町は人口密度253人/km²と低密度で、賃貸需要は限定的。持ち家比率が高く、駐車場完備の戸建て賃貸が有利。 借家の空室率は約0%と需給は比較的引き締まっている。</t>
        </is>
      </c>
      <c r="V555" t="inlineStr">
        <is>
          <t>越生町（埼玉県）：荒川・利根川・中川低地の内水・河川氾濫リスクが高い。地盤の軟弱なゼロメートル地帯に留意。</t>
        </is>
      </c>
    </row>
    <row r="556">
      <c r="A556" t="inlineStr">
        <is>
          <t>埼玉県</t>
        </is>
      </c>
      <c r="B556" t="inlineStr">
        <is>
          <t>滑川町</t>
        </is>
      </c>
      <c r="C556" t="n">
        <v>8020</v>
      </c>
      <c r="D556" t="n">
        <v>19998</v>
      </c>
      <c r="E556" s="6" t="n">
        <v>670.8</v>
      </c>
      <c r="F556" s="7" t="n">
        <v>48.4</v>
      </c>
      <c r="G556" t="n">
        <v>19732</v>
      </c>
      <c r="H556" t="n">
        <v>19998</v>
      </c>
      <c r="I556" t="n">
        <v>20785</v>
      </c>
      <c r="J556" t="n">
        <v>21874</v>
      </c>
      <c r="K556" s="27">
        <f>(H556/D556-1)</f>
        <v/>
      </c>
      <c r="L556" s="27">
        <f>(I556/D556-1)</f>
        <v/>
      </c>
      <c r="M556" s="27">
        <f>(J556/D556-1)</f>
        <v/>
      </c>
      <c r="N556" t="n">
        <v>85.2</v>
      </c>
      <c r="O556" s="28">
        <f>(N556+F556)/2</f>
        <v/>
      </c>
      <c r="P556">
        <f>IF(O556="計算不能","計算不能",IF(O556&gt;=80,5,IF(O556&gt;=60,4,IF(O556&gt;=40,3,IF(O556&gt;=28,2,1)))))</f>
        <v/>
      </c>
      <c r="Q556" t="n">
        <v>2441</v>
      </c>
      <c r="R556" t="n">
        <v>240</v>
      </c>
      <c r="S556" s="27">
        <f>R556/Q556</f>
        <v/>
      </c>
      <c r="T556" t="inlineStr">
        <is>
          <t>滑川町は2025年から2045年にかけて人口が約9.4%増と全国的にも希少な人口増トレンド。都市機能の集積と職住近接需要を背景に、単身・若年ファミリー層の流入が継続し、賃貸母数の拡大が見込める。</t>
        </is>
      </c>
      <c r="U556" t="inlineStr">
        <is>
          <t>滑川町は人口密度671人/km²で、主要道路沿いや中心市街地に一定の賃貸需要が局在。立地選別が稼働を左右する。 借家の空室率は約10%と需給は比較的引き締まっている。</t>
        </is>
      </c>
      <c r="V556" t="inlineStr">
        <is>
          <t>滑川町（埼玉県）：荒川・利根川・中川低地の内水・河川氾濫リスクが高い。地盤の軟弱なゼロメートル地帯に留意。</t>
        </is>
      </c>
    </row>
    <row r="557">
      <c r="A557" t="inlineStr">
        <is>
          <t>埼玉県</t>
        </is>
      </c>
      <c r="B557" t="inlineStr">
        <is>
          <t>嵐山町</t>
        </is>
      </c>
      <c r="C557" t="n">
        <v>7280</v>
      </c>
      <c r="D557" t="n">
        <v>17184</v>
      </c>
      <c r="E557" s="6" t="n">
        <v>579.7</v>
      </c>
      <c r="F557" s="7" t="n">
        <v>46.6</v>
      </c>
      <c r="G557" t="n">
        <v>17889</v>
      </c>
      <c r="H557" t="n">
        <v>17184</v>
      </c>
      <c r="I557" t="n">
        <v>16392</v>
      </c>
      <c r="J557" t="n">
        <v>13572</v>
      </c>
      <c r="K557" s="27">
        <f>(H557/D557-1)</f>
        <v/>
      </c>
      <c r="L557" s="27">
        <f>(I557/D557-1)</f>
        <v/>
      </c>
      <c r="M557" s="27">
        <f>(J557/D557-1)</f>
        <v/>
      </c>
      <c r="N557" t="n">
        <v>53.9</v>
      </c>
      <c r="O557" s="28">
        <f>(N557+F557)/2</f>
        <v/>
      </c>
      <c r="P557">
        <f>IF(O557="計算不能","計算不能",IF(O557&gt;=80,5,IF(O557&gt;=60,4,IF(O557&gt;=40,3,IF(O557&gt;=28,2,1)))))</f>
        <v/>
      </c>
      <c r="Q557" t="n">
        <v>2216</v>
      </c>
      <c r="R557" t="n">
        <v>300</v>
      </c>
      <c r="S557" s="27">
        <f>R557/Q557</f>
        <v/>
      </c>
      <c r="T557" t="inlineStr">
        <is>
          <t>嵐山町は2045年までに人口が約21.0%減と明確な減少トレンド。高齢化の進行と世帯数の縮小により、中長期では賃貸需要の構造的縮小に警戒が必要。</t>
        </is>
      </c>
      <c r="U557" t="inlineStr">
        <is>
          <t>嵐山町は人口密度580人/km²で、主要道路沿いや中心市街地に一定の賃貸需要が局在。立地選別が稼働を左右する。 借家の空室率は約14%と需給は比較的引き締まっている。</t>
        </is>
      </c>
      <c r="V557" t="inlineStr">
        <is>
          <t>嵐山町（埼玉県）：荒川・利根川・中川低地の内水・河川氾濫リスクが高い。地盤の軟弱なゼロメートル地帯に留意。</t>
        </is>
      </c>
    </row>
    <row r="558">
      <c r="A558" t="inlineStr">
        <is>
          <t>埼玉県</t>
        </is>
      </c>
      <c r="B558" t="inlineStr">
        <is>
          <t>小川町</t>
        </is>
      </c>
      <c r="C558" t="n">
        <v>11700</v>
      </c>
      <c r="D558" t="n">
        <v>26221</v>
      </c>
      <c r="E558" s="6" t="n">
        <v>435.3</v>
      </c>
      <c r="F558" s="7" t="n">
        <v>41.8</v>
      </c>
      <c r="G558" t="n">
        <v>28524</v>
      </c>
      <c r="H558" t="n">
        <v>26221</v>
      </c>
      <c r="I558" t="n">
        <v>23853</v>
      </c>
      <c r="J558" t="n">
        <v>16486</v>
      </c>
      <c r="K558" s="27">
        <f>(H558/D558-1)</f>
        <v/>
      </c>
      <c r="L558" s="27">
        <f>(I558/D558-1)</f>
        <v/>
      </c>
      <c r="M558" s="27">
        <f>(J558/D558-1)</f>
        <v/>
      </c>
      <c r="N558" t="n">
        <v>40.5</v>
      </c>
      <c r="O558" s="28">
        <f>(N558+F558)/2</f>
        <v/>
      </c>
      <c r="P558">
        <f>IF(O558="計算不能","計算不能",IF(O558&gt;=80,5,IF(O558&gt;=60,4,IF(O558&gt;=40,3,IF(O558&gt;=28,2,1)))))</f>
        <v/>
      </c>
      <c r="Q558" t="n">
        <v>3561</v>
      </c>
      <c r="R558" t="n">
        <v>240</v>
      </c>
      <c r="S558" s="27">
        <f>R558/Q558</f>
        <v/>
      </c>
      <c r="T558" t="inlineStr">
        <is>
          <t>小川町は2045年までに人口が約37.1%減と急激な過疎・超高齢化が進行。若年労働世代の流出と自然減が重なり、賃貸事業としての持続性は極めて限定的。</t>
        </is>
      </c>
      <c r="U558" t="inlineStr">
        <is>
          <t>小川町は人口密度435人/km²と低密度で、賃貸需要は限定的。持ち家比率が高く、駐車場完備の戸建て賃貸が有利。 借家の空室率は約7%と需給は比較的引き締まっている。</t>
        </is>
      </c>
      <c r="V558" t="inlineStr">
        <is>
          <t>小川町（埼玉県）：荒川・利根川・中川低地の内水・河川氾濫リスクが高い。地盤の軟弱なゼロメートル地帯に留意。</t>
        </is>
      </c>
    </row>
    <row r="559">
      <c r="A559" t="inlineStr">
        <is>
          <t>埼玉県</t>
        </is>
      </c>
      <c r="B559" t="inlineStr">
        <is>
          <t>川島町</t>
        </is>
      </c>
      <c r="C559" t="n">
        <v>7340</v>
      </c>
      <c r="D559" t="n">
        <v>18154</v>
      </c>
      <c r="E559" s="6" t="n">
        <v>429.5</v>
      </c>
      <c r="F559" s="7" t="n">
        <v>41.5</v>
      </c>
      <c r="G559" t="n">
        <v>19378</v>
      </c>
      <c r="H559" t="n">
        <v>18154</v>
      </c>
      <c r="I559" t="n">
        <v>16788</v>
      </c>
      <c r="J559" t="n">
        <v>12360</v>
      </c>
      <c r="K559" s="27">
        <f>(H559/D559-1)</f>
        <v/>
      </c>
      <c r="L559" s="27">
        <f>(I559/D559-1)</f>
        <v/>
      </c>
      <c r="M559" s="27">
        <f>(J559/D559-1)</f>
        <v/>
      </c>
      <c r="N559" t="n">
        <v>43.7</v>
      </c>
      <c r="O559" s="28">
        <f>(N559+F559)/2</f>
        <v/>
      </c>
      <c r="P559">
        <f>IF(O559="計算不能","計算不能",IF(O559&gt;=80,5,IF(O559&gt;=60,4,IF(O559&gt;=40,3,IF(O559&gt;=28,2,1)))))</f>
        <v/>
      </c>
      <c r="Q559" t="n">
        <v>2234</v>
      </c>
      <c r="R559" t="n">
        <v>40</v>
      </c>
      <c r="S559" s="27">
        <f>R559/Q559</f>
        <v/>
      </c>
      <c r="T559" t="inlineStr">
        <is>
          <t>川島町は2045年までに人口が約31.9%減と急激な過疎・超高齢化が進行。若年労働世代の流出と自然減が重なり、賃貸事業としての持続性は極めて限定的。</t>
        </is>
      </c>
      <c r="U559" t="inlineStr">
        <is>
          <t>川島町は人口密度430人/km²と低密度で、賃貸需要は限定的。持ち家比率が高く、駐車場完備の戸建て賃貸が有利。 借家の空室率は約2%と需給は比較的引き締まっている。</t>
        </is>
      </c>
      <c r="V559" t="inlineStr">
        <is>
          <t>川島町（埼玉県）：荒川・利根川・中川低地の内水・河川氾濫リスクが高い。地盤の軟弱なゼロメートル地帯に留意。</t>
        </is>
      </c>
    </row>
    <row r="560">
      <c r="A560" t="inlineStr">
        <is>
          <t>埼玉県</t>
        </is>
      </c>
      <c r="B560" t="inlineStr">
        <is>
          <t>吉見町</t>
        </is>
      </c>
      <c r="C560" t="n">
        <v>6810</v>
      </c>
      <c r="D560" t="n">
        <v>16857</v>
      </c>
      <c r="E560" s="6" t="n">
        <v>435.8</v>
      </c>
      <c r="F560" s="7" t="n">
        <v>41.8</v>
      </c>
      <c r="G560" t="n">
        <v>18192</v>
      </c>
      <c r="H560" t="n">
        <v>16857</v>
      </c>
      <c r="I560" t="n">
        <v>15519</v>
      </c>
      <c r="J560" t="n">
        <v>11071</v>
      </c>
      <c r="K560" s="27">
        <f>(H560/D560-1)</f>
        <v/>
      </c>
      <c r="L560" s="27">
        <f>(I560/D560-1)</f>
        <v/>
      </c>
      <c r="M560" s="27">
        <f>(J560/D560-1)</f>
        <v/>
      </c>
      <c r="N560" t="n">
        <v>42.1</v>
      </c>
      <c r="O560" s="28">
        <f>(N560+F560)/2</f>
        <v/>
      </c>
      <c r="P560">
        <f>IF(O560="計算不能","計算不能",IF(O560&gt;=80,5,IF(O560&gt;=60,4,IF(O560&gt;=40,3,IF(O560&gt;=28,2,1)))))</f>
        <v/>
      </c>
      <c r="Q560" t="n">
        <v>2072</v>
      </c>
      <c r="R560" t="n">
        <v>40</v>
      </c>
      <c r="S560" s="27">
        <f>R560/Q560</f>
        <v/>
      </c>
      <c r="T560" t="inlineStr">
        <is>
          <t>吉見町は2045年までに人口が約34.3%減と急激な過疎・超高齢化が進行。若年労働世代の流出と自然減が重なり、賃貸事業としての持続性は極めて限定的。</t>
        </is>
      </c>
      <c r="U560" t="inlineStr">
        <is>
          <t>吉見町は人口密度436人/km²と低密度で、賃貸需要は限定的。持ち家比率が高く、駐車場完備の戸建て賃貸が有利。 借家の空室率は約2%と需給は比較的引き締まっている。</t>
        </is>
      </c>
      <c r="V560" t="inlineStr">
        <is>
          <t>吉見町（埼玉県）：荒川・利根川・中川低地の内水・河川氾濫リスクが高い。地盤の軟弱なゼロメートル地帯に留意。</t>
        </is>
      </c>
    </row>
    <row r="561">
      <c r="A561" t="inlineStr">
        <is>
          <t>埼玉県</t>
        </is>
      </c>
      <c r="B561" t="inlineStr">
        <is>
          <t>鳩山町</t>
        </is>
      </c>
      <c r="C561" t="n">
        <v>6094</v>
      </c>
      <c r="D561" t="n">
        <v>12597</v>
      </c>
      <c r="E561" s="6" t="n">
        <v>491.6</v>
      </c>
      <c r="F561" s="7" t="n">
        <v>44.6</v>
      </c>
      <c r="G561" t="n">
        <v>13560</v>
      </c>
      <c r="H561" t="n">
        <v>12597</v>
      </c>
      <c r="I561" t="n">
        <v>11557</v>
      </c>
      <c r="J561" t="n">
        <v>8233</v>
      </c>
      <c r="K561" s="27">
        <f>(H561/D561-1)</f>
        <v/>
      </c>
      <c r="L561" s="27">
        <f>(I561/D561-1)</f>
        <v/>
      </c>
      <c r="M561" s="27">
        <f>(J561/D561-1)</f>
        <v/>
      </c>
      <c r="N561" t="n">
        <v>42.2</v>
      </c>
      <c r="O561" s="28">
        <f>(N561+F561)/2</f>
        <v/>
      </c>
      <c r="P561">
        <f>IF(O561="計算不能","計算不能",IF(O561&gt;=80,5,IF(O561&gt;=60,4,IF(O561&gt;=40,3,IF(O561&gt;=28,2,1)))))</f>
        <v/>
      </c>
      <c r="Q561" t="n">
        <v>1855</v>
      </c>
      <c r="R561" t="n">
        <v>0</v>
      </c>
      <c r="S561" s="27">
        <f>R561/Q561</f>
        <v/>
      </c>
      <c r="T561" t="inlineStr">
        <is>
          <t>鳩山町は2045年までに人口が約34.6%減と急激な過疎・超高齢化が進行。若年労働世代の流出と自然減が重なり、賃貸事業としての持続性は極めて限定的。</t>
        </is>
      </c>
      <c r="U561" t="inlineStr">
        <is>
          <t>鳩山町は人口密度492人/km²と低密度で、賃貸需要は限定的。持ち家比率が高く、駐車場完備の戸建て賃貸が有利。 借家の空室率は約0%と需給は比較的引き締まっている。</t>
        </is>
      </c>
      <c r="V561" t="inlineStr">
        <is>
          <t>鳩山町（埼玉県）：荒川・利根川・中川低地の内水・河川氾濫リスクが高い。地盤の軟弱なゼロメートル地帯に留意。</t>
        </is>
      </c>
    </row>
    <row r="562">
      <c r="A562" t="inlineStr">
        <is>
          <t>埼玉県</t>
        </is>
      </c>
      <c r="B562" t="inlineStr">
        <is>
          <t>ときがわ町</t>
        </is>
      </c>
      <c r="C562" t="n">
        <v>4728</v>
      </c>
      <c r="D562" t="n">
        <v>9729</v>
      </c>
      <c r="E562" s="6" t="n">
        <v>175.4</v>
      </c>
      <c r="F562" s="7" t="n">
        <v>27.5</v>
      </c>
      <c r="G562" t="n">
        <v>10540</v>
      </c>
      <c r="H562" t="n">
        <v>9729</v>
      </c>
      <c r="I562" t="n">
        <v>8939</v>
      </c>
      <c r="J562" t="n">
        <v>6353</v>
      </c>
      <c r="K562" s="27">
        <f>(H562/D562-1)</f>
        <v/>
      </c>
      <c r="L562" s="27">
        <f>(I562/D562-1)</f>
        <v/>
      </c>
      <c r="M562" s="27">
        <f>(J562/D562-1)</f>
        <v/>
      </c>
      <c r="N562" t="n">
        <v>41.7</v>
      </c>
      <c r="O562" s="28">
        <f>(N562+F562)/2</f>
        <v/>
      </c>
      <c r="P562">
        <f>IF(O562="計算不能","計算不能",IF(O562&gt;=80,5,IF(O562&gt;=60,4,IF(O562&gt;=40,3,IF(O562&gt;=28,2,1)))))</f>
        <v/>
      </c>
      <c r="Q562" t="n">
        <v>1439</v>
      </c>
      <c r="R562" t="n">
        <v>0</v>
      </c>
      <c r="S562" s="27">
        <f>R562/Q562</f>
        <v/>
      </c>
      <c r="T562" t="inlineStr">
        <is>
          <t>ときがわ町は2045年までに人口が約34.7%減と急激な過疎・超高齢化が進行。若年労働世代の流出と自然減が重なり、賃貸事業としての持続性は極めて限定的。</t>
        </is>
      </c>
      <c r="U562" t="inlineStr">
        <is>
          <t>ときがわ町は人口密度175人/km²と過疎的水準で、民間賃貸の新規需要は薄い。実需に裏付けられた格安戸建ての指値取得のみが現実的。 借家の空室率は約0%と需給は比較的引き締まっている。</t>
        </is>
      </c>
      <c r="V562" t="inlineStr">
        <is>
          <t>ときがわ町（埼玉県）：荒川・利根川・中川低地の内水・河川氾濫リスクが高い。地盤の軟弱なゼロメートル地帯に留意。</t>
        </is>
      </c>
    </row>
    <row r="563">
      <c r="A563" t="inlineStr">
        <is>
          <t>埼玉県</t>
        </is>
      </c>
      <c r="B563" t="inlineStr">
        <is>
          <t>横瀬町</t>
        </is>
      </c>
      <c r="C563" t="n">
        <v>3319</v>
      </c>
      <c r="D563" t="n">
        <v>7422</v>
      </c>
      <c r="E563" s="6" t="n">
        <v>146.4</v>
      </c>
      <c r="F563" s="7" t="n">
        <v>24.6</v>
      </c>
      <c r="G563" t="n">
        <v>7979</v>
      </c>
      <c r="H563" t="n">
        <v>7422</v>
      </c>
      <c r="I563" t="n">
        <v>6912</v>
      </c>
      <c r="J563" t="n">
        <v>5311</v>
      </c>
      <c r="K563" s="27">
        <f>(H563/D563-1)</f>
        <v/>
      </c>
      <c r="L563" s="27">
        <f>(I563/D563-1)</f>
        <v/>
      </c>
      <c r="M563" s="27">
        <f>(J563/D563-1)</f>
        <v/>
      </c>
      <c r="N563" t="n">
        <v>44.2</v>
      </c>
      <c r="O563" s="28">
        <f>(N563+F563)/2</f>
        <v/>
      </c>
      <c r="P563">
        <f>IF(O563="計算不能","計算不能",IF(O563&gt;=80,5,IF(O563&gt;=60,4,IF(O563&gt;=40,3,IF(O563&gt;=28,2,1)))))</f>
        <v/>
      </c>
      <c r="Q563" t="n">
        <v>1010</v>
      </c>
      <c r="R563" t="n">
        <v>0</v>
      </c>
      <c r="S563" s="27">
        <f>R563/Q563</f>
        <v/>
      </c>
      <c r="T563" t="inlineStr">
        <is>
          <t>横瀬町は2045年までに人口が約28.4%減と明確な減少トレンド。高齢化の進行と世帯数の縮小により、中長期では賃貸需要の構造的縮小に警戒が必要。</t>
        </is>
      </c>
      <c r="U563" t="inlineStr">
        <is>
          <t>横瀬町は人口密度146人/km²と過疎的水準で、民間賃貸の新規需要は薄い。実需に裏付けられた格安戸建ての指値取得のみが現実的。 借家の空室率は約0%と需給は比較的引き締まっている。</t>
        </is>
      </c>
      <c r="V563" t="inlineStr">
        <is>
          <t>横瀬町（埼玉県）：荒川・利根川・中川低地の内水・河川氾濫リスクが高い。地盤の軟弱なゼロメートル地帯に留意。</t>
        </is>
      </c>
    </row>
    <row r="564">
      <c r="A564" t="inlineStr">
        <is>
          <t>埼玉県</t>
        </is>
      </c>
      <c r="B564" t="inlineStr">
        <is>
          <t>皆野町</t>
        </is>
      </c>
      <c r="C564" t="n">
        <v>3954</v>
      </c>
      <c r="D564" t="n">
        <v>8550</v>
      </c>
      <c r="E564" s="6" t="n">
        <v>132.3</v>
      </c>
      <c r="F564" s="7" t="n">
        <v>23.2</v>
      </c>
      <c r="G564" t="n">
        <v>9302</v>
      </c>
      <c r="H564" t="n">
        <v>8550</v>
      </c>
      <c r="I564" t="n">
        <v>7831</v>
      </c>
      <c r="J564" t="n">
        <v>5788</v>
      </c>
      <c r="K564" s="27">
        <f>(H564/D564-1)</f>
        <v/>
      </c>
      <c r="L564" s="27">
        <f>(I564/D564-1)</f>
        <v/>
      </c>
      <c r="M564" s="27">
        <f>(J564/D564-1)</f>
        <v/>
      </c>
      <c r="N564" t="n">
        <v>41.8</v>
      </c>
      <c r="O564" s="28">
        <f>(N564+F564)/2</f>
        <v/>
      </c>
      <c r="P564">
        <f>IF(O564="計算不能","計算不能",IF(O564&gt;=80,5,IF(O564&gt;=60,4,IF(O564&gt;=40,3,IF(O564&gt;=28,2,1)))))</f>
        <v/>
      </c>
      <c r="Q564" t="n">
        <v>1203</v>
      </c>
      <c r="R564" t="n">
        <v>0</v>
      </c>
      <c r="S564" s="27">
        <f>R564/Q564</f>
        <v/>
      </c>
      <c r="T564" t="inlineStr">
        <is>
          <t>皆野町は2045年までに人口が約32.3%減と急激な過疎・超高齢化が進行。若年労働世代の流出と自然減が重なり、賃貸事業としての持続性は極めて限定的。</t>
        </is>
      </c>
      <c r="U564" t="inlineStr">
        <is>
          <t>皆野町は人口密度132人/km²と過疎的水準で、民間賃貸の新規需要は薄い。実需に裏付けられた格安戸建ての指値取得のみが現実的。 借家の空室率は約0%と需給は比較的引き締まっている。</t>
        </is>
      </c>
      <c r="V564" t="inlineStr">
        <is>
          <t>皆野町（埼玉県）：荒川・利根川・中川低地の内水・河川氾濫リスクが高い。地盤の軟弱なゼロメートル地帯に留意。</t>
        </is>
      </c>
    </row>
    <row r="565">
      <c r="A565" t="inlineStr">
        <is>
          <t>埼玉県</t>
        </is>
      </c>
      <c r="B565" t="inlineStr">
        <is>
          <t>長瀞町</t>
        </is>
      </c>
      <c r="C565" t="n">
        <v>2862</v>
      </c>
      <c r="D565" t="n">
        <v>6269</v>
      </c>
      <c r="E565" s="6" t="n">
        <v>200.5</v>
      </c>
      <c r="F565" s="7" t="n">
        <v>30</v>
      </c>
      <c r="G565" t="n">
        <v>6807</v>
      </c>
      <c r="H565" t="n">
        <v>6269</v>
      </c>
      <c r="I565" t="n">
        <v>5736</v>
      </c>
      <c r="J565" t="n">
        <v>4157</v>
      </c>
      <c r="K565" s="27">
        <f>(H565/D565-1)</f>
        <v/>
      </c>
      <c r="L565" s="27">
        <f>(I565/D565-1)</f>
        <v/>
      </c>
      <c r="M565" s="27">
        <f>(J565/D565-1)</f>
        <v/>
      </c>
      <c r="N565" t="n">
        <v>41.6</v>
      </c>
      <c r="O565" s="28">
        <f>(N565+F565)/2</f>
        <v/>
      </c>
      <c r="P565">
        <f>IF(O565="計算不能","計算不能",IF(O565&gt;=80,5,IF(O565&gt;=60,4,IF(O565&gt;=40,3,IF(O565&gt;=28,2,1)))))</f>
        <v/>
      </c>
      <c r="Q565" t="n">
        <v>871</v>
      </c>
      <c r="R565" t="n">
        <v>0</v>
      </c>
      <c r="S565" s="27">
        <f>R565/Q565</f>
        <v/>
      </c>
      <c r="T565" t="inlineStr">
        <is>
          <t>長瀞町は2045年までに人口が約33.7%減と急激な過疎・超高齢化が進行。若年労働世代の流出と自然減が重なり、賃貸事業としての持続性は極めて限定的。</t>
        </is>
      </c>
      <c r="U565" t="inlineStr">
        <is>
          <t>長瀞町は人口密度200人/km²と低密度で、賃貸需要は限定的。持ち家比率が高く、駐車場完備の戸建て賃貸が有利。 借家の空室率は約0%と需給は比較的引き締まっている。</t>
        </is>
      </c>
      <c r="V565" t="inlineStr">
        <is>
          <t>長瀞町（埼玉県）：荒川・利根川・中川低地の内水・河川氾濫リスクが高い。地盤の軟弱なゼロメートル地帯に留意。</t>
        </is>
      </c>
    </row>
    <row r="566">
      <c r="A566" t="inlineStr">
        <is>
          <t>埼玉県</t>
        </is>
      </c>
      <c r="B566" t="inlineStr">
        <is>
          <t>小鹿野町</t>
        </is>
      </c>
      <c r="C566" t="n">
        <v>4484</v>
      </c>
      <c r="D566" t="n">
        <v>9714</v>
      </c>
      <c r="E566" s="6" t="n">
        <v>55.1</v>
      </c>
      <c r="F566" s="7" t="n">
        <v>15.5</v>
      </c>
      <c r="G566" t="n">
        <v>10928</v>
      </c>
      <c r="H566" t="n">
        <v>9714</v>
      </c>
      <c r="I566" t="n">
        <v>8625</v>
      </c>
      <c r="J566" t="n">
        <v>5755</v>
      </c>
      <c r="K566" s="27">
        <f>(H566/D566-1)</f>
        <v/>
      </c>
      <c r="L566" s="27">
        <f>(I566/D566-1)</f>
        <v/>
      </c>
      <c r="M566" s="27">
        <f>(J566/D566-1)</f>
        <v/>
      </c>
      <c r="N566" t="n">
        <v>36.3</v>
      </c>
      <c r="O566" s="28">
        <f>(N566+F566)/2</f>
        <v/>
      </c>
      <c r="P566">
        <f>IF(O566="計算不能","計算不能",IF(O566&gt;=80,5,IF(O566&gt;=60,4,IF(O566&gt;=40,3,IF(O566&gt;=28,2,1)))))</f>
        <v/>
      </c>
      <c r="Q566" t="n">
        <v>1364</v>
      </c>
      <c r="R566" t="n">
        <v>0</v>
      </c>
      <c r="S566" s="27">
        <f>R566/Q566</f>
        <v/>
      </c>
      <c r="T566" t="inlineStr">
        <is>
          <t>小鹿野町は2045年までに人口が約40.8%減と急激な過疎・超高齢化が進行。若年労働世代の流出と自然減が重なり、賃貸事業としての持続性は極めて限定的。</t>
        </is>
      </c>
      <c r="U566" t="inlineStr">
        <is>
          <t>小鹿野町は人口密度55人/km²と過疎的水準で、民間賃貸の新規需要は薄い。実需に裏付けられた格安戸建ての指値取得のみが現実的。 借家の空室率は約0%と需給は比較的引き締まっている。</t>
        </is>
      </c>
      <c r="V566" t="inlineStr">
        <is>
          <t>小鹿野町（埼玉県）：荒川・利根川・中川低地の内水・河川氾濫リスクが高い。地盤の軟弱なゼロメートル地帯に留意。</t>
        </is>
      </c>
    </row>
    <row r="567">
      <c r="A567" t="inlineStr">
        <is>
          <t>埼玉県</t>
        </is>
      </c>
      <c r="B567" t="inlineStr">
        <is>
          <t>東秩父村</t>
        </is>
      </c>
      <c r="C567" t="n">
        <v>1046</v>
      </c>
      <c r="D567" t="n">
        <v>2379</v>
      </c>
      <c r="E567" s="6" t="n">
        <v>61.9</v>
      </c>
      <c r="F567" s="7" t="n">
        <v>16.2</v>
      </c>
      <c r="G567" t="n">
        <v>2709</v>
      </c>
      <c r="H567" t="n">
        <v>2379</v>
      </c>
      <c r="I567" t="n">
        <v>2103</v>
      </c>
      <c r="J567" t="n">
        <v>1335</v>
      </c>
      <c r="K567" s="27">
        <f>(H567/D567-1)</f>
        <v/>
      </c>
      <c r="L567" s="27">
        <f>(I567/D567-1)</f>
        <v/>
      </c>
      <c r="M567" s="27">
        <f>(J567/D567-1)</f>
        <v/>
      </c>
      <c r="N567" t="n">
        <v>34.6</v>
      </c>
      <c r="O567" s="28">
        <f>(N567+F567)/2</f>
        <v/>
      </c>
      <c r="P567">
        <f>IF(O567="計算不能","計算不能",IF(O567&gt;=80,5,IF(O567&gt;=60,4,IF(O567&gt;=40,3,IF(O567&gt;=28,2,1)))))</f>
        <v/>
      </c>
      <c r="Q567" t="n">
        <v>318</v>
      </c>
      <c r="R567" t="n">
        <v>0</v>
      </c>
      <c r="S567" s="27">
        <f>R567/Q567</f>
        <v/>
      </c>
      <c r="T567" t="inlineStr">
        <is>
          <t>東秩父村は2045年までに人口が約43.9%減と急激な過疎・超高齢化が進行。若年労働世代の流出と自然減が重なり、賃貸事業としての持続性は極めて限定的。</t>
        </is>
      </c>
      <c r="U567" t="inlineStr">
        <is>
          <t>東秩父村は人口密度62人/km²と過疎的水準で、民間賃貸の新規需要は薄い。実需に裏付けられた格安戸建ての指値取得のみが現実的。 借家の空室率は約0%と需給は比較的引き締まっている。</t>
        </is>
      </c>
      <c r="V567" t="inlineStr">
        <is>
          <t>東秩父村（埼玉県）：荒川・利根川・中川低地の内水・河川氾濫リスクが高い。地盤の軟弱なゼロメートル地帯に留意。</t>
        </is>
      </c>
    </row>
    <row r="568">
      <c r="A568" t="inlineStr">
        <is>
          <t>埼玉県</t>
        </is>
      </c>
      <c r="B568" t="inlineStr">
        <is>
          <t>美里町</t>
        </is>
      </c>
      <c r="C568" t="n">
        <v>4104</v>
      </c>
      <c r="D568" t="n">
        <v>10682</v>
      </c>
      <c r="E568" s="6" t="n">
        <v>55.8</v>
      </c>
      <c r="F568" s="7" t="n">
        <v>15.6</v>
      </c>
      <c r="G568" t="n">
        <v>11039</v>
      </c>
      <c r="H568" t="n">
        <v>10682</v>
      </c>
      <c r="I568" t="n">
        <v>10363</v>
      </c>
      <c r="J568" t="n">
        <v>9014</v>
      </c>
      <c r="K568" s="27">
        <f>(H568/D568-1)</f>
        <v/>
      </c>
      <c r="L568" s="27">
        <f>(I568/D568-1)</f>
        <v/>
      </c>
      <c r="M568" s="27">
        <f>(J568/D568-1)</f>
        <v/>
      </c>
      <c r="N568" t="n">
        <v>59</v>
      </c>
      <c r="O568" s="28">
        <f>(N568+F568)/2</f>
        <v/>
      </c>
      <c r="P568">
        <f>IF(O568="計算不能","計算不能",IF(O568&gt;=80,5,IF(O568&gt;=60,4,IF(O568&gt;=40,3,IF(O568&gt;=28,2,1)))))</f>
        <v/>
      </c>
      <c r="Q568" t="n">
        <v>1249</v>
      </c>
      <c r="R568" t="n">
        <v>0</v>
      </c>
      <c r="S568" s="27">
        <f>R568/Q568</f>
        <v/>
      </c>
      <c r="T568" t="inlineStr">
        <is>
          <t>美里町は2045年までに人口が約15.6%減と明確な減少トレンド。高齢化の進行と世帯数の縮小により、中長期では賃貸需要の構造的縮小に警戒が必要。</t>
        </is>
      </c>
      <c r="U568" t="inlineStr">
        <is>
          <t>美里町は人口密度56人/km²と過疎的水準で、民間賃貸の新規需要は薄い。実需に裏付けられた格安戸建ての指値取得のみが現実的。 借家の空室率は約0%と需給は比較的引き締まっている。</t>
        </is>
      </c>
      <c r="V568" t="inlineStr">
        <is>
          <t>美里町（埼玉県）：荒川・利根川・中川低地の内水・河川氾濫リスクが高い。地盤の軟弱なゼロメートル地帯に留意。</t>
        </is>
      </c>
    </row>
    <row r="569">
      <c r="A569" t="inlineStr">
        <is>
          <t>埼玉県</t>
        </is>
      </c>
      <c r="B569" t="inlineStr">
        <is>
          <t>神川町</t>
        </is>
      </c>
      <c r="C569" t="n">
        <v>5951</v>
      </c>
      <c r="D569" t="n">
        <v>12755</v>
      </c>
      <c r="E569" s="6" t="n">
        <v>263.5</v>
      </c>
      <c r="F569" s="7" t="n">
        <v>33.2</v>
      </c>
      <c r="G569" t="n">
        <v>13359</v>
      </c>
      <c r="H569" t="n">
        <v>12755</v>
      </c>
      <c r="I569" t="n">
        <v>12185</v>
      </c>
      <c r="J569" t="n">
        <v>10016</v>
      </c>
      <c r="K569" s="27">
        <f>(H569/D569-1)</f>
        <v/>
      </c>
      <c r="L569" s="27">
        <f>(I569/D569-1)</f>
        <v/>
      </c>
      <c r="M569" s="27">
        <f>(J569/D569-1)</f>
        <v/>
      </c>
      <c r="N569" t="n">
        <v>52.7</v>
      </c>
      <c r="O569" s="28">
        <f>(N569+F569)/2</f>
        <v/>
      </c>
      <c r="P569">
        <f>IF(O569="計算不能","計算不能",IF(O569&gt;=80,5,IF(O569&gt;=60,4,IF(O569&gt;=40,3,IF(O569&gt;=28,2,1)))))</f>
        <v/>
      </c>
      <c r="Q569" t="n">
        <v>1811</v>
      </c>
      <c r="R569" t="n">
        <v>0</v>
      </c>
      <c r="S569" s="27">
        <f>R569/Q569</f>
        <v/>
      </c>
      <c r="T569" t="inlineStr">
        <is>
          <t>神川町は2045年までに人口が約21.5%減と明確な減少トレンド。高齢化の進行と世帯数の縮小により、中長期では賃貸需要の構造的縮小に警戒が必要。</t>
        </is>
      </c>
      <c r="U569" t="inlineStr">
        <is>
          <t>神川町は人口密度264人/km²と低密度で、賃貸需要は限定的。持ち家比率が高く、駐車場完備の戸建て賃貸が有利。 借家の空室率は約0%と需給は比較的引き締まっている。</t>
        </is>
      </c>
      <c r="V569" t="inlineStr">
        <is>
          <t>神川町（埼玉県）：荒川・利根川・中川低地の内水・河川氾濫リスクが高い。地盤の軟弱なゼロメートル地帯に留意。</t>
        </is>
      </c>
    </row>
    <row r="570">
      <c r="A570" t="inlineStr">
        <is>
          <t>埼玉県</t>
        </is>
      </c>
      <c r="B570" t="inlineStr">
        <is>
          <t>上里町</t>
        </is>
      </c>
      <c r="C570" t="n">
        <v>12230</v>
      </c>
      <c r="D570" t="n">
        <v>29543</v>
      </c>
      <c r="E570" s="6" t="n">
        <v>1015</v>
      </c>
      <c r="F570" s="7" t="n">
        <v>55.3</v>
      </c>
      <c r="G570" t="n">
        <v>30343</v>
      </c>
      <c r="H570" t="n">
        <v>29543</v>
      </c>
      <c r="I570" t="n">
        <v>28656</v>
      </c>
      <c r="J570" t="n">
        <v>25022</v>
      </c>
      <c r="K570" s="27">
        <f>(H570/D570-1)</f>
        <v/>
      </c>
      <c r="L570" s="27">
        <f>(I570/D570-1)</f>
        <v/>
      </c>
      <c r="M570" s="27">
        <f>(J570/D570-1)</f>
        <v/>
      </c>
      <c r="N570" t="n">
        <v>60.2</v>
      </c>
      <c r="O570" s="28">
        <f>(N570+F570)/2</f>
        <v/>
      </c>
      <c r="P570">
        <f>IF(O570="計算不能","計算不能",IF(O570&gt;=80,5,IF(O570&gt;=60,4,IF(O570&gt;=40,3,IF(O570&gt;=28,2,1)))))</f>
        <v/>
      </c>
      <c r="Q570" t="n">
        <v>3722</v>
      </c>
      <c r="R570" t="n">
        <v>660</v>
      </c>
      <c r="S570" s="27">
        <f>R570/Q570</f>
        <v/>
      </c>
      <c r="T570" t="inlineStr">
        <is>
          <t>上里町は2045年までに人口が約15.3%減と明確な減少トレンド。高齢化の進行と世帯数の縮小により、中長期では賃貸需要の構造的縮小に警戒が必要。</t>
        </is>
      </c>
      <c r="U570" t="inlineStr">
        <is>
          <t>上里町は人口密度1,015人/km²で、主要道路沿いや中心市街地に一定の賃貸需要が局在。立地選別が稼働を左右する。 借家の空室率は約18%と需給は比較的引き締まっている。</t>
        </is>
      </c>
      <c r="V570" t="inlineStr">
        <is>
          <t>上里町（埼玉県）：荒川・利根川・中川低地の内水・河川氾濫リスクが高い。地盤の軟弱なゼロメートル地帯に留意。</t>
        </is>
      </c>
    </row>
    <row r="571">
      <c r="A571" t="inlineStr">
        <is>
          <t>埼玉県</t>
        </is>
      </c>
      <c r="B571" t="inlineStr">
        <is>
          <t>寄居町</t>
        </is>
      </c>
      <c r="C571" t="n">
        <v>13850</v>
      </c>
      <c r="D571" t="n">
        <v>30579</v>
      </c>
      <c r="E571" s="6" t="n">
        <v>477.5</v>
      </c>
      <c r="F571" s="7" t="n">
        <v>43.9</v>
      </c>
      <c r="G571" t="n">
        <v>32374</v>
      </c>
      <c r="H571" t="n">
        <v>30579</v>
      </c>
      <c r="I571" t="n">
        <v>28740</v>
      </c>
      <c r="J571" t="n">
        <v>22597</v>
      </c>
      <c r="K571" s="27">
        <f>(H571/D571-1)</f>
        <v/>
      </c>
      <c r="L571" s="27">
        <f>(I571/D571-1)</f>
        <v/>
      </c>
      <c r="M571" s="27">
        <f>(J571/D571-1)</f>
        <v/>
      </c>
      <c r="N571" t="n">
        <v>47.6</v>
      </c>
      <c r="O571" s="28">
        <f>(N571+F571)/2</f>
        <v/>
      </c>
      <c r="P571">
        <f>IF(O571="計算不能","計算不能",IF(O571&gt;=80,5,IF(O571&gt;=60,4,IF(O571&gt;=40,3,IF(O571&gt;=28,2,1)))))</f>
        <v/>
      </c>
      <c r="Q571" t="n">
        <v>4215</v>
      </c>
      <c r="R571" t="n">
        <v>920</v>
      </c>
      <c r="S571" s="27">
        <f>R571/Q571</f>
        <v/>
      </c>
      <c r="T571" t="inlineStr">
        <is>
          <t>寄居町は2045年までに人口が約26.1%減と明確な減少トレンド。高齢化の進行と世帯数の縮小により、中長期では賃貸需要の構造的縮小に警戒が必要。</t>
        </is>
      </c>
      <c r="U571" t="inlineStr">
        <is>
          <t>寄居町は人口密度478人/km²と低密度で、賃貸需要は限定的。持ち家比率が高く、駐車場完備の戸建て賃貸が有利。 借家の空室率は約22%とやや高めで、競合との差別化が必要。</t>
        </is>
      </c>
      <c r="V571" t="inlineStr">
        <is>
          <t>寄居町（埼玉県）：荒川・利根川・中川低地の内水・河川氾濫リスクが高い。地盤の軟弱なゼロメートル地帯に留意。</t>
        </is>
      </c>
    </row>
    <row r="572">
      <c r="A572" t="inlineStr">
        <is>
          <t>埼玉県</t>
        </is>
      </c>
      <c r="B572" t="inlineStr">
        <is>
          <t>宮代町</t>
        </is>
      </c>
      <c r="C572" t="n">
        <v>14860</v>
      </c>
      <c r="D572" t="n">
        <v>33576</v>
      </c>
      <c r="E572" s="6" t="n">
        <v>2102.5</v>
      </c>
      <c r="F572" s="7" t="n">
        <v>71</v>
      </c>
      <c r="G572" t="n">
        <v>34147</v>
      </c>
      <c r="H572" t="n">
        <v>33576</v>
      </c>
      <c r="I572" t="n">
        <v>32654</v>
      </c>
      <c r="J572" t="n">
        <v>29017</v>
      </c>
      <c r="K572" s="27">
        <f>(H572/D572-1)</f>
        <v/>
      </c>
      <c r="L572" s="27">
        <f>(I572/D572-1)</f>
        <v/>
      </c>
      <c r="M572" s="27">
        <f>(J572/D572-1)</f>
        <v/>
      </c>
      <c r="N572" t="n">
        <v>63.1</v>
      </c>
      <c r="O572" s="28">
        <f>(N572+F572)/2</f>
        <v/>
      </c>
      <c r="P572">
        <f>IF(O572="計算不能","計算不能",IF(O572&gt;=80,5,IF(O572&gt;=60,4,IF(O572&gt;=40,3,IF(O572&gt;=28,2,1)))))</f>
        <v/>
      </c>
      <c r="Q572" t="n">
        <v>4523</v>
      </c>
      <c r="R572" t="n">
        <v>1240</v>
      </c>
      <c r="S572" s="27">
        <f>R572/Q572</f>
        <v/>
      </c>
      <c r="T572" t="inlineStr">
        <is>
          <t>宮代町は2045年までに人口が約13.6%減と緩やかな減少局面。若年層の都市部流出と高齢化が進むが、当面の賃貸稼働は一定程度維持される見通し。</t>
        </is>
      </c>
      <c r="U572" t="inlineStr">
        <is>
          <t>宮代町は人口密度2,102人/km²の都市部で、駅周辺や生活利便施設沿いに安定した賃貸需要がある。適切な家賃設定で高稼働を期待できる。 借家の空室率は約27%と供給過多気味で、空室長期化リスクに要警戒。</t>
        </is>
      </c>
      <c r="V572" t="inlineStr">
        <is>
          <t>宮代町（埼玉県）：荒川・利根川・中川低地の内水・河川氾濫リスクが高い。地盤の軟弱なゼロメートル地帯に留意。</t>
        </is>
      </c>
    </row>
    <row r="573">
      <c r="A573" t="inlineStr">
        <is>
          <t>埼玉県</t>
        </is>
      </c>
      <c r="B573" t="inlineStr">
        <is>
          <t>杉戸町</t>
        </is>
      </c>
      <c r="C573" t="n">
        <v>18180</v>
      </c>
      <c r="D573" t="n">
        <v>42121</v>
      </c>
      <c r="E573" s="6" t="n">
        <v>1418</v>
      </c>
      <c r="F573" s="7" t="n">
        <v>63.4</v>
      </c>
      <c r="G573" t="n">
        <v>43845</v>
      </c>
      <c r="H573" t="n">
        <v>42121</v>
      </c>
      <c r="I573" t="n">
        <v>39920</v>
      </c>
      <c r="J573" t="n">
        <v>32562</v>
      </c>
      <c r="K573" s="27">
        <f>(H573/D573-1)</f>
        <v/>
      </c>
      <c r="L573" s="27">
        <f>(I573/D573-1)</f>
        <v/>
      </c>
      <c r="M573" s="27">
        <f>(J573/D573-1)</f>
        <v/>
      </c>
      <c r="N573" t="n">
        <v>52.7</v>
      </c>
      <c r="O573" s="28">
        <f>(N573+F573)/2</f>
        <v/>
      </c>
      <c r="P573">
        <f>IF(O573="計算不能","計算不能",IF(O573&gt;=80,5,IF(O573&gt;=60,4,IF(O573&gt;=40,3,IF(O573&gt;=28,2,1)))))</f>
        <v/>
      </c>
      <c r="Q573" t="n">
        <v>5533</v>
      </c>
      <c r="R573" t="n">
        <v>1080</v>
      </c>
      <c r="S573" s="27">
        <f>R573/Q573</f>
        <v/>
      </c>
      <c r="T573" t="inlineStr">
        <is>
          <t>杉戸町は2045年までに人口が約22.7%減と明確な減少トレンド。高齢化の進行と世帯数の縮小により、中長期では賃貸需要の構造的縮小に警戒が必要。</t>
        </is>
      </c>
      <c r="U573" t="inlineStr">
        <is>
          <t>杉戸町は人口密度1,418人/km²で、主要道路沿いや中心市街地に一定の賃貸需要が局在。立地選別が稼働を左右する。 借家の空室率は約20%とやや高めで、競合との差別化が必要。</t>
        </is>
      </c>
      <c r="V573" t="inlineStr">
        <is>
          <t>杉戸町（埼玉県）：荒川・利根川・中川低地の内水・河川氾濫リスクが高い。地盤の軟弱なゼロメートル地帯に留意。</t>
        </is>
      </c>
    </row>
    <row r="574">
      <c r="A574" t="inlineStr">
        <is>
          <t>埼玉県</t>
        </is>
      </c>
      <c r="B574" t="inlineStr">
        <is>
          <t>松伏町</t>
        </is>
      </c>
      <c r="C574" t="n">
        <v>10950</v>
      </c>
      <c r="D574" t="n">
        <v>26940</v>
      </c>
      <c r="E574" s="6" t="n">
        <v>1659.1</v>
      </c>
      <c r="F574" s="7" t="n">
        <v>66.59999999999999</v>
      </c>
      <c r="G574" t="n">
        <v>28266</v>
      </c>
      <c r="H574" t="n">
        <v>26940</v>
      </c>
      <c r="I574" t="n">
        <v>25429</v>
      </c>
      <c r="J574" t="n">
        <v>20586</v>
      </c>
      <c r="K574" s="27">
        <f>(H574/D574-1)</f>
        <v/>
      </c>
      <c r="L574" s="27">
        <f>(I574/D574-1)</f>
        <v/>
      </c>
      <c r="M574" s="27">
        <f>(J574/D574-1)</f>
        <v/>
      </c>
      <c r="N574" t="n">
        <v>50.6</v>
      </c>
      <c r="O574" s="28">
        <f>(N574+F574)/2</f>
        <v/>
      </c>
      <c r="P574">
        <f>IF(O574="計算不能","計算不能",IF(O574&gt;=80,5,IF(O574&gt;=60,4,IF(O574&gt;=40,3,IF(O574&gt;=28,2,1)))))</f>
        <v/>
      </c>
      <c r="Q574" t="n">
        <v>3333</v>
      </c>
      <c r="R574" t="n">
        <v>260</v>
      </c>
      <c r="S574" s="27">
        <f>R574/Q574</f>
        <v/>
      </c>
      <c r="T574" t="inlineStr">
        <is>
          <t>松伏町は2045年までに人口が約23.6%減と明確な減少トレンド。高齢化の進行と世帯数の縮小により、中長期では賃貸需要の構造的縮小に警戒が必要。</t>
        </is>
      </c>
      <c r="U574" t="inlineStr">
        <is>
          <t>松伏町は人口密度1,659人/km²の都市部で、駅周辺や生活利便施設沿いに安定した賃貸需要がある。適切な家賃設定で高稼働を期待できる。 借家の空室率は約8%と需給は比較的引き締まっている。</t>
        </is>
      </c>
      <c r="V574" t="inlineStr">
        <is>
          <t>松伏町（埼玉県）：荒川・利根川・中川低地の内水・河川氾濫リスクが高い。地盤の軟弱なゼロメートル地帯に留意。</t>
        </is>
      </c>
    </row>
    <row r="575">
      <c r="A575" t="inlineStr">
        <is>
          <t>千葉県</t>
        </is>
      </c>
      <c r="B575" t="inlineStr">
        <is>
          <t>千葉市</t>
        </is>
      </c>
      <c r="C575" t="n">
        <v>459300</v>
      </c>
      <c r="D575" t="n">
        <v>970981</v>
      </c>
      <c r="E575" s="6" t="n">
        <v>3661.2</v>
      </c>
      <c r="F575" s="7" t="n">
        <v>80</v>
      </c>
      <c r="G575" t="n">
        <v>974951</v>
      </c>
      <c r="H575" t="n">
        <v>970981</v>
      </c>
      <c r="I575" t="n">
        <v>959376</v>
      </c>
      <c r="J575" t="n">
        <v>913633</v>
      </c>
      <c r="K575" s="27">
        <f>(H575/D575-1)</f>
        <v/>
      </c>
      <c r="L575" s="27">
        <f>(I575/D575-1)</f>
        <v/>
      </c>
      <c r="M575" s="27">
        <f>(J575/D575-1)</f>
        <v/>
      </c>
      <c r="N575" t="n">
        <v>70.40000000000001</v>
      </c>
      <c r="O575" s="28">
        <f>(N575+F575)/2</f>
        <v/>
      </c>
      <c r="P575">
        <f>IF(O575="計算不能","計算不能",IF(O575&gt;=80,5,IF(O575&gt;=60,4,IF(O575&gt;=40,3,IF(O575&gt;=28,2,1)))))</f>
        <v/>
      </c>
      <c r="Q575" t="n">
        <v>167800</v>
      </c>
      <c r="R575" t="n">
        <v>33800</v>
      </c>
      <c r="S575" s="27">
        <f>R575/Q575</f>
        <v/>
      </c>
      <c r="T575" t="inlineStr">
        <is>
          <t>千葉市は2045年までに人口が約5.9%減と緩やかな減少局面。若年層の都市部流出と高齢化が進むが、当面の賃貸稼働は一定程度維持される見通し。</t>
        </is>
      </c>
      <c r="U575" t="inlineStr">
        <is>
          <t>千葉市は人口密度3,661人/km²の都市部で、駅周辺や生活利便施設沿いに安定した賃貸需要がある。適切な家賃設定で高稼働を期待できる。 借家の空室率は約20%とやや高めで、競合との差別化が必要。</t>
        </is>
      </c>
      <c r="V575" t="inlineStr">
        <is>
          <t>千葉市（千葉県）：利根川・江戸川水系の氾濫、九十九里・内房の津波、臨海部の液状化、南房総の土砂災害に注意。</t>
        </is>
      </c>
    </row>
    <row r="576">
      <c r="A576" t="inlineStr">
        <is>
          <t>千葉県</t>
        </is>
      </c>
      <c r="B576" t="inlineStr">
        <is>
          <t>銚子市</t>
        </is>
      </c>
      <c r="C576" t="n">
        <v>24200</v>
      </c>
      <c r="D576" t="n">
        <v>53079</v>
      </c>
      <c r="E576" s="6" t="n">
        <v>611.3</v>
      </c>
      <c r="F576" s="7" t="n">
        <v>47.2</v>
      </c>
      <c r="G576" t="n">
        <v>58431</v>
      </c>
      <c r="H576" t="n">
        <v>53079</v>
      </c>
      <c r="I576" t="n">
        <v>47726</v>
      </c>
      <c r="J576" t="n">
        <v>32996</v>
      </c>
      <c r="K576" s="27">
        <f>(H576/D576-1)</f>
        <v/>
      </c>
      <c r="L576" s="27">
        <f>(I576/D576-1)</f>
        <v/>
      </c>
      <c r="M576" s="27">
        <f>(J576/D576-1)</f>
        <v/>
      </c>
      <c r="N576" t="n">
        <v>39</v>
      </c>
      <c r="O576" s="28">
        <f>(N576+F576)/2</f>
        <v/>
      </c>
      <c r="P576">
        <f>IF(O576="計算不能","計算不能",IF(O576&gt;=80,5,IF(O576&gt;=60,4,IF(O576&gt;=40,3,IF(O576&gt;=28,2,1)))))</f>
        <v/>
      </c>
      <c r="Q576" t="n">
        <v>7444</v>
      </c>
      <c r="R576" t="n">
        <v>2530</v>
      </c>
      <c r="S576" s="27">
        <f>R576/Q576</f>
        <v/>
      </c>
      <c r="T576" t="inlineStr">
        <is>
          <t>銚子市は2045年までに人口が約37.8%減と急激な過疎・超高齢化が進行。若年労働世代の流出と自然減が重なり、賃貸事業としての持続性は極めて限定的。</t>
        </is>
      </c>
      <c r="U576" t="inlineStr">
        <is>
          <t>銚子市は人口密度611人/km²で、主要道路沿いや中心市街地に一定の賃貸需要が局在。立地選別が稼働を左右する。 借家の空室率は約34%と供給過多気味で、空室長期化リスクに要警戒。</t>
        </is>
      </c>
      <c r="V576" t="inlineStr">
        <is>
          <t>銚子市（千葉県）：利根川・江戸川水系の氾濫、九十九里・内房の津波、臨海部の液状化、南房総の土砂災害に注意。</t>
        </is>
      </c>
    </row>
    <row r="577">
      <c r="A577" t="inlineStr">
        <is>
          <t>千葉県</t>
        </is>
      </c>
      <c r="B577" t="inlineStr">
        <is>
          <t>市川市</t>
        </is>
      </c>
      <c r="C577" t="n">
        <v>243540</v>
      </c>
      <c r="D577" t="n">
        <v>498861</v>
      </c>
      <c r="E577" s="6" t="n">
        <v>8603.9</v>
      </c>
      <c r="F577" s="7" t="n">
        <v>97.2</v>
      </c>
      <c r="G577" t="n">
        <v>496676</v>
      </c>
      <c r="H577" t="n">
        <v>498861</v>
      </c>
      <c r="I577" t="n">
        <v>498711</v>
      </c>
      <c r="J577" t="n">
        <v>490409</v>
      </c>
      <c r="K577" s="27">
        <f>(H577/D577-1)</f>
        <v/>
      </c>
      <c r="L577" s="27">
        <f>(I577/D577-1)</f>
        <v/>
      </c>
      <c r="M577" s="27">
        <f>(J577/D577-1)</f>
        <v/>
      </c>
      <c r="N577" t="n">
        <v>75</v>
      </c>
      <c r="O577" s="28">
        <f>(N577+F577)/2</f>
        <v/>
      </c>
      <c r="P577">
        <f>IF(O577="計算不能","計算不能",IF(O577&gt;=80,5,IF(O577&gt;=60,4,IF(O577&gt;=40,3,IF(O577&gt;=28,2,1)))))</f>
        <v/>
      </c>
      <c r="Q577" t="n">
        <v>74919</v>
      </c>
      <c r="R577" t="n">
        <v>15080</v>
      </c>
      <c r="S577" s="27">
        <f>R577/Q577</f>
        <v/>
      </c>
      <c r="T577" t="inlineStr">
        <is>
          <t>市川市は2045年までの人口減少率が約1.7%と全国平均より緩やかで、概ね横ばいの安定推移。生産年齢人口の維持により、賃貸需要の急減リスクは相対的に低い。</t>
        </is>
      </c>
      <c r="U577" t="inlineStr">
        <is>
          <t>市川市は人口密度8,604人/km²の高密度市街地で、駅近ワンルームからファミリー向けまで極めて強い賃貸実需が存在。資産流動性・出口戦略の容易さも高い。 借家の空室率は約20%とやや高めで、競合との差別化が必要。</t>
        </is>
      </c>
      <c r="V577" t="inlineStr">
        <is>
          <t>市川市（千葉県）：利根川・江戸川水系の氾濫、九十九里・内房の津波、臨海部の液状化、南房総の土砂災害に注意。</t>
        </is>
      </c>
    </row>
    <row r="578">
      <c r="A578" t="inlineStr">
        <is>
          <t>千葉県</t>
        </is>
      </c>
      <c r="B578" t="inlineStr">
        <is>
          <t>船橋市</t>
        </is>
      </c>
      <c r="C578" t="n">
        <v>294940</v>
      </c>
      <c r="D578" t="n">
        <v>654810</v>
      </c>
      <c r="E578" s="6" t="n">
        <v>7599.1</v>
      </c>
      <c r="F578" s="7" t="n">
        <v>95.2</v>
      </c>
      <c r="G578" t="n">
        <v>642907</v>
      </c>
      <c r="H578" t="n">
        <v>654810</v>
      </c>
      <c r="I578" t="n">
        <v>659308</v>
      </c>
      <c r="J578" t="n">
        <v>656259</v>
      </c>
      <c r="K578" s="27">
        <f>(H578/D578-1)</f>
        <v/>
      </c>
      <c r="L578" s="27">
        <f>(I578/D578-1)</f>
        <v/>
      </c>
      <c r="M578" s="27">
        <f>(J578/D578-1)</f>
        <v/>
      </c>
      <c r="N578" t="n">
        <v>79.3</v>
      </c>
      <c r="O578" s="28">
        <f>(N578+F578)/2</f>
        <v/>
      </c>
      <c r="P578">
        <f>IF(O578="計算不能","計算不能",IF(O578&gt;=80,5,IF(O578&gt;=60,4,IF(O578&gt;=40,3,IF(O578&gt;=28,2,1)))))</f>
        <v/>
      </c>
      <c r="Q578" t="n">
        <v>90731</v>
      </c>
      <c r="R578" t="n">
        <v>19130</v>
      </c>
      <c r="S578" s="27">
        <f>R578/Q578</f>
        <v/>
      </c>
      <c r="T578" t="inlineStr">
        <is>
          <t>船橋市は2045年までの人口減少率が約0.2%と全国平均より緩やかで、概ね横ばいの安定推移。生産年齢人口の維持により、賃貸需要の急減リスクは相対的に低い。</t>
        </is>
      </c>
      <c r="U578" t="inlineStr">
        <is>
          <t>船橋市は人口密度7,599人/km²の高密度市街地で、駅近ワンルームからファミリー向けまで極めて強い賃貸実需が存在。資産流動性・出口戦略の容易さも高い。 借家の空室率は約21%とやや高めで、競合との差別化が必要。</t>
        </is>
      </c>
      <c r="V578" t="inlineStr">
        <is>
          <t>船橋市（千葉県）：利根川・江戸川水系の氾濫、九十九里・内房の津波、臨海部の液状化、南房総の土砂災害に注意。</t>
        </is>
      </c>
    </row>
    <row r="579">
      <c r="A579" t="inlineStr">
        <is>
          <t>千葉県</t>
        </is>
      </c>
      <c r="B579" t="inlineStr">
        <is>
          <t>館山市</t>
        </is>
      </c>
      <c r="C579" t="n">
        <v>19760</v>
      </c>
      <c r="D579" t="n">
        <v>42440</v>
      </c>
      <c r="E579" s="6" t="n">
        <v>373.7</v>
      </c>
      <c r="F579" s="7" t="n">
        <v>38.7</v>
      </c>
      <c r="G579" t="n">
        <v>45153</v>
      </c>
      <c r="H579" t="n">
        <v>42440</v>
      </c>
      <c r="I579" t="n">
        <v>40024</v>
      </c>
      <c r="J579" t="n">
        <v>32962</v>
      </c>
      <c r="K579" s="27">
        <f>(H579/D579-1)</f>
        <v/>
      </c>
      <c r="L579" s="27">
        <f>(I579/D579-1)</f>
        <v/>
      </c>
      <c r="M579" s="27">
        <f>(J579/D579-1)</f>
        <v/>
      </c>
      <c r="N579" t="n">
        <v>48.7</v>
      </c>
      <c r="O579" s="28">
        <f>(N579+F579)/2</f>
        <v/>
      </c>
      <c r="P579">
        <f>IF(O579="計算不能","計算不能",IF(O579&gt;=80,5,IF(O579&gt;=60,4,IF(O579&gt;=40,3,IF(O579&gt;=28,2,1)))))</f>
        <v/>
      </c>
      <c r="Q579" t="n">
        <v>6078</v>
      </c>
      <c r="R579" t="n">
        <v>1870</v>
      </c>
      <c r="S579" s="27">
        <f>R579/Q579</f>
        <v/>
      </c>
      <c r="T579" t="inlineStr">
        <is>
          <t>館山市は2045年までに人口が約22.3%減と明確な減少トレンド。高齢化の進行と世帯数の縮小により、中長期では賃貸需要の構造的縮小に警戒が必要。</t>
        </is>
      </c>
      <c r="U579" t="inlineStr">
        <is>
          <t>館山市は人口密度374人/km²と低密度で、賃貸需要は限定的。持ち家比率が高く、駐車場完備の戸建て賃貸が有利。 借家の空室率は約31%と供給過多気味で、空室長期化リスクに要警戒。</t>
        </is>
      </c>
      <c r="V579" t="inlineStr">
        <is>
          <t>館山市（千葉県）：利根川・江戸川水系の氾濫、九十九里・内房の津波、臨海部の液状化、南房総の土砂災害に注意。</t>
        </is>
      </c>
    </row>
    <row r="580">
      <c r="A580" t="inlineStr">
        <is>
          <t>千葉県</t>
        </is>
      </c>
      <c r="B580" t="inlineStr">
        <is>
          <t>木更津市</t>
        </is>
      </c>
      <c r="C580" t="n">
        <v>57460</v>
      </c>
      <c r="D580" t="n">
        <v>137970</v>
      </c>
      <c r="E580" s="6" t="n">
        <v>987.5</v>
      </c>
      <c r="F580" s="7" t="n">
        <v>54.8</v>
      </c>
      <c r="G580" t="n">
        <v>136166</v>
      </c>
      <c r="H580" t="n">
        <v>137970</v>
      </c>
      <c r="I580" t="n">
        <v>138409</v>
      </c>
      <c r="J580" t="n">
        <v>135565</v>
      </c>
      <c r="K580" s="27">
        <f>(H580/D580-1)</f>
        <v/>
      </c>
      <c r="L580" s="27">
        <f>(I580/D580-1)</f>
        <v/>
      </c>
      <c r="M580" s="27">
        <f>(J580/D580-1)</f>
        <v/>
      </c>
      <c r="N580" t="n">
        <v>77</v>
      </c>
      <c r="O580" s="28">
        <f>(N580+F580)/2</f>
        <v/>
      </c>
      <c r="P580">
        <f>IF(O580="計算不能","計算不能",IF(O580&gt;=80,5,IF(O580&gt;=60,4,IF(O580&gt;=40,3,IF(O580&gt;=28,2,1)))))</f>
        <v/>
      </c>
      <c r="Q580" t="n">
        <v>17676</v>
      </c>
      <c r="R580" t="n">
        <v>5520</v>
      </c>
      <c r="S580" s="27">
        <f>R580/Q580</f>
        <v/>
      </c>
      <c r="T580" t="inlineStr">
        <is>
          <t>木更津市は2045年までの人口減少率が約1.7%と全国平均より緩やかで、概ね横ばいの安定推移。生産年齢人口の維持により、賃貸需要の急減リスクは相対的に低い。</t>
        </is>
      </c>
      <c r="U580" t="inlineStr">
        <is>
          <t>木更津市は人口密度988人/km²で、主要道路沿いや中心市街地に一定の賃貸需要が局在。立地選別が稼働を左右する。 借家の空室率は約31%と供給過多気味で、空室長期化リスクに要警戒。</t>
        </is>
      </c>
      <c r="V580" t="inlineStr">
        <is>
          <t>木更津市（千葉県）：利根川・江戸川水系の氾濫、九十九里・内房の津波、臨海部の液状化、南房総の土砂災害に注意。</t>
        </is>
      </c>
    </row>
    <row r="581">
      <c r="A581" t="inlineStr">
        <is>
          <t>千葉県</t>
        </is>
      </c>
      <c r="B581" t="inlineStr">
        <is>
          <t>松戸市</t>
        </is>
      </c>
      <c r="C581" t="n">
        <v>229710</v>
      </c>
      <c r="D581" t="n">
        <v>498909</v>
      </c>
      <c r="E581" s="6" t="n">
        <v>8092.4</v>
      </c>
      <c r="F581" s="7" t="n">
        <v>96.2</v>
      </c>
      <c r="G581" t="n">
        <v>498232</v>
      </c>
      <c r="H581" t="n">
        <v>498909</v>
      </c>
      <c r="I581" t="n">
        <v>496472</v>
      </c>
      <c r="J581" t="n">
        <v>482576</v>
      </c>
      <c r="K581" s="27">
        <f>(H581/D581-1)</f>
        <v/>
      </c>
      <c r="L581" s="27">
        <f>(I581/D581-1)</f>
        <v/>
      </c>
      <c r="M581" s="27">
        <f>(J581/D581-1)</f>
        <v/>
      </c>
      <c r="N581" t="n">
        <v>73.3</v>
      </c>
      <c r="O581" s="28">
        <f>(N581+F581)/2</f>
        <v/>
      </c>
      <c r="P581">
        <f>IF(O581="計算不能","計算不能",IF(O581&gt;=80,5,IF(O581&gt;=60,4,IF(O581&gt;=40,3,IF(O581&gt;=28,2,1)))))</f>
        <v/>
      </c>
      <c r="Q581" t="n">
        <v>70665</v>
      </c>
      <c r="R581" t="n">
        <v>20420</v>
      </c>
      <c r="S581" s="27">
        <f>R581/Q581</f>
        <v/>
      </c>
      <c r="T581" t="inlineStr">
        <is>
          <t>松戸市は2045年までの人口減少率が約3.3%と全国平均より緩やかで、概ね横ばいの安定推移。生産年齢人口の維持により、賃貸需要の急減リスクは相対的に低い。</t>
        </is>
      </c>
      <c r="U581" t="inlineStr">
        <is>
          <t>松戸市は人口密度8,092人/km²の高密度市街地で、駅近ワンルームからファミリー向けまで極めて強い賃貸実需が存在。資産流動性・出口戦略の容易さも高い。 借家の空室率は約29%と供給過多気味で、空室長期化リスクに要警戒。</t>
        </is>
      </c>
      <c r="V581" t="inlineStr">
        <is>
          <t>松戸市（千葉県）：利根川・江戸川水系の氾濫、九十九里・内房の津波、臨海部の液状化、南房総の土砂災害に注意。</t>
        </is>
      </c>
    </row>
    <row r="582">
      <c r="A582" t="inlineStr">
        <is>
          <t>千葉県</t>
        </is>
      </c>
      <c r="B582" t="inlineStr">
        <is>
          <t>野田市</t>
        </is>
      </c>
      <c r="C582" t="n">
        <v>65190</v>
      </c>
      <c r="D582" t="n">
        <v>150572</v>
      </c>
      <c r="E582" s="6" t="n">
        <v>1459.1</v>
      </c>
      <c r="F582" s="7" t="n">
        <v>64.2</v>
      </c>
      <c r="G582" t="n">
        <v>152638</v>
      </c>
      <c r="H582" t="n">
        <v>150572</v>
      </c>
      <c r="I582" t="n">
        <v>147252</v>
      </c>
      <c r="J582" t="n">
        <v>135088</v>
      </c>
      <c r="K582" s="27">
        <f>(H582/D582-1)</f>
        <v/>
      </c>
      <c r="L582" s="27">
        <f>(I582/D582-1)</f>
        <v/>
      </c>
      <c r="M582" s="27">
        <f>(J582/D582-1)</f>
        <v/>
      </c>
      <c r="N582" t="n">
        <v>65.7</v>
      </c>
      <c r="O582" s="28">
        <f>(N582+F582)/2</f>
        <v/>
      </c>
      <c r="P582">
        <f>IF(O582="計算不能","計算不能",IF(O582&gt;=80,5,IF(O582&gt;=60,4,IF(O582&gt;=40,3,IF(O582&gt;=28,2,1)))))</f>
        <v/>
      </c>
      <c r="Q582" t="n">
        <v>20054</v>
      </c>
      <c r="R582" t="n">
        <v>4290</v>
      </c>
      <c r="S582" s="27">
        <f>R582/Q582</f>
        <v/>
      </c>
      <c r="T582" t="inlineStr">
        <is>
          <t>野田市は2045年までに人口が約10.3%減と緩やかな減少局面。若年層の都市部流出と高齢化が進むが、当面の賃貸稼働は一定程度維持される見通し。</t>
        </is>
      </c>
      <c r="U582" t="inlineStr">
        <is>
          <t>野田市は人口密度1,459人/km²で、主要道路沿いや中心市街地に一定の賃貸需要が局在。立地選別が稼働を左右する。 借家の空室率は約21%とやや高めで、競合との差別化が必要。</t>
        </is>
      </c>
      <c r="V582" t="inlineStr">
        <is>
          <t>野田市（千葉県）：利根川・江戸川水系の氾濫、九十九里・内房の津波、臨海部の液状化、南房総の土砂災害に注意。</t>
        </is>
      </c>
    </row>
    <row r="583">
      <c r="A583" t="inlineStr">
        <is>
          <t>千葉県</t>
        </is>
      </c>
      <c r="B583" t="inlineStr">
        <is>
          <t>茂原市</t>
        </is>
      </c>
      <c r="C583" t="n">
        <v>37110</v>
      </c>
      <c r="D583" t="n">
        <v>83718</v>
      </c>
      <c r="E583" s="6" t="n">
        <v>836.4</v>
      </c>
      <c r="F583" s="7" t="n">
        <v>51.7</v>
      </c>
      <c r="G583" t="n">
        <v>86782</v>
      </c>
      <c r="H583" t="n">
        <v>83718</v>
      </c>
      <c r="I583" t="n">
        <v>80284</v>
      </c>
      <c r="J583" t="n">
        <v>68047</v>
      </c>
      <c r="K583" s="27">
        <f>(H583/D583-1)</f>
        <v/>
      </c>
      <c r="L583" s="27">
        <f>(I583/D583-1)</f>
        <v/>
      </c>
      <c r="M583" s="27">
        <f>(J583/D583-1)</f>
        <v/>
      </c>
      <c r="N583" t="n">
        <v>56.1</v>
      </c>
      <c r="O583" s="28">
        <f>(N583+F583)/2</f>
        <v/>
      </c>
      <c r="P583">
        <f>IF(O583="計算不能","計算不能",IF(O583&gt;=80,5,IF(O583&gt;=60,4,IF(O583&gt;=40,3,IF(O583&gt;=28,2,1)))))</f>
        <v/>
      </c>
      <c r="Q583" t="n">
        <v>11416</v>
      </c>
      <c r="R583" t="n">
        <v>4140</v>
      </c>
      <c r="S583" s="27">
        <f>R583/Q583</f>
        <v/>
      </c>
      <c r="T583" t="inlineStr">
        <is>
          <t>茂原市は2045年までに人口が約18.7%減と明確な減少トレンド。高齢化の進行と世帯数の縮小により、中長期では賃貸需要の構造的縮小に警戒が必要。</t>
        </is>
      </c>
      <c r="U583" t="inlineStr">
        <is>
          <t>茂原市は人口密度836人/km²で、主要道路沿いや中心市街地に一定の賃貸需要が局在。立地選別が稼働を左右する。 借家の空室率は約36%と供給過多気味で、空室長期化リスクに要警戒。</t>
        </is>
      </c>
      <c r="V583" t="inlineStr">
        <is>
          <t>茂原市（千葉県）：利根川・江戸川水系の氾濫、九十九里・内房の津波、臨海部の液状化、南房総の土砂災害に注意。</t>
        </is>
      </c>
    </row>
    <row r="584">
      <c r="A584" t="inlineStr">
        <is>
          <t>千葉県</t>
        </is>
      </c>
      <c r="B584" t="inlineStr">
        <is>
          <t>成田市</t>
        </is>
      </c>
      <c r="C584" t="n">
        <v>58170</v>
      </c>
      <c r="D584" t="n">
        <v>134387</v>
      </c>
      <c r="E584" s="6" t="n">
        <v>625.7</v>
      </c>
      <c r="F584" s="7" t="n">
        <v>47.5</v>
      </c>
      <c r="G584" t="n">
        <v>132906</v>
      </c>
      <c r="H584" t="n">
        <v>134387</v>
      </c>
      <c r="I584" t="n">
        <v>134288</v>
      </c>
      <c r="J584" t="n">
        <v>130171</v>
      </c>
      <c r="K584" s="27">
        <f>(H584/D584-1)</f>
        <v/>
      </c>
      <c r="L584" s="27">
        <f>(I584/D584-1)</f>
        <v/>
      </c>
      <c r="M584" s="27">
        <f>(J584/D584-1)</f>
        <v/>
      </c>
      <c r="N584" t="n">
        <v>75.59999999999999</v>
      </c>
      <c r="O584" s="28">
        <f>(N584+F584)/2</f>
        <v/>
      </c>
      <c r="P584">
        <f>IF(O584="計算不能","計算不能",IF(O584&gt;=80,5,IF(O584&gt;=60,4,IF(O584&gt;=40,3,IF(O584&gt;=28,2,1)))))</f>
        <v/>
      </c>
      <c r="Q584" t="n">
        <v>17894</v>
      </c>
      <c r="R584" t="n">
        <v>3970</v>
      </c>
      <c r="S584" s="27">
        <f>R584/Q584</f>
        <v/>
      </c>
      <c r="T584" t="inlineStr">
        <is>
          <t>成田市は2045年までの人口減少率が約3.1%と全国平均より緩やかで、概ね横ばいの安定推移。生産年齢人口の維持により、賃貸需要の急減リスクは相対的に低い。</t>
        </is>
      </c>
      <c r="U584" t="inlineStr">
        <is>
          <t>成田市は人口密度626人/km²で、主要道路沿いや中心市街地に一定の賃貸需要が局在。立地選別が稼働を左右する。 借家の空室率は約22%とやや高めで、競合との差別化が必要。</t>
        </is>
      </c>
      <c r="V584" t="inlineStr">
        <is>
          <t>成田市（千葉県）：利根川・江戸川水系の氾濫、九十九里・内房の津波、臨海部の液状化、南房総の土砂災害に注意。</t>
        </is>
      </c>
    </row>
    <row r="585">
      <c r="A585" t="inlineStr">
        <is>
          <t>千葉県</t>
        </is>
      </c>
      <c r="B585" t="inlineStr">
        <is>
          <t>佐倉市</t>
        </is>
      </c>
      <c r="C585" t="n">
        <v>70330</v>
      </c>
      <c r="D585" t="n">
        <v>165235</v>
      </c>
      <c r="E585" s="6" t="n">
        <v>1580.3</v>
      </c>
      <c r="F585" s="7" t="n">
        <v>65.8</v>
      </c>
      <c r="G585" t="n">
        <v>168743</v>
      </c>
      <c r="H585" t="n">
        <v>165235</v>
      </c>
      <c r="I585" t="n">
        <v>159892</v>
      </c>
      <c r="J585" t="n">
        <v>141189</v>
      </c>
      <c r="K585" s="27">
        <f>(H585/D585-1)</f>
        <v/>
      </c>
      <c r="L585" s="27">
        <f>(I585/D585-1)</f>
        <v/>
      </c>
      <c r="M585" s="27">
        <f>(J585/D585-1)</f>
        <v/>
      </c>
      <c r="N585" t="n">
        <v>61.5</v>
      </c>
      <c r="O585" s="28">
        <f>(N585+F585)/2</f>
        <v/>
      </c>
      <c r="P585">
        <f>IF(O585="計算不能","計算不能",IF(O585&gt;=80,5,IF(O585&gt;=60,4,IF(O585&gt;=40,3,IF(O585&gt;=28,2,1)))))</f>
        <v/>
      </c>
      <c r="Q585" t="n">
        <v>21635</v>
      </c>
      <c r="R585" t="n">
        <v>2470</v>
      </c>
      <c r="S585" s="27">
        <f>R585/Q585</f>
        <v/>
      </c>
      <c r="T585" t="inlineStr">
        <is>
          <t>佐倉市は2045年までに人口が約14.6%減と緩やかな減少局面。若年層の都市部流出と高齢化が進むが、当面の賃貸稼働は一定程度維持される見通し。</t>
        </is>
      </c>
      <c r="U585" t="inlineStr">
        <is>
          <t>佐倉市は人口密度1,580人/km²の都市部で、駅周辺や生活利便施設沿いに安定した賃貸需要がある。適切な家賃設定で高稼働を期待できる。 借家の空室率は約11%と需給は比較的引き締まっている。</t>
        </is>
      </c>
      <c r="V585" t="inlineStr">
        <is>
          <t>佐倉市（千葉県）：利根川・江戸川水系の氾濫、九十九里・内房の津波、臨海部の液状化、南房総の土砂災害に注意。</t>
        </is>
      </c>
    </row>
    <row r="586">
      <c r="A586" t="inlineStr">
        <is>
          <t>千葉県</t>
        </is>
      </c>
      <c r="B586" t="inlineStr">
        <is>
          <t>東金市</t>
        </is>
      </c>
      <c r="C586" t="n">
        <v>25740</v>
      </c>
      <c r="D586" t="n">
        <v>56505</v>
      </c>
      <c r="E586" s="6" t="n">
        <v>634.5</v>
      </c>
      <c r="F586" s="7" t="n">
        <v>47.7</v>
      </c>
      <c r="G586" t="n">
        <v>58219</v>
      </c>
      <c r="H586" t="n">
        <v>56505</v>
      </c>
      <c r="I586" t="n">
        <v>54410</v>
      </c>
      <c r="J586" t="n">
        <v>46537</v>
      </c>
      <c r="K586" s="27">
        <f>(H586/D586-1)</f>
        <v/>
      </c>
      <c r="L586" s="27">
        <f>(I586/D586-1)</f>
        <v/>
      </c>
      <c r="M586" s="27">
        <f>(J586/D586-1)</f>
        <v/>
      </c>
      <c r="N586" t="n">
        <v>58</v>
      </c>
      <c r="O586" s="28">
        <f>(N586+F586)/2</f>
        <v/>
      </c>
      <c r="P586">
        <f>IF(O586="計算不能","計算不能",IF(O586&gt;=80,5,IF(O586&gt;=60,4,IF(O586&gt;=40,3,IF(O586&gt;=28,2,1)))))</f>
        <v/>
      </c>
      <c r="Q586" t="n">
        <v>7918</v>
      </c>
      <c r="R586" t="n">
        <v>2980</v>
      </c>
      <c r="S586" s="27">
        <f>R586/Q586</f>
        <v/>
      </c>
      <c r="T586" t="inlineStr">
        <is>
          <t>東金市は2045年までに人口が約17.6%減と明確な減少トレンド。高齢化の進行と世帯数の縮小により、中長期では賃貸需要の構造的縮小に警戒が必要。</t>
        </is>
      </c>
      <c r="U586" t="inlineStr">
        <is>
          <t>東金市は人口密度634人/km²で、主要道路沿いや中心市街地に一定の賃貸需要が局在。立地選別が稼働を左右する。 借家の空室率は約38%と供給過多気味で、空室長期化リスクに要警戒。</t>
        </is>
      </c>
      <c r="V586" t="inlineStr">
        <is>
          <t>東金市（千葉県）：利根川・江戸川水系の氾濫、九十九里・内房の津波、臨海部の液状化、南房総の土砂災害に注意。</t>
        </is>
      </c>
    </row>
    <row r="587">
      <c r="A587" t="inlineStr">
        <is>
          <t>千葉県</t>
        </is>
      </c>
      <c r="B587" t="inlineStr">
        <is>
          <t>旭市</t>
        </is>
      </c>
      <c r="C587" t="n">
        <v>23990</v>
      </c>
      <c r="D587" t="n">
        <v>61028</v>
      </c>
      <c r="E587" s="6" t="n">
        <v>457.2</v>
      </c>
      <c r="F587" s="7" t="n">
        <v>42.9</v>
      </c>
      <c r="G587" t="n">
        <v>63745</v>
      </c>
      <c r="H587" t="n">
        <v>61028</v>
      </c>
      <c r="I587" t="n">
        <v>58161</v>
      </c>
      <c r="J587" t="n">
        <v>48776</v>
      </c>
      <c r="K587" s="27">
        <f>(H587/D587-1)</f>
        <v/>
      </c>
      <c r="L587" s="27">
        <f>(I587/D587-1)</f>
        <v/>
      </c>
      <c r="M587" s="27">
        <f>(J587/D587-1)</f>
        <v/>
      </c>
      <c r="N587" t="n">
        <v>53.7</v>
      </c>
      <c r="O587" s="28">
        <f>(N587+F587)/2</f>
        <v/>
      </c>
      <c r="P587">
        <f>IF(O587="計算不能","計算不能",IF(O587&gt;=80,5,IF(O587&gt;=60,4,IF(O587&gt;=40,3,IF(O587&gt;=28,2,1)))))</f>
        <v/>
      </c>
      <c r="Q587" t="n">
        <v>7379</v>
      </c>
      <c r="R587" t="n">
        <v>1550</v>
      </c>
      <c r="S587" s="27">
        <f>R587/Q587</f>
        <v/>
      </c>
      <c r="T587" t="inlineStr">
        <is>
          <t>旭市は2045年までに人口が約20.1%減と明確な減少トレンド。高齢化の進行と世帯数の縮小により、中長期では賃貸需要の構造的縮小に警戒が必要。</t>
        </is>
      </c>
      <c r="U587" t="inlineStr">
        <is>
          <t>旭市は人口密度457人/km²と低密度で、賃貸需要は限定的。持ち家比率が高く、駐車場完備の戸建て賃貸が有利。 借家の空室率は約21%とやや高めで、競合との差別化が必要。</t>
        </is>
      </c>
      <c r="V587" t="inlineStr">
        <is>
          <t>旭市（千葉県）：利根川・江戸川水系の氾濫、九十九里・内房の津波、臨海部の液状化、南房総の土砂災害に注意。</t>
        </is>
      </c>
    </row>
    <row r="588">
      <c r="A588" t="inlineStr">
        <is>
          <t>千葉県</t>
        </is>
      </c>
      <c r="B588" t="inlineStr">
        <is>
          <t>習志野市</t>
        </is>
      </c>
      <c r="C588" t="n">
        <v>81420</v>
      </c>
      <c r="D588" t="n">
        <v>178762</v>
      </c>
      <c r="E588" s="6" t="n">
        <v>8392.9</v>
      </c>
      <c r="F588" s="7" t="n">
        <v>96.8</v>
      </c>
      <c r="G588" t="n">
        <v>176197</v>
      </c>
      <c r="H588" t="n">
        <v>178762</v>
      </c>
      <c r="I588" t="n">
        <v>179464</v>
      </c>
      <c r="J588" t="n">
        <v>177174</v>
      </c>
      <c r="K588" s="27">
        <f>(H588/D588-1)</f>
        <v/>
      </c>
      <c r="L588" s="27">
        <f>(I588/D588-1)</f>
        <v/>
      </c>
      <c r="M588" s="27">
        <f>(J588/D588-1)</f>
        <v/>
      </c>
      <c r="N588" t="n">
        <v>77.7</v>
      </c>
      <c r="O588" s="28">
        <f>(N588+F588)/2</f>
        <v/>
      </c>
      <c r="P588">
        <f>IF(O588="計算不能","計算不能",IF(O588&gt;=80,5,IF(O588&gt;=60,4,IF(O588&gt;=40,3,IF(O588&gt;=28,2,1)))))</f>
        <v/>
      </c>
      <c r="Q588" t="n">
        <v>25047</v>
      </c>
      <c r="R588" t="n">
        <v>6010</v>
      </c>
      <c r="S588" s="27">
        <f>R588/Q588</f>
        <v/>
      </c>
      <c r="T588" t="inlineStr">
        <is>
          <t>習志野市は2045年までの人口減少率が約0.9%と全国平均より緩やかで、概ね横ばいの安定推移。生産年齢人口の維持により、賃貸需要の急減リスクは相対的に低い。</t>
        </is>
      </c>
      <c r="U588" t="inlineStr">
        <is>
          <t>習志野市は人口密度8,393人/km²の高密度市街地で、駅近ワンルームからファミリー向けまで極めて強い賃貸実需が存在。資産流動性・出口戦略の容易さも高い。 借家の空室率は約24%とやや高めで、競合との差別化が必要。</t>
        </is>
      </c>
      <c r="V588" t="inlineStr">
        <is>
          <t>習志野市（千葉県）：利根川・江戸川水系の氾濫、九十九里・内房の津波、臨海部の液状化、南房総の土砂災害に注意。</t>
        </is>
      </c>
    </row>
    <row r="589">
      <c r="A589" t="inlineStr">
        <is>
          <t>千葉県</t>
        </is>
      </c>
      <c r="B589" t="inlineStr">
        <is>
          <t>柏市</t>
        </is>
      </c>
      <c r="C589" t="n">
        <v>194570</v>
      </c>
      <c r="D589" t="n">
        <v>435045</v>
      </c>
      <c r="E589" s="6" t="n">
        <v>3794.4</v>
      </c>
      <c r="F589" s="7" t="n">
        <v>80</v>
      </c>
      <c r="G589" t="n">
        <v>426468</v>
      </c>
      <c r="H589" t="n">
        <v>435045</v>
      </c>
      <c r="I589" t="n">
        <v>439526</v>
      </c>
      <c r="J589" t="n">
        <v>438567</v>
      </c>
      <c r="K589" s="27">
        <f>(H589/D589-1)</f>
        <v/>
      </c>
      <c r="L589" s="27">
        <f>(I589/D589-1)</f>
        <v/>
      </c>
      <c r="M589" s="27">
        <f>(J589/D589-1)</f>
        <v/>
      </c>
      <c r="N589" t="n">
        <v>80.2</v>
      </c>
      <c r="O589" s="28">
        <f>(N589+F589)/2</f>
        <v/>
      </c>
      <c r="P589">
        <f>IF(O589="計算不能","計算不能",IF(O589&gt;=80,5,IF(O589&gt;=60,4,IF(O589&gt;=40,3,IF(O589&gt;=28,2,1)))))</f>
        <v/>
      </c>
      <c r="Q589" t="n">
        <v>59855</v>
      </c>
      <c r="R589" t="n">
        <v>15750</v>
      </c>
      <c r="S589" s="27">
        <f>R589/Q589</f>
        <v/>
      </c>
      <c r="T589" t="inlineStr">
        <is>
          <t>柏市は2045年までの人口減少率が約0.8%と全国平均より緩やかで、概ね横ばいの安定推移。生産年齢人口の維持により、賃貸需要の急減リスクは相対的に低い。</t>
        </is>
      </c>
      <c r="U589" t="inlineStr">
        <is>
          <t>柏市は人口密度3,794人/km²の都市部で、駅周辺や生活利便施設沿いに安定した賃貸需要がある。適切な家賃設定で高稼働を期待できる。 借家の空室率は約26%と供給過多気味で、空室長期化リスクに要警戒。</t>
        </is>
      </c>
      <c r="V589" t="inlineStr">
        <is>
          <t>柏市（千葉県）：利根川・江戸川水系の氾濫、九十九里・内房の津波、臨海部の液状化、南房総の土砂災害に注意。</t>
        </is>
      </c>
    </row>
    <row r="590">
      <c r="A590" t="inlineStr">
        <is>
          <t>千葉県</t>
        </is>
      </c>
      <c r="B590" t="inlineStr">
        <is>
          <t>勝浦市</t>
        </is>
      </c>
      <c r="C590" t="n">
        <v>8080</v>
      </c>
      <c r="D590" t="n">
        <v>15238</v>
      </c>
      <c r="E590" s="6" t="n">
        <v>161</v>
      </c>
      <c r="F590" s="7" t="n">
        <v>26.1</v>
      </c>
      <c r="G590" t="n">
        <v>16927</v>
      </c>
      <c r="H590" t="n">
        <v>15238</v>
      </c>
      <c r="I590" t="n">
        <v>13868</v>
      </c>
      <c r="J590" t="n">
        <v>9924</v>
      </c>
      <c r="K590" s="27">
        <f>(H590/D590-1)</f>
        <v/>
      </c>
      <c r="L590" s="27">
        <f>(I590/D590-1)</f>
        <v/>
      </c>
      <c r="M590" s="27">
        <f>(J590/D590-1)</f>
        <v/>
      </c>
      <c r="N590" t="n">
        <v>39.3</v>
      </c>
      <c r="O590" s="28">
        <f>(N590+F590)/2</f>
        <v/>
      </c>
      <c r="P590">
        <f>IF(O590="計算不能","計算不能",IF(O590&gt;=80,5,IF(O590&gt;=60,4,IF(O590&gt;=40,3,IF(O590&gt;=28,2,1)))))</f>
        <v/>
      </c>
      <c r="Q590" t="n">
        <v>2485</v>
      </c>
      <c r="R590" t="n">
        <v>1460</v>
      </c>
      <c r="S590" s="27">
        <f>R590/Q590</f>
        <v/>
      </c>
      <c r="T590" t="inlineStr">
        <is>
          <t>勝浦市は2045年までに人口が約34.9%減と急激な過疎・超高齢化が進行。若年労働世代の流出と自然減が重なり、賃貸事業としての持続性は極めて限定的。</t>
        </is>
      </c>
      <c r="U590" t="inlineStr">
        <is>
          <t>勝浦市は人口密度161人/km²と過疎的水準で、民間賃貸の新規需要は薄い。実需に裏付けられた格安戸建ての指値取得のみが現実的。 借家の空室率は約59%と供給過多気味で、空室長期化リスクに要警戒。</t>
        </is>
      </c>
      <c r="V590" t="inlineStr">
        <is>
          <t>勝浦市（千葉県）：利根川・江戸川水系の氾濫、九十九里・内房の津波、臨海部の液状化、南房総の土砂災害に注意。</t>
        </is>
      </c>
    </row>
    <row r="591">
      <c r="A591" t="inlineStr">
        <is>
          <t>千葉県</t>
        </is>
      </c>
      <c r="B591" t="inlineStr">
        <is>
          <t>市原市</t>
        </is>
      </c>
      <c r="C591" t="n">
        <v>116090</v>
      </c>
      <c r="D591" t="n">
        <v>260022</v>
      </c>
      <c r="E591" s="6" t="n">
        <v>705.2</v>
      </c>
      <c r="F591" s="7" t="n">
        <v>49.1</v>
      </c>
      <c r="G591" t="n">
        <v>269524</v>
      </c>
      <c r="H591" t="n">
        <v>260022</v>
      </c>
      <c r="I591" t="n">
        <v>250863</v>
      </c>
      <c r="J591" t="n">
        <v>218144</v>
      </c>
      <c r="K591" s="27">
        <f>(H591/D591-1)</f>
        <v/>
      </c>
      <c r="L591" s="27">
        <f>(I591/D591-1)</f>
        <v/>
      </c>
      <c r="M591" s="27">
        <f>(J591/D591-1)</f>
        <v/>
      </c>
      <c r="N591" t="n">
        <v>57.8</v>
      </c>
      <c r="O591" s="28">
        <f>(N591+F591)/2</f>
        <v/>
      </c>
      <c r="P591">
        <f>IF(O591="計算不能","計算不能",IF(O591&gt;=80,5,IF(O591&gt;=60,4,IF(O591&gt;=40,3,IF(O591&gt;=28,2,1)))))</f>
        <v/>
      </c>
      <c r="Q591" t="n">
        <v>35712</v>
      </c>
      <c r="R591" t="n">
        <v>7620</v>
      </c>
      <c r="S591" s="27">
        <f>R591/Q591</f>
        <v/>
      </c>
      <c r="T591" t="inlineStr">
        <is>
          <t>市原市は2045年までに人口が約16.1%減と明確な減少トレンド。高齢化の進行と世帯数の縮小により、中長期では賃貸需要の構造的縮小に警戒が必要。</t>
        </is>
      </c>
      <c r="U591" t="inlineStr">
        <is>
          <t>市原市は人口密度705人/km²で、主要道路沿いや中心市街地に一定の賃貸需要が局在。立地選別が稼働を左右する。 借家の空室率は約21%とやや高めで、競合との差別化が必要。</t>
        </is>
      </c>
      <c r="V591" t="inlineStr">
        <is>
          <t>市原市（千葉県）：利根川・江戸川水系の氾濫、九十九里・内房の津波、臨海部の液状化、南房総の土砂災害に注意。</t>
        </is>
      </c>
    </row>
    <row r="592">
      <c r="A592" t="inlineStr">
        <is>
          <t>千葉県</t>
        </is>
      </c>
      <c r="B592" t="inlineStr">
        <is>
          <t>流山市</t>
        </is>
      </c>
      <c r="C592" t="n">
        <v>87570</v>
      </c>
      <c r="D592" t="n">
        <v>217368</v>
      </c>
      <c r="E592" s="6" t="n">
        <v>6090.9</v>
      </c>
      <c r="F592" s="7" t="n">
        <v>92.2</v>
      </c>
      <c r="G592" t="n">
        <v>199849</v>
      </c>
      <c r="H592" t="n">
        <v>217368</v>
      </c>
      <c r="I592" t="n">
        <v>225466</v>
      </c>
      <c r="J592" t="n">
        <v>239504</v>
      </c>
      <c r="K592" s="27">
        <f>(H592/D592-1)</f>
        <v/>
      </c>
      <c r="L592" s="27">
        <f>(I592/D592-1)</f>
        <v/>
      </c>
      <c r="M592" s="27">
        <f>(J592/D592-1)</f>
        <v/>
      </c>
      <c r="N592" t="n">
        <v>96.5</v>
      </c>
      <c r="O592" s="28">
        <f>(N592+F592)/2</f>
        <v/>
      </c>
      <c r="P592">
        <f>IF(O592="計算不能","計算不能",IF(O592&gt;=80,5,IF(O592&gt;=60,4,IF(O592&gt;=40,3,IF(O592&gt;=28,2,1)))))</f>
        <v/>
      </c>
      <c r="Q592" t="n">
        <v>26938</v>
      </c>
      <c r="R592" t="n">
        <v>5700</v>
      </c>
      <c r="S592" s="27">
        <f>R592/Q592</f>
        <v/>
      </c>
      <c r="T592" t="inlineStr">
        <is>
          <t>流山市は2025年から2045年にかけて人口が約10.2%増と全国的にも希少な人口増トレンド。都市機能の集積と職住近接需要を背景に、単身・若年ファミリー層の流入が継続し、賃貸母数の拡大が見込める。</t>
        </is>
      </c>
      <c r="U592" t="inlineStr">
        <is>
          <t>流山市は人口密度6,091人/km²の高密度市街地で、駅近ワンルームからファミリー向けまで極めて強い賃貸実需が存在。資産流動性・出口戦略の容易さも高い。 借家の空室率は約21%とやや高めで、競合との差別化が必要。</t>
        </is>
      </c>
      <c r="V592" t="inlineStr">
        <is>
          <t>流山市（千葉県）：利根川・江戸川水系の氾濫、九十九里・内房の津波、臨海部の液状化、南房総の土砂災害に注意。</t>
        </is>
      </c>
    </row>
    <row r="593">
      <c r="A593" t="inlineStr">
        <is>
          <t>千葉県</t>
        </is>
      </c>
      <c r="B593" t="inlineStr">
        <is>
          <t>八千代市</t>
        </is>
      </c>
      <c r="C593" t="n">
        <v>89600</v>
      </c>
      <c r="D593" t="n">
        <v>201996</v>
      </c>
      <c r="E593" s="6" t="n">
        <v>3990.1</v>
      </c>
      <c r="F593" s="7" t="n">
        <v>80</v>
      </c>
      <c r="G593" t="n">
        <v>199498</v>
      </c>
      <c r="H593" t="n">
        <v>201996</v>
      </c>
      <c r="I593" t="n">
        <v>201705</v>
      </c>
      <c r="J593" t="n">
        <v>197628</v>
      </c>
      <c r="K593" s="27">
        <f>(H593/D593-1)</f>
        <v/>
      </c>
      <c r="L593" s="27">
        <f>(I593/D593-1)</f>
        <v/>
      </c>
      <c r="M593" s="27">
        <f>(J593/D593-1)</f>
        <v/>
      </c>
      <c r="N593" t="n">
        <v>76.3</v>
      </c>
      <c r="O593" s="28">
        <f>(N593+F593)/2</f>
        <v/>
      </c>
      <c r="P593">
        <f>IF(O593="計算不能","計算不能",IF(O593&gt;=80,5,IF(O593&gt;=60,4,IF(O593&gt;=40,3,IF(O593&gt;=28,2,1)))))</f>
        <v/>
      </c>
      <c r="Q593" t="n">
        <v>27563</v>
      </c>
      <c r="R593" t="n">
        <v>4540</v>
      </c>
      <c r="S593" s="27">
        <f>R593/Q593</f>
        <v/>
      </c>
      <c r="T593" t="inlineStr">
        <is>
          <t>八千代市は2045年までの人口減少率が約2.2%と全国平均より緩やかで、概ね横ばいの安定推移。生産年齢人口の維持により、賃貸需要の急減リスクは相対的に低い。</t>
        </is>
      </c>
      <c r="U593" t="inlineStr">
        <is>
          <t>八千代市は人口密度3,990人/km²の都市部で、駅周辺や生活利便施設沿いに安定した賃貸需要がある。適切な家賃設定で高稼働を期待できる。 借家の空室率は約16%と需給は比較的引き締まっている。</t>
        </is>
      </c>
      <c r="V593" t="inlineStr">
        <is>
          <t>八千代市（千葉県）：利根川・江戸川水系の氾濫、九十九里・内房の津波、臨海部の液状化、南房総の土砂災害に注意。</t>
        </is>
      </c>
    </row>
    <row r="594">
      <c r="A594" t="inlineStr">
        <is>
          <t>千葉県</t>
        </is>
      </c>
      <c r="B594" t="inlineStr">
        <is>
          <t>我孫子市</t>
        </is>
      </c>
      <c r="C594" t="n">
        <v>57350</v>
      </c>
      <c r="D594" t="n">
        <v>128176</v>
      </c>
      <c r="E594" s="6" t="n">
        <v>3039.6</v>
      </c>
      <c r="F594" s="7" t="n">
        <v>80</v>
      </c>
      <c r="G594" t="n">
        <v>130510</v>
      </c>
      <c r="H594" t="n">
        <v>128176</v>
      </c>
      <c r="I594" t="n">
        <v>124907</v>
      </c>
      <c r="J594" t="n">
        <v>114724</v>
      </c>
      <c r="K594" s="27">
        <f>(H594/D594-1)</f>
        <v/>
      </c>
      <c r="L594" s="27">
        <f>(I594/D594-1)</f>
        <v/>
      </c>
      <c r="M594" s="27">
        <f>(J594/D594-1)</f>
        <v/>
      </c>
      <c r="N594" t="n">
        <v>64.5</v>
      </c>
      <c r="O594" s="28">
        <f>(N594+F594)/2</f>
        <v/>
      </c>
      <c r="P594">
        <f>IF(O594="計算不能","計算不能",IF(O594&gt;=80,5,IF(O594&gt;=60,4,IF(O594&gt;=40,3,IF(O594&gt;=28,2,1)))))</f>
        <v/>
      </c>
      <c r="Q594" t="n">
        <v>17642</v>
      </c>
      <c r="R594" t="n">
        <v>2220</v>
      </c>
      <c r="S594" s="27">
        <f>R594/Q594</f>
        <v/>
      </c>
      <c r="T594" t="inlineStr">
        <is>
          <t>我孫子市は2045年までに人口が約10.5%減と緩やかな減少局面。若年層の都市部流出と高齢化が進むが、当面の賃貸稼働は一定程度維持される見通し。</t>
        </is>
      </c>
      <c r="U594" t="inlineStr">
        <is>
          <t>我孫子市は人口密度3,040人/km²の都市部で、駅周辺や生活利便施設沿いに安定した賃貸需要がある。適切な家賃設定で高稼働を期待できる。 借家の空室率は約13%と需給は比較的引き締まっている。</t>
        </is>
      </c>
      <c r="V594" t="inlineStr">
        <is>
          <t>我孫子市（千葉県）：利根川・江戸川水系の氾濫、九十九里・内房の津波、臨海部の液状化、南房総の土砂災害に注意。</t>
        </is>
      </c>
    </row>
    <row r="595">
      <c r="A595" t="inlineStr">
        <is>
          <t>千葉県</t>
        </is>
      </c>
      <c r="B595" t="inlineStr">
        <is>
          <t>鴨川市</t>
        </is>
      </c>
      <c r="C595" t="n">
        <v>14360</v>
      </c>
      <c r="D595" t="n">
        <v>29748</v>
      </c>
      <c r="E595" s="6" t="n">
        <v>151.8</v>
      </c>
      <c r="F595" s="7" t="n">
        <v>25.2</v>
      </c>
      <c r="G595" t="n">
        <v>32116</v>
      </c>
      <c r="H595" t="n">
        <v>29748</v>
      </c>
      <c r="I595" t="n">
        <v>28186</v>
      </c>
      <c r="J595" t="n">
        <v>23663</v>
      </c>
      <c r="K595" s="27">
        <f>(H595/D595-1)</f>
        <v/>
      </c>
      <c r="L595" s="27">
        <f>(I595/D595-1)</f>
        <v/>
      </c>
      <c r="M595" s="27">
        <f>(J595/D595-1)</f>
        <v/>
      </c>
      <c r="N595" t="n">
        <v>47.4</v>
      </c>
      <c r="O595" s="28">
        <f>(N595+F595)/2</f>
        <v/>
      </c>
      <c r="P595">
        <f>IF(O595="計算不能","計算不能",IF(O595&gt;=80,5,IF(O595&gt;=60,4,IF(O595&gt;=40,3,IF(O595&gt;=28,2,1)))))</f>
        <v/>
      </c>
      <c r="Q595" t="n">
        <v>4417</v>
      </c>
      <c r="R595" t="n">
        <v>1630</v>
      </c>
      <c r="S595" s="27">
        <f>R595/Q595</f>
        <v/>
      </c>
      <c r="T595" t="inlineStr">
        <is>
          <t>鴨川市は2045年までに人口が約20.5%減と明確な減少トレンド。高齢化の進行と世帯数の縮小により、中長期では賃貸需要の構造的縮小に警戒が必要。</t>
        </is>
      </c>
      <c r="U595" t="inlineStr">
        <is>
          <t>鴨川市は人口密度152人/km²と過疎的水準で、民間賃貸の新規需要は薄い。実需に裏付けられた格安戸建ての指値取得のみが現実的。 借家の空室率は約37%と供給過多気味で、空室長期化リスクに要警戒。</t>
        </is>
      </c>
      <c r="V595" t="inlineStr">
        <is>
          <t>鴨川市（千葉県）：利根川・江戸川水系の氾濫、九十九里・内房の津波、臨海部の液状化、南房総の土砂災害に注意。</t>
        </is>
      </c>
    </row>
    <row r="596">
      <c r="A596" t="inlineStr">
        <is>
          <t>千葉県</t>
        </is>
      </c>
      <c r="B596" t="inlineStr">
        <is>
          <t>鎌ケ谷市</t>
        </is>
      </c>
      <c r="C596" t="n">
        <v>48270</v>
      </c>
      <c r="D596" t="n">
        <v>108882</v>
      </c>
      <c r="E596" s="6" t="n">
        <v>5176.4</v>
      </c>
      <c r="F596" s="7" t="n">
        <v>90.40000000000001</v>
      </c>
      <c r="G596" t="n">
        <v>109932</v>
      </c>
      <c r="H596" t="n">
        <v>108882</v>
      </c>
      <c r="I596" t="n">
        <v>108254</v>
      </c>
      <c r="J596" t="n">
        <v>104399</v>
      </c>
      <c r="K596" s="27">
        <f>(H596/D596-1)</f>
        <v/>
      </c>
      <c r="L596" s="27">
        <f>(I596/D596-1)</f>
        <v/>
      </c>
      <c r="M596" s="27">
        <f>(J596/D596-1)</f>
        <v/>
      </c>
      <c r="N596" t="n">
        <v>70.7</v>
      </c>
      <c r="O596" s="28">
        <f>(N596+F596)/2</f>
        <v/>
      </c>
      <c r="P596">
        <f>IF(O596="計算不能","計算不能",IF(O596&gt;=80,5,IF(O596&gt;=60,4,IF(O596&gt;=40,3,IF(O596&gt;=28,2,1)))))</f>
        <v/>
      </c>
      <c r="Q596" t="n">
        <v>14849</v>
      </c>
      <c r="R596" t="n">
        <v>2010</v>
      </c>
      <c r="S596" s="27">
        <f>R596/Q596</f>
        <v/>
      </c>
      <c r="T596" t="inlineStr">
        <is>
          <t>鎌ケ谷市は2045年までの人口減少率が約4.1%と全国平均より緩やかで、概ね横ばいの安定推移。生産年齢人口の維持により、賃貸需要の急減リスクは相対的に低い。</t>
        </is>
      </c>
      <c r="U596" t="inlineStr">
        <is>
          <t>鎌ケ谷市は人口密度5,176人/km²の高密度市街地で、駅近ワンルームからファミリー向けまで極めて強い賃貸実需が存在。資産流動性・出口戦略の容易さも高い。 借家の空室率は約14%と需給は比較的引き締まっている。</t>
        </is>
      </c>
      <c r="V596" t="inlineStr">
        <is>
          <t>鎌ケ谷市（千葉県）：利根川・江戸川水系の氾濫、九十九里・内房の津波、臨海部の液状化、南房総の土砂災害に注意。</t>
        </is>
      </c>
    </row>
    <row r="597">
      <c r="A597" t="inlineStr">
        <is>
          <t>千葉県</t>
        </is>
      </c>
      <c r="B597" t="inlineStr">
        <is>
          <t>君津市</t>
        </is>
      </c>
      <c r="C597" t="n">
        <v>33780</v>
      </c>
      <c r="D597" t="n">
        <v>77472</v>
      </c>
      <c r="E597" s="6" t="n">
        <v>242.8</v>
      </c>
      <c r="F597" s="7" t="n">
        <v>32.1</v>
      </c>
      <c r="G597" t="n">
        <v>82206</v>
      </c>
      <c r="H597" t="n">
        <v>77472</v>
      </c>
      <c r="I597" t="n">
        <v>73295</v>
      </c>
      <c r="J597" t="n">
        <v>59401</v>
      </c>
      <c r="K597" s="27">
        <f>(H597/D597-1)</f>
        <v/>
      </c>
      <c r="L597" s="27">
        <f>(I597/D597-1)</f>
        <v/>
      </c>
      <c r="M597" s="27">
        <f>(J597/D597-1)</f>
        <v/>
      </c>
      <c r="N597" t="n">
        <v>48.9</v>
      </c>
      <c r="O597" s="28">
        <f>(N597+F597)/2</f>
        <v/>
      </c>
      <c r="P597">
        <f>IF(O597="計算不能","計算不能",IF(O597&gt;=80,5,IF(O597&gt;=60,4,IF(O597&gt;=40,3,IF(O597&gt;=28,2,1)))))</f>
        <v/>
      </c>
      <c r="Q597" t="n">
        <v>10391</v>
      </c>
      <c r="R597" t="n">
        <v>4550</v>
      </c>
      <c r="S597" s="27">
        <f>R597/Q597</f>
        <v/>
      </c>
      <c r="T597" t="inlineStr">
        <is>
          <t>君津市は2045年までに人口が約23.3%減と明確な減少トレンド。高齢化の進行と世帯数の縮小により、中長期では賃貸需要の構造的縮小に警戒が必要。</t>
        </is>
      </c>
      <c r="U597" t="inlineStr">
        <is>
          <t>君津市は人口密度243人/km²と低密度で、賃貸需要は限定的。持ち家比率が高く、駐車場完備の戸建て賃貸が有利。 借家の空室率は約44%と供給過多気味で、空室長期化リスクに要警戒。</t>
        </is>
      </c>
      <c r="V597" t="inlineStr">
        <is>
          <t>君津市（千葉県）：利根川・江戸川水系の氾濫、九十九里・内房の津波、臨海部の液状化、南房総の土砂災害に注意。</t>
        </is>
      </c>
    </row>
    <row r="598">
      <c r="A598" t="inlineStr">
        <is>
          <t>千葉県</t>
        </is>
      </c>
      <c r="B598" t="inlineStr">
        <is>
          <t>富津市</t>
        </is>
      </c>
      <c r="C598" t="n">
        <v>16550</v>
      </c>
      <c r="D598" t="n">
        <v>38765</v>
      </c>
      <c r="E598" s="6" t="n">
        <v>188.6</v>
      </c>
      <c r="F598" s="7" t="n">
        <v>28.9</v>
      </c>
      <c r="G598" t="n">
        <v>42465</v>
      </c>
      <c r="H598" t="n">
        <v>38765</v>
      </c>
      <c r="I598" t="n">
        <v>35838</v>
      </c>
      <c r="J598" t="n">
        <v>26931</v>
      </c>
      <c r="K598" s="27">
        <f>(H598/D598-1)</f>
        <v/>
      </c>
      <c r="L598" s="27">
        <f>(I598/D598-1)</f>
        <v/>
      </c>
      <c r="M598" s="27">
        <f>(J598/D598-1)</f>
        <v/>
      </c>
      <c r="N598" t="n">
        <v>41.9</v>
      </c>
      <c r="O598" s="28">
        <f>(N598+F598)/2</f>
        <v/>
      </c>
      <c r="P598">
        <f>IF(O598="計算不能","計算不能",IF(O598&gt;=80,5,IF(O598&gt;=60,4,IF(O598&gt;=40,3,IF(O598&gt;=28,2,1)))))</f>
        <v/>
      </c>
      <c r="Q598" t="n">
        <v>5091</v>
      </c>
      <c r="R598" t="n">
        <v>960</v>
      </c>
      <c r="S598" s="27">
        <f>R598/Q598</f>
        <v/>
      </c>
      <c r="T598" t="inlineStr">
        <is>
          <t>富津市は2045年までに人口が約30.5%減と急激な過疎・超高齢化が進行。若年労働世代の流出と自然減が重なり、賃貸事業としての持続性は極めて限定的。</t>
        </is>
      </c>
      <c r="U598" t="inlineStr">
        <is>
          <t>富津市は人口密度189人/km²と過疎的水準で、民間賃貸の新規需要は薄い。実需に裏付けられた格安戸建ての指値取得のみが現実的。 借家の空室率は約19%とやや高めで、競合との差別化が必要。</t>
        </is>
      </c>
      <c r="V598" t="inlineStr">
        <is>
          <t>富津市（千葉県）：利根川・江戸川水系の氾濫、九十九里・内房の津波、臨海部の液状化、南房総の土砂災害に注意。</t>
        </is>
      </c>
    </row>
    <row r="599">
      <c r="A599" t="inlineStr">
        <is>
          <t>千葉県</t>
        </is>
      </c>
      <c r="B599" t="inlineStr">
        <is>
          <t>浦安市</t>
        </is>
      </c>
      <c r="C599" t="n">
        <v>81030</v>
      </c>
      <c r="D599" t="n">
        <v>172942</v>
      </c>
      <c r="E599" s="6" t="n">
        <v>10015.3</v>
      </c>
      <c r="F599" s="7" t="n">
        <v>100</v>
      </c>
      <c r="G599" t="n">
        <v>171362</v>
      </c>
      <c r="H599" t="n">
        <v>172942</v>
      </c>
      <c r="I599" t="n">
        <v>172024</v>
      </c>
      <c r="J599" t="n">
        <v>166478</v>
      </c>
      <c r="K599" s="27">
        <f>(H599/D599-1)</f>
        <v/>
      </c>
      <c r="L599" s="27">
        <f>(I599/D599-1)</f>
        <v/>
      </c>
      <c r="M599" s="27">
        <f>(J599/D599-1)</f>
        <v/>
      </c>
      <c r="N599" t="n">
        <v>74.59999999999999</v>
      </c>
      <c r="O599" s="28">
        <f>(N599+F599)/2</f>
        <v/>
      </c>
      <c r="P599">
        <f>IF(O599="計算不能","計算不能",IF(O599&gt;=80,5,IF(O599&gt;=60,4,IF(O599&gt;=40,3,IF(O599&gt;=28,2,1)))))</f>
        <v/>
      </c>
      <c r="Q599" t="n">
        <v>24927</v>
      </c>
      <c r="R599" t="n">
        <v>3990</v>
      </c>
      <c r="S599" s="27">
        <f>R599/Q599</f>
        <v/>
      </c>
      <c r="T599" t="inlineStr">
        <is>
          <t>浦安市は2045年までの人口減少率が約3.7%と全国平均より緩やかで、概ね横ばいの安定推移。生産年齢人口の維持により、賃貸需要の急減リスクは相対的に低い。</t>
        </is>
      </c>
      <c r="U599" t="inlineStr">
        <is>
          <t>浦安市は人口密度10,015人/km²の高密度市街地で、駅近ワンルームからファミリー向けまで極めて強い賃貸実需が存在。資産流動性・出口戦略の容易さも高い。 借家の空室率は約16%と需給は比較的引き締まっている。</t>
        </is>
      </c>
      <c r="V599" t="inlineStr">
        <is>
          <t>浦安市（千葉県）：利根川・江戸川水系の氾濫、九十九里・内房の津波、臨海部の液状化、南房総の土砂災害に注意。</t>
        </is>
      </c>
    </row>
    <row r="600">
      <c r="A600" t="inlineStr">
        <is>
          <t>千葉県</t>
        </is>
      </c>
      <c r="B600" t="inlineStr">
        <is>
          <t>四街道市</t>
        </is>
      </c>
      <c r="C600" t="n">
        <v>39560</v>
      </c>
      <c r="D600" t="n">
        <v>95373</v>
      </c>
      <c r="E600" s="6" t="n">
        <v>2730.4</v>
      </c>
      <c r="F600" s="7" t="n">
        <v>77.3</v>
      </c>
      <c r="G600" t="n">
        <v>93576</v>
      </c>
      <c r="H600" t="n">
        <v>95373</v>
      </c>
      <c r="I600" t="n">
        <v>94844</v>
      </c>
      <c r="J600" t="n">
        <v>91053</v>
      </c>
      <c r="K600" s="27">
        <f>(H600/D600-1)</f>
        <v/>
      </c>
      <c r="L600" s="27">
        <f>(I600/D600-1)</f>
        <v/>
      </c>
      <c r="M600" s="27">
        <f>(J600/D600-1)</f>
        <v/>
      </c>
      <c r="N600" t="n">
        <v>76.09999999999999</v>
      </c>
      <c r="O600" s="28">
        <f>(N600+F600)/2</f>
        <v/>
      </c>
      <c r="P600">
        <f>IF(O600="計算不能","計算不能",IF(O600&gt;=80,5,IF(O600&gt;=60,4,IF(O600&gt;=40,3,IF(O600&gt;=28,2,1)))))</f>
        <v/>
      </c>
      <c r="Q600" t="n">
        <v>12169</v>
      </c>
      <c r="R600" t="n">
        <v>2150</v>
      </c>
      <c r="S600" s="27">
        <f>R600/Q600</f>
        <v/>
      </c>
      <c r="T600" t="inlineStr">
        <is>
          <t>四街道市は2045年までの人口減少率が約4.5%と全国平均より緩やかで、概ね横ばいの安定推移。生産年齢人口の維持により、賃貸需要の急減リスクは相対的に低い。</t>
        </is>
      </c>
      <c r="U600" t="inlineStr">
        <is>
          <t>四街道市は人口密度2,730人/km²の都市部で、駅周辺や生活利便施設沿いに安定した賃貸需要がある。適切な家賃設定で高稼働を期待できる。 借家の空室率は約18%と需給は比較的引き締まっている。</t>
        </is>
      </c>
      <c r="V600" t="inlineStr">
        <is>
          <t>四街道市（千葉県）：利根川・江戸川水系の氾濫、九十九里・内房の津波、臨海部の液状化、南房総の土砂災害に注意。</t>
        </is>
      </c>
    </row>
    <row r="601">
      <c r="A601" t="inlineStr">
        <is>
          <t>千葉県</t>
        </is>
      </c>
      <c r="B601" t="inlineStr">
        <is>
          <t>袖ケ浦市</t>
        </is>
      </c>
      <c r="C601" t="n">
        <v>26470</v>
      </c>
      <c r="D601" t="n">
        <v>65953</v>
      </c>
      <c r="E601" s="6" t="n">
        <v>686.8</v>
      </c>
      <c r="F601" s="7" t="n">
        <v>48.7</v>
      </c>
      <c r="G601" t="n">
        <v>63883</v>
      </c>
      <c r="H601" t="n">
        <v>65953</v>
      </c>
      <c r="I601" t="n">
        <v>65996</v>
      </c>
      <c r="J601" t="n">
        <v>63532</v>
      </c>
      <c r="K601" s="27">
        <f>(H601/D601-1)</f>
        <v/>
      </c>
      <c r="L601" s="27">
        <f>(I601/D601-1)</f>
        <v/>
      </c>
      <c r="M601" s="27">
        <f>(J601/D601-1)</f>
        <v/>
      </c>
      <c r="N601" t="n">
        <v>79.59999999999999</v>
      </c>
      <c r="O601" s="28">
        <f>(N601+F601)/2</f>
        <v/>
      </c>
      <c r="P601">
        <f>IF(O601="計算不能","計算不能",IF(O601&gt;=80,5,IF(O601&gt;=60,4,IF(O601&gt;=40,3,IF(O601&gt;=28,2,1)))))</f>
        <v/>
      </c>
      <c r="Q601" t="n">
        <v>8142</v>
      </c>
      <c r="R601" t="n">
        <v>1490</v>
      </c>
      <c r="S601" s="27">
        <f>R601/Q601</f>
        <v/>
      </c>
      <c r="T601" t="inlineStr">
        <is>
          <t>袖ケ浦市は2045年までの人口減少率が約3.7%と全国平均より緩やかで、概ね横ばいの安定推移。生産年齢人口の維持により、賃貸需要の急減リスクは相対的に低い。</t>
        </is>
      </c>
      <c r="U601" t="inlineStr">
        <is>
          <t>袖ケ浦市は人口密度687人/km²で、主要道路沿いや中心市街地に一定の賃貸需要が局在。立地選別が稼働を左右する。 借家の空室率は約18%とやや高めで、競合との差別化が必要。</t>
        </is>
      </c>
      <c r="V601" t="inlineStr">
        <is>
          <t>袖ケ浦市（千葉県）：利根川・江戸川水系の氾濫、九十九里・内房の津波、臨海部の液状化、南房総の土砂災害に注意。</t>
        </is>
      </c>
    </row>
    <row r="602">
      <c r="A602" t="inlineStr">
        <is>
          <t>千葉県</t>
        </is>
      </c>
      <c r="B602" t="inlineStr">
        <is>
          <t>八街市</t>
        </is>
      </c>
      <c r="C602" t="n">
        <v>28330</v>
      </c>
      <c r="D602" t="n">
        <v>64061</v>
      </c>
      <c r="E602" s="6" t="n">
        <v>861.7</v>
      </c>
      <c r="F602" s="7" t="n">
        <v>52.2</v>
      </c>
      <c r="G602" t="n">
        <v>67455</v>
      </c>
      <c r="H602" t="n">
        <v>64061</v>
      </c>
      <c r="I602" t="n">
        <v>60200</v>
      </c>
      <c r="J602" t="n">
        <v>46766</v>
      </c>
      <c r="K602" s="27">
        <f>(H602/D602-1)</f>
        <v/>
      </c>
      <c r="L602" s="27">
        <f>(I602/D602-1)</f>
        <v/>
      </c>
      <c r="M602" s="27">
        <f>(J602/D602-1)</f>
        <v/>
      </c>
      <c r="N602" t="n">
        <v>48.1</v>
      </c>
      <c r="O602" s="28">
        <f>(N602+F602)/2</f>
        <v/>
      </c>
      <c r="P602">
        <f>IF(O602="計算不能","計算不能",IF(O602&gt;=80,5,IF(O602&gt;=60,4,IF(O602&gt;=40,3,IF(O602&gt;=28,2,1)))))</f>
        <v/>
      </c>
      <c r="Q602" t="n">
        <v>8715</v>
      </c>
      <c r="R602" t="n">
        <v>1210</v>
      </c>
      <c r="S602" s="27">
        <f>R602/Q602</f>
        <v/>
      </c>
      <c r="T602" t="inlineStr">
        <is>
          <t>八街市は2045年までに人口が約27.0%減と明確な減少トレンド。高齢化の進行と世帯数の縮小により、中長期では賃貸需要の構造的縮小に警戒が必要。</t>
        </is>
      </c>
      <c r="U602" t="inlineStr">
        <is>
          <t>八街市は人口密度862人/km²で、主要道路沿いや中心市街地に一定の賃貸需要が局在。立地選別が稼働を左右する。 借家の空室率は約14%と需給は比較的引き締まっている。</t>
        </is>
      </c>
      <c r="V602" t="inlineStr">
        <is>
          <t>八街市（千葉県）：利根川・江戸川水系の氾濫、九十九里・内房の津波、臨海部の液状化、南房総の土砂災害に注意。</t>
        </is>
      </c>
    </row>
    <row r="603">
      <c r="A603" t="inlineStr">
        <is>
          <t>千葉県</t>
        </is>
      </c>
      <c r="B603" t="inlineStr">
        <is>
          <t>印西市</t>
        </is>
      </c>
      <c r="C603" t="n">
        <v>41360</v>
      </c>
      <c r="D603" t="n">
        <v>109538</v>
      </c>
      <c r="E603" s="6" t="n">
        <v>891.8</v>
      </c>
      <c r="F603" s="7" t="n">
        <v>52.8</v>
      </c>
      <c r="G603" t="n">
        <v>102609</v>
      </c>
      <c r="H603" t="n">
        <v>109538</v>
      </c>
      <c r="I603" t="n">
        <v>113660</v>
      </c>
      <c r="J603" t="n">
        <v>119404</v>
      </c>
      <c r="K603" s="27">
        <f>(H603/D603-1)</f>
        <v/>
      </c>
      <c r="L603" s="27">
        <f>(I603/D603-1)</f>
        <v/>
      </c>
      <c r="M603" s="27">
        <f>(J603/D603-1)</f>
        <v/>
      </c>
      <c r="N603" t="n">
        <v>95.3</v>
      </c>
      <c r="O603" s="28">
        <f>(N603+F603)/2</f>
        <v/>
      </c>
      <c r="P603">
        <f>IF(O603="計算不能","計算不能",IF(O603&gt;=80,5,IF(O603&gt;=60,4,IF(O603&gt;=40,3,IF(O603&gt;=28,2,1)))))</f>
        <v/>
      </c>
      <c r="Q603" t="n">
        <v>12723</v>
      </c>
      <c r="R603" t="n">
        <v>2380</v>
      </c>
      <c r="S603" s="27">
        <f>R603/Q603</f>
        <v/>
      </c>
      <c r="T603" t="inlineStr">
        <is>
          <t>印西市は2025年から2045年にかけて人口が約9.0%増と全国的にも希少な人口増トレンド。都市機能の集積と職住近接需要を背景に、単身・若年ファミリー層の流入が継続し、賃貸母数の拡大が見込める。</t>
        </is>
      </c>
      <c r="U603" t="inlineStr">
        <is>
          <t>印西市は人口密度892人/km²で、主要道路沿いや中心市街地に一定の賃貸需要が局在。立地選別が稼働を左右する。 借家の空室率は約19%とやや高めで、競合との差別化が必要。</t>
        </is>
      </c>
      <c r="V603" t="inlineStr">
        <is>
          <t>印西市（千葉県）：利根川・江戸川水系の氾濫、九十九里・内房の津波、臨海部の液状化、南房総の土砂災害に注意。</t>
        </is>
      </c>
    </row>
    <row r="604">
      <c r="A604" t="inlineStr">
        <is>
          <t>千葉県</t>
        </is>
      </c>
      <c r="B604" t="inlineStr">
        <is>
          <t>白井市</t>
        </is>
      </c>
      <c r="C604" t="n">
        <v>24180</v>
      </c>
      <c r="D604" t="n">
        <v>62102</v>
      </c>
      <c r="E604" s="6" t="n">
        <v>1717.9</v>
      </c>
      <c r="F604" s="7" t="n">
        <v>67.2</v>
      </c>
      <c r="G604" t="n">
        <v>62441</v>
      </c>
      <c r="H604" t="n">
        <v>62102</v>
      </c>
      <c r="I604" t="n">
        <v>61002</v>
      </c>
      <c r="J604" t="n">
        <v>57047</v>
      </c>
      <c r="K604" s="27">
        <f>(H604/D604-1)</f>
        <v/>
      </c>
      <c r="L604" s="27">
        <f>(I604/D604-1)</f>
        <v/>
      </c>
      <c r="M604" s="27">
        <f>(J604/D604-1)</f>
        <v/>
      </c>
      <c r="N604" t="n">
        <v>68.59999999999999</v>
      </c>
      <c r="O604" s="28">
        <f>(N604+F604)/2</f>
        <v/>
      </c>
      <c r="P604">
        <f>IF(O604="計算不能","計算不能",IF(O604&gt;=80,5,IF(O604&gt;=60,4,IF(O604&gt;=40,3,IF(O604&gt;=28,2,1)))))</f>
        <v/>
      </c>
      <c r="Q604" t="n">
        <v>7438</v>
      </c>
      <c r="R604" t="n">
        <v>850</v>
      </c>
      <c r="S604" s="27">
        <f>R604/Q604</f>
        <v/>
      </c>
      <c r="T604" t="inlineStr">
        <is>
          <t>白井市は2045年までに人口が約8.1%減と緩やかな減少局面。若年層の都市部流出と高齢化が進むが、当面の賃貸稼働は一定程度維持される見通し。</t>
        </is>
      </c>
      <c r="U604" t="inlineStr">
        <is>
          <t>白井市は人口密度1,718人/km²の都市部で、駅周辺や生活利便施設沿いに安定した賃貸需要がある。適切な家賃設定で高稼働を期待できる。 借家の空室率は約11%と需給は比較的引き締まっている。</t>
        </is>
      </c>
      <c r="V604" t="inlineStr">
        <is>
          <t>白井市（千葉県）：利根川・江戸川水系の氾濫、九十九里・内房の津波、臨海部の液状化、南房総の土砂災害に注意。</t>
        </is>
      </c>
    </row>
    <row r="605">
      <c r="A605" t="inlineStr">
        <is>
          <t>千葉県</t>
        </is>
      </c>
      <c r="B605" t="inlineStr">
        <is>
          <t>富里市</t>
        </is>
      </c>
      <c r="C605" t="n">
        <v>21050</v>
      </c>
      <c r="D605" t="n">
        <v>48872</v>
      </c>
      <c r="E605" s="6" t="n">
        <v>923</v>
      </c>
      <c r="F605" s="7" t="n">
        <v>53.5</v>
      </c>
      <c r="G605" t="n">
        <v>49735</v>
      </c>
      <c r="H605" t="n">
        <v>48872</v>
      </c>
      <c r="I605" t="n">
        <v>47610</v>
      </c>
      <c r="J605" t="n">
        <v>42345</v>
      </c>
      <c r="K605" s="27">
        <f>(H605/D605-1)</f>
        <v/>
      </c>
      <c r="L605" s="27">
        <f>(I605/D605-1)</f>
        <v/>
      </c>
      <c r="M605" s="27">
        <f>(J605/D605-1)</f>
        <v/>
      </c>
      <c r="N605" t="n">
        <v>63.2</v>
      </c>
      <c r="O605" s="28">
        <f>(N605+F605)/2</f>
        <v/>
      </c>
      <c r="P605">
        <f>IF(O605="計算不能","計算不能",IF(O605&gt;=80,5,IF(O605&gt;=60,4,IF(O605&gt;=40,3,IF(O605&gt;=28,2,1)))))</f>
        <v/>
      </c>
      <c r="Q605" t="n">
        <v>6475</v>
      </c>
      <c r="R605" t="n">
        <v>1600</v>
      </c>
      <c r="S605" s="27">
        <f>R605/Q605</f>
        <v/>
      </c>
      <c r="T605" t="inlineStr">
        <is>
          <t>富里市は2045年までに人口が約13.4%減と緩やかな減少局面。若年層の都市部流出と高齢化が進むが、当面の賃貸稼働は一定程度維持される見通し。</t>
        </is>
      </c>
      <c r="U605" t="inlineStr">
        <is>
          <t>富里市は人口密度923人/km²で、主要道路沿いや中心市街地に一定の賃貸需要が局在。立地選別が稼働を左右する。 借家の空室率は約25%とやや高めで、競合との差別化が必要。</t>
        </is>
      </c>
      <c r="V605" t="inlineStr">
        <is>
          <t>富里市（千葉県）：利根川・江戸川水系の氾濫、九十九里・内房の津波、臨海部の液状化、南房総の土砂災害に注意。</t>
        </is>
      </c>
    </row>
    <row r="606">
      <c r="A606" t="inlineStr">
        <is>
          <t>千葉県</t>
        </is>
      </c>
      <c r="B606" t="inlineStr">
        <is>
          <t>南房総市</t>
        </is>
      </c>
      <c r="C606" t="n">
        <v>14380</v>
      </c>
      <c r="D606" t="n">
        <v>32286</v>
      </c>
      <c r="E606" s="6" t="n">
        <v>138.9</v>
      </c>
      <c r="F606" s="7" t="n">
        <v>23.9</v>
      </c>
      <c r="G606" t="n">
        <v>35831</v>
      </c>
      <c r="H606" t="n">
        <v>32286</v>
      </c>
      <c r="I606" t="n">
        <v>29346</v>
      </c>
      <c r="J606" t="n">
        <v>21445</v>
      </c>
      <c r="K606" s="27">
        <f>(H606/D606-1)</f>
        <v/>
      </c>
      <c r="L606" s="27">
        <f>(I606/D606-1)</f>
        <v/>
      </c>
      <c r="M606" s="27">
        <f>(J606/D606-1)</f>
        <v/>
      </c>
      <c r="N606" t="n">
        <v>39.7</v>
      </c>
      <c r="O606" s="28">
        <f>(N606+F606)/2</f>
        <v/>
      </c>
      <c r="P606">
        <f>IF(O606="計算不能","計算不能",IF(O606&gt;=80,5,IF(O606&gt;=60,4,IF(O606&gt;=40,3,IF(O606&gt;=28,2,1)))))</f>
        <v/>
      </c>
      <c r="Q606" t="n">
        <v>4423</v>
      </c>
      <c r="R606" t="n">
        <v>1110</v>
      </c>
      <c r="S606" s="27">
        <f>R606/Q606</f>
        <v/>
      </c>
      <c r="T606" t="inlineStr">
        <is>
          <t>南房総市は2045年までに人口が約33.6%減と急激な過疎・超高齢化が進行。若年労働世代の流出と自然減が重なり、賃貸事業としての持続性は極めて限定的。</t>
        </is>
      </c>
      <c r="U606" t="inlineStr">
        <is>
          <t>南房総市は人口密度139人/km²と過疎的水準で、民間賃貸の新規需要は薄い。実需に裏付けられた格安戸建ての指値取得のみが現実的。 借家の空室率は約25%と供給過多気味で、空室長期化リスクに要警戒。</t>
        </is>
      </c>
      <c r="V606" t="inlineStr">
        <is>
          <t>南房総市（千葉県）：利根川・江戸川水系の氾濫、九十九里・内房の津波、臨海部の液状化、南房総の土砂災害に注意。</t>
        </is>
      </c>
    </row>
    <row r="607">
      <c r="A607" t="inlineStr">
        <is>
          <t>千葉県</t>
        </is>
      </c>
      <c r="B607" t="inlineStr">
        <is>
          <t>匝瑳市</t>
        </is>
      </c>
      <c r="C607" t="n">
        <v>12750</v>
      </c>
      <c r="D607" t="n">
        <v>32544</v>
      </c>
      <c r="E607" s="6" t="n">
        <v>306.8</v>
      </c>
      <c r="F607" s="7" t="n">
        <v>35.3</v>
      </c>
      <c r="G607" t="n">
        <v>35040</v>
      </c>
      <c r="H607" t="n">
        <v>32544</v>
      </c>
      <c r="I607" t="n">
        <v>30106</v>
      </c>
      <c r="J607" t="n">
        <v>22932</v>
      </c>
      <c r="K607" s="27">
        <f>(H607/D607-1)</f>
        <v/>
      </c>
      <c r="L607" s="27">
        <f>(I607/D607-1)</f>
        <v/>
      </c>
      <c r="M607" s="27">
        <f>(J607/D607-1)</f>
        <v/>
      </c>
      <c r="N607" t="n">
        <v>43.6</v>
      </c>
      <c r="O607" s="28">
        <f>(N607+F607)/2</f>
        <v/>
      </c>
      <c r="P607">
        <f>IF(O607="計算不能","計算不能",IF(O607&gt;=80,5,IF(O607&gt;=60,4,IF(O607&gt;=40,3,IF(O607&gt;=28,2,1)))))</f>
        <v/>
      </c>
      <c r="Q607" t="n">
        <v>3922</v>
      </c>
      <c r="R607" t="n">
        <v>640</v>
      </c>
      <c r="S607" s="27">
        <f>R607/Q607</f>
        <v/>
      </c>
      <c r="T607" t="inlineStr">
        <is>
          <t>匝瑳市は2045年までに人口が約29.5%減と明確な減少トレンド。高齢化の進行と世帯数の縮小により、中長期では賃貸需要の構造的縮小に警戒が必要。</t>
        </is>
      </c>
      <c r="U607" t="inlineStr">
        <is>
          <t>匝瑳市は人口密度307人/km²と低密度で、賃貸需要は限定的。持ち家比率が高く、駐車場完備の戸建て賃貸が有利。 借家の空室率は約16%と需給は比較的引き締まっている。</t>
        </is>
      </c>
      <c r="V607" t="inlineStr">
        <is>
          <t>匝瑳市（千葉県）：利根川・江戸川水系の氾濫、九十九里・内房の津波、臨海部の液状化、南房総の土砂災害に注意。</t>
        </is>
      </c>
    </row>
    <row r="608">
      <c r="A608" t="inlineStr">
        <is>
          <t>千葉県</t>
        </is>
      </c>
      <c r="B608" t="inlineStr">
        <is>
          <t>香取市</t>
        </is>
      </c>
      <c r="C608" t="n">
        <v>27090</v>
      </c>
      <c r="D608" t="n">
        <v>66487</v>
      </c>
      <c r="E608" s="6" t="n">
        <v>252</v>
      </c>
      <c r="F608" s="7" t="n">
        <v>32.6</v>
      </c>
      <c r="G608" t="n">
        <v>72356</v>
      </c>
      <c r="H608" t="n">
        <v>66487</v>
      </c>
      <c r="I608" t="n">
        <v>61139</v>
      </c>
      <c r="J608" t="n">
        <v>45446</v>
      </c>
      <c r="K608" s="27">
        <f>(H608/D608-1)</f>
        <v/>
      </c>
      <c r="L608" s="27">
        <f>(I608/D608-1)</f>
        <v/>
      </c>
      <c r="M608" s="27">
        <f>(J608/D608-1)</f>
        <v/>
      </c>
      <c r="N608" t="n">
        <v>42</v>
      </c>
      <c r="O608" s="28">
        <f>(N608+F608)/2</f>
        <v/>
      </c>
      <c r="P608">
        <f>IF(O608="計算不能","計算不能",IF(O608&gt;=80,5,IF(O608&gt;=60,4,IF(O608&gt;=40,3,IF(O608&gt;=28,2,1)))))</f>
        <v/>
      </c>
      <c r="Q608" t="n">
        <v>8333</v>
      </c>
      <c r="R608" t="n">
        <v>1670</v>
      </c>
      <c r="S608" s="27">
        <f>R608/Q608</f>
        <v/>
      </c>
      <c r="T608" t="inlineStr">
        <is>
          <t>香取市は2045年までに人口が約31.6%減と急激な過疎・超高齢化が進行。若年労働世代の流出と自然減が重なり、賃貸事業としての持続性は極めて限定的。</t>
        </is>
      </c>
      <c r="U608" t="inlineStr">
        <is>
          <t>香取市は人口密度252人/km²と低密度で、賃貸需要は限定的。持ち家比率が高く、駐車場完備の戸建て賃貸が有利。 借家の空室率は約20%とやや高めで、競合との差別化が必要。</t>
        </is>
      </c>
      <c r="V608" t="inlineStr">
        <is>
          <t>香取市（千葉県）：利根川・江戸川水系の氾濫、九十九里・内房の津波、臨海部の液状化、南房総の土砂災害に注意。</t>
        </is>
      </c>
    </row>
    <row r="609">
      <c r="A609" t="inlineStr">
        <is>
          <t>千葉県</t>
        </is>
      </c>
      <c r="B609" t="inlineStr">
        <is>
          <t>山武市</t>
        </is>
      </c>
      <c r="C609" t="n">
        <v>19350</v>
      </c>
      <c r="D609" t="n">
        <v>45111</v>
      </c>
      <c r="E609" s="6" t="n">
        <v>306.8</v>
      </c>
      <c r="F609" s="7" t="n">
        <v>35.3</v>
      </c>
      <c r="G609" t="n">
        <v>48444</v>
      </c>
      <c r="H609" t="n">
        <v>45111</v>
      </c>
      <c r="I609" t="n">
        <v>41647</v>
      </c>
      <c r="J609" t="n">
        <v>30775</v>
      </c>
      <c r="K609" s="27">
        <f>(H609/D609-1)</f>
        <v/>
      </c>
      <c r="L609" s="27">
        <f>(I609/D609-1)</f>
        <v/>
      </c>
      <c r="M609" s="27">
        <f>(J609/D609-1)</f>
        <v/>
      </c>
      <c r="N609" t="n">
        <v>43.2</v>
      </c>
      <c r="O609" s="28">
        <f>(N609+F609)/2</f>
        <v/>
      </c>
      <c r="P609">
        <f>IF(O609="計算不能","計算不能",IF(O609&gt;=80,5,IF(O609&gt;=60,4,IF(O609&gt;=40,3,IF(O609&gt;=28,2,1)))))</f>
        <v/>
      </c>
      <c r="Q609" t="n">
        <v>5952</v>
      </c>
      <c r="R609" t="n">
        <v>570</v>
      </c>
      <c r="S609" s="27">
        <f>R609/Q609</f>
        <v/>
      </c>
      <c r="T609" t="inlineStr">
        <is>
          <t>山武市は2045年までに人口が約31.8%減と急激な過疎・超高齢化が進行。若年労働世代の流出と自然減が重なり、賃貸事業としての持続性は極めて限定的。</t>
        </is>
      </c>
      <c r="U609" t="inlineStr">
        <is>
          <t>山武市は人口密度307人/km²と低密度で、賃貸需要は限定的。持ち家比率が高く、駐車場完備の戸建て賃貸が有利。 借家の空室率は約10%と需給は比較的引き締まっている。</t>
        </is>
      </c>
      <c r="V609" t="inlineStr">
        <is>
          <t>山武市（千葉県）：利根川・江戸川水系の氾濫、九十九里・内房の津波、臨海部の液状化、南房総の土砂災害に注意。</t>
        </is>
      </c>
    </row>
    <row r="610">
      <c r="A610" t="inlineStr">
        <is>
          <t>千葉県</t>
        </is>
      </c>
      <c r="B610" t="inlineStr">
        <is>
          <t>いすみ市</t>
        </is>
      </c>
      <c r="C610" t="n">
        <v>14080</v>
      </c>
      <c r="D610" t="n">
        <v>32240</v>
      </c>
      <c r="E610" s="6" t="n">
        <v>206</v>
      </c>
      <c r="F610" s="7" t="n">
        <v>30.3</v>
      </c>
      <c r="G610" t="n">
        <v>35544</v>
      </c>
      <c r="H610" t="n">
        <v>32240</v>
      </c>
      <c r="I610" t="n">
        <v>29674</v>
      </c>
      <c r="J610" t="n">
        <v>22364</v>
      </c>
      <c r="K610" s="27">
        <f>(H610/D610-1)</f>
        <v/>
      </c>
      <c r="L610" s="27">
        <f>(I610/D610-1)</f>
        <v/>
      </c>
      <c r="M610" s="27">
        <f>(J610/D610-1)</f>
        <v/>
      </c>
      <c r="N610" t="n">
        <v>41.2</v>
      </c>
      <c r="O610" s="28">
        <f>(N610+F610)/2</f>
        <v/>
      </c>
      <c r="P610">
        <f>IF(O610="計算不能","計算不能",IF(O610&gt;=80,5,IF(O610&gt;=60,4,IF(O610&gt;=40,3,IF(O610&gt;=28,2,1)))))</f>
        <v/>
      </c>
      <c r="Q610" t="n">
        <v>4331</v>
      </c>
      <c r="R610" t="n">
        <v>1140</v>
      </c>
      <c r="S610" s="27">
        <f>R610/Q610</f>
        <v/>
      </c>
      <c r="T610" t="inlineStr">
        <is>
          <t>いすみ市は2045年までに人口が約30.6%減と急激な過疎・超高齢化が進行。若年労働世代の流出と自然減が重なり、賃貸事業としての持続性は極めて限定的。</t>
        </is>
      </c>
      <c r="U610" t="inlineStr">
        <is>
          <t>いすみ市は人口密度206人/km²と低密度で、賃貸需要は限定的。持ち家比率が高く、駐車場完備の戸建て賃貸が有利。 借家の空室率は約26%と供給過多気味で、空室長期化リスクに要警戒。</t>
        </is>
      </c>
      <c r="V610" t="inlineStr">
        <is>
          <t>いすみ市（千葉県）：利根川・江戸川水系の氾濫、九十九里・内房の津波、臨海部の液状化、南房総の土砂災害に注意。</t>
        </is>
      </c>
    </row>
    <row r="611">
      <c r="A611" t="inlineStr">
        <is>
          <t>千葉県</t>
        </is>
      </c>
      <c r="B611" t="inlineStr">
        <is>
          <t>大網白里市</t>
        </is>
      </c>
      <c r="C611" t="n">
        <v>19870</v>
      </c>
      <c r="D611" t="n">
        <v>46941</v>
      </c>
      <c r="E611" s="6" t="n">
        <v>799.1</v>
      </c>
      <c r="F611" s="7" t="n">
        <v>51</v>
      </c>
      <c r="G611" t="n">
        <v>48129</v>
      </c>
      <c r="H611" t="n">
        <v>46941</v>
      </c>
      <c r="I611" t="n">
        <v>45403</v>
      </c>
      <c r="J611" t="n">
        <v>39563</v>
      </c>
      <c r="K611" s="27">
        <f>(H611/D611-1)</f>
        <v/>
      </c>
      <c r="L611" s="27">
        <f>(I611/D611-1)</f>
        <v/>
      </c>
      <c r="M611" s="27">
        <f>(J611/D611-1)</f>
        <v/>
      </c>
      <c r="N611" t="n">
        <v>60.2</v>
      </c>
      <c r="O611" s="28">
        <f>(N611+F611)/2</f>
        <v/>
      </c>
      <c r="P611">
        <f>IF(O611="計算不能","計算不能",IF(O611&gt;=80,5,IF(O611&gt;=60,4,IF(O611&gt;=40,3,IF(O611&gt;=28,2,1)))))</f>
        <v/>
      </c>
      <c r="Q611" t="n">
        <v>6112</v>
      </c>
      <c r="R611" t="n">
        <v>720</v>
      </c>
      <c r="S611" s="27">
        <f>R611/Q611</f>
        <v/>
      </c>
      <c r="T611" t="inlineStr">
        <is>
          <t>大網白里市は2045年までに人口が約15.7%減と明確な減少トレンド。高齢化の進行と世帯数の縮小により、中長期では賃貸需要の構造的縮小に警戒が必要。</t>
        </is>
      </c>
      <c r="U611" t="inlineStr">
        <is>
          <t>大網白里市は人口密度799人/km²で、主要道路沿いや中心市街地に一定の賃貸需要が局在。立地選別が稼働を左右する。 借家の空室率は約12%と需給は比較的引き締まっている。</t>
        </is>
      </c>
      <c r="V611" t="inlineStr">
        <is>
          <t>大網白里市（千葉県）：利根川・江戸川水系の氾濫、九十九里・内房の津波、臨海部の液状化、南房総の土砂災害に注意。</t>
        </is>
      </c>
    </row>
    <row r="612">
      <c r="A612" t="inlineStr">
        <is>
          <t>千葉県</t>
        </is>
      </c>
      <c r="B612" t="inlineStr">
        <is>
          <t>酒々井町</t>
        </is>
      </c>
      <c r="C612" t="n">
        <v>9200</v>
      </c>
      <c r="D612" t="n">
        <v>20112</v>
      </c>
      <c r="E612" s="6" t="n">
        <v>1081.9</v>
      </c>
      <c r="F612" s="7" t="n">
        <v>56.6</v>
      </c>
      <c r="G612" t="n">
        <v>20745</v>
      </c>
      <c r="H612" t="n">
        <v>20112</v>
      </c>
      <c r="I612" t="n">
        <v>19125</v>
      </c>
      <c r="J612" t="n">
        <v>16087</v>
      </c>
      <c r="K612" s="27">
        <f>(H612/D612-1)</f>
        <v/>
      </c>
      <c r="L612" s="27">
        <f>(I612/D612-1)</f>
        <v/>
      </c>
      <c r="M612" s="27">
        <f>(J612/D612-1)</f>
        <v/>
      </c>
      <c r="N612" t="n">
        <v>55.9</v>
      </c>
      <c r="O612" s="28">
        <f>(N612+F612)/2</f>
        <v/>
      </c>
      <c r="P612">
        <f>IF(O612="計算不能","計算不能",IF(O612&gt;=80,5,IF(O612&gt;=60,4,IF(O612&gt;=40,3,IF(O612&gt;=28,2,1)))))</f>
        <v/>
      </c>
      <c r="Q612" t="n">
        <v>2830</v>
      </c>
      <c r="R612" t="n">
        <v>770</v>
      </c>
      <c r="S612" s="27">
        <f>R612/Q612</f>
        <v/>
      </c>
      <c r="T612" t="inlineStr">
        <is>
          <t>酒々井町は2045年までに人口が約20.0%減と明確な減少トレンド。高齢化の進行と世帯数の縮小により、中長期では賃貸需要の構造的縮小に警戒が必要。</t>
        </is>
      </c>
      <c r="U612" t="inlineStr">
        <is>
          <t>酒々井町は人口密度1,082人/km²で、主要道路沿いや中心市街地に一定の賃貸需要が局在。立地選別が稼働を左右する。 借家の空室率は約27%と供給過多気味で、空室長期化リスクに要警戒。</t>
        </is>
      </c>
      <c r="V612" t="inlineStr">
        <is>
          <t>酒々井町（千葉県）：利根川・江戸川水系の氾濫、九十九里・内房の津波、臨海部の液状化、南房総の土砂災害に注意。</t>
        </is>
      </c>
    </row>
    <row r="613">
      <c r="A613" t="inlineStr">
        <is>
          <t>千葉県</t>
        </is>
      </c>
      <c r="B613" t="inlineStr">
        <is>
          <t>栄町</t>
        </is>
      </c>
      <c r="C613" t="n">
        <v>8300</v>
      </c>
      <c r="D613" t="n">
        <v>18927</v>
      </c>
      <c r="E613" s="6" t="n">
        <v>584.7</v>
      </c>
      <c r="F613" s="7" t="n">
        <v>46.7</v>
      </c>
      <c r="G613" t="n">
        <v>20127</v>
      </c>
      <c r="H613" t="n">
        <v>18927</v>
      </c>
      <c r="I613" t="n">
        <v>17423</v>
      </c>
      <c r="J613" t="n">
        <v>12397</v>
      </c>
      <c r="K613" s="27">
        <f>(H613/D613-1)</f>
        <v/>
      </c>
      <c r="L613" s="27">
        <f>(I613/D613-1)</f>
        <v/>
      </c>
      <c r="M613" s="27">
        <f>(J613/D613-1)</f>
        <v/>
      </c>
      <c r="N613" t="n">
        <v>43.3</v>
      </c>
      <c r="O613" s="28">
        <f>(N613+F613)/2</f>
        <v/>
      </c>
      <c r="P613">
        <f>IF(O613="計算不能","計算不能",IF(O613&gt;=80,5,IF(O613&gt;=60,4,IF(O613&gt;=40,3,IF(O613&gt;=28,2,1)))))</f>
        <v/>
      </c>
      <c r="Q613" t="n">
        <v>2553</v>
      </c>
      <c r="R613" t="n">
        <v>210</v>
      </c>
      <c r="S613" s="27">
        <f>R613/Q613</f>
        <v/>
      </c>
      <c r="T613" t="inlineStr">
        <is>
          <t>栄町は2045年までに人口が約34.5%減と急激な過疎・超高齢化が進行。若年労働世代の流出と自然減が重なり、賃貸事業としての持続性は極めて限定的。</t>
        </is>
      </c>
      <c r="U613" t="inlineStr">
        <is>
          <t>栄町は人口密度585人/km²で、主要道路沿いや中心市街地に一定の賃貸需要が局在。立地選別が稼働を左右する。 借家の空室率は約8%と需給は比較的引き締まっている。</t>
        </is>
      </c>
      <c r="V613" t="inlineStr">
        <is>
          <t>栄町（千葉県）：利根川・江戸川水系の氾濫、九十九里・内房の津波、臨海部の液状化、南房総の土砂災害に注意。</t>
        </is>
      </c>
    </row>
    <row r="614">
      <c r="A614" t="inlineStr">
        <is>
          <t>千葉県</t>
        </is>
      </c>
      <c r="B614" t="inlineStr">
        <is>
          <t>神崎町</t>
        </is>
      </c>
      <c r="C614" t="n">
        <v>2571</v>
      </c>
      <c r="D614" t="n">
        <v>5480</v>
      </c>
      <c r="E614" s="6" t="n">
        <v>265.1</v>
      </c>
      <c r="F614" s="7" t="n">
        <v>33.3</v>
      </c>
      <c r="G614" t="n">
        <v>5816</v>
      </c>
      <c r="H614" t="n">
        <v>5480</v>
      </c>
      <c r="I614" t="n">
        <v>5158</v>
      </c>
      <c r="J614" t="n">
        <v>4073</v>
      </c>
      <c r="K614" s="27">
        <f>(H614/D614-1)</f>
        <v/>
      </c>
      <c r="L614" s="27">
        <f>(I614/D614-1)</f>
        <v/>
      </c>
      <c r="M614" s="27">
        <f>(J614/D614-1)</f>
        <v/>
      </c>
      <c r="N614" t="n">
        <v>47.5</v>
      </c>
      <c r="O614" s="28">
        <f>(N614+F614)/2</f>
        <v/>
      </c>
      <c r="P614">
        <f>IF(O614="計算不能","計算不能",IF(O614&gt;=80,5,IF(O614&gt;=60,4,IF(O614&gt;=40,3,IF(O614&gt;=28,2,1)))))</f>
        <v/>
      </c>
      <c r="Q614" t="n">
        <v>790</v>
      </c>
      <c r="R614" t="n">
        <v>0</v>
      </c>
      <c r="S614" s="27">
        <f>R614/Q614</f>
        <v/>
      </c>
      <c r="T614" t="inlineStr">
        <is>
          <t>神崎町は2045年までに人口が約25.7%減と明確な減少トレンド。高齢化の進行と世帯数の縮小により、中長期では賃貸需要の構造的縮小に警戒が必要。</t>
        </is>
      </c>
      <c r="U614" t="inlineStr">
        <is>
          <t>神崎町は人口密度265人/km²と低密度で、賃貸需要は限定的。持ち家比率が高く、駐車場完備の戸建て賃貸が有利。 借家の空室率は約0%と需給は比較的引き締まっている。</t>
        </is>
      </c>
      <c r="V614" t="inlineStr">
        <is>
          <t>神崎町（千葉県）：利根川・江戸川水系の氾濫、九十九里・内房の津波、臨海部の液状化、南房総の土砂災害に注意。</t>
        </is>
      </c>
    </row>
    <row r="615">
      <c r="A615" t="inlineStr">
        <is>
          <t>千葉県</t>
        </is>
      </c>
      <c r="B615" t="inlineStr">
        <is>
          <t>多古町</t>
        </is>
      </c>
      <c r="C615" t="n">
        <v>6129</v>
      </c>
      <c r="D615" t="n">
        <v>12763</v>
      </c>
      <c r="E615" s="6" t="n">
        <v>171.3</v>
      </c>
      <c r="F615" s="7" t="n">
        <v>27.1</v>
      </c>
      <c r="G615" t="n">
        <v>13735</v>
      </c>
      <c r="H615" t="n">
        <v>12763</v>
      </c>
      <c r="I615" t="n">
        <v>11771</v>
      </c>
      <c r="J615" t="n">
        <v>8900</v>
      </c>
      <c r="K615" s="27">
        <f>(H615/D615-1)</f>
        <v/>
      </c>
      <c r="L615" s="27">
        <f>(I615/D615-1)</f>
        <v/>
      </c>
      <c r="M615" s="27">
        <f>(J615/D615-1)</f>
        <v/>
      </c>
      <c r="N615" t="n">
        <v>43.4</v>
      </c>
      <c r="O615" s="28">
        <f>(N615+F615)/2</f>
        <v/>
      </c>
      <c r="P615">
        <f>IF(O615="計算不能","計算不能",IF(O615&gt;=80,5,IF(O615&gt;=60,4,IF(O615&gt;=40,3,IF(O615&gt;=28,2,1)))))</f>
        <v/>
      </c>
      <c r="Q615" t="n">
        <v>1885</v>
      </c>
      <c r="R615" t="n">
        <v>0</v>
      </c>
      <c r="S615" s="27">
        <f>R615/Q615</f>
        <v/>
      </c>
      <c r="T615" t="inlineStr">
        <is>
          <t>多古町は2045年までに人口が約30.3%減と急激な過疎・超高齢化が進行。若年労働世代の流出と自然減が重なり、賃貸事業としての持続性は極めて限定的。</t>
        </is>
      </c>
      <c r="U615" t="inlineStr">
        <is>
          <t>多古町は人口密度171人/km²と過疎的水準で、民間賃貸の新規需要は薄い。実需に裏付けられた格安戸建ての指値取得のみが現実的。 借家の空室率は約0%と需給は比較的引き締まっている。</t>
        </is>
      </c>
      <c r="V615" t="inlineStr">
        <is>
          <t>多古町（千葉県）：利根川・江戸川水系の氾濫、九十九里・内房の津波、臨海部の液状化、南房総の土砂災害に注意。</t>
        </is>
      </c>
    </row>
    <row r="616">
      <c r="A616" t="inlineStr">
        <is>
          <t>千葉県</t>
        </is>
      </c>
      <c r="B616" t="inlineStr">
        <is>
          <t>東庄町</t>
        </is>
      </c>
      <c r="C616" t="n">
        <v>5342</v>
      </c>
      <c r="D616" t="n">
        <v>11994</v>
      </c>
      <c r="E616" s="6" t="n">
        <v>257.1</v>
      </c>
      <c r="F616" s="7" t="n">
        <v>32.9</v>
      </c>
      <c r="G616" t="n">
        <v>13228</v>
      </c>
      <c r="H616" t="n">
        <v>11994</v>
      </c>
      <c r="I616" t="n">
        <v>10977</v>
      </c>
      <c r="J616" t="n">
        <v>7832</v>
      </c>
      <c r="K616" s="27">
        <f>(H616/D616-1)</f>
        <v/>
      </c>
      <c r="L616" s="27">
        <f>(I616/D616-1)</f>
        <v/>
      </c>
      <c r="M616" s="27">
        <f>(J616/D616-1)</f>
        <v/>
      </c>
      <c r="N616" t="n">
        <v>40.1</v>
      </c>
      <c r="O616" s="28">
        <f>(N616+F616)/2</f>
        <v/>
      </c>
      <c r="P616">
        <f>IF(O616="計算不能","計算不能",IF(O616&gt;=80,5,IF(O616&gt;=60,4,IF(O616&gt;=40,3,IF(O616&gt;=28,2,1)))))</f>
        <v/>
      </c>
      <c r="Q616" t="n">
        <v>1643</v>
      </c>
      <c r="R616" t="n">
        <v>0</v>
      </c>
      <c r="S616" s="27">
        <f>R616/Q616</f>
        <v/>
      </c>
      <c r="T616" t="inlineStr">
        <is>
          <t>東庄町は2045年までに人口が約34.7%減と急激な過疎・超高齢化が進行。若年労働世代の流出と自然減が重なり、賃貸事業としての持続性は極めて限定的。</t>
        </is>
      </c>
      <c r="U616" t="inlineStr">
        <is>
          <t>東庄町は人口密度257人/km²と低密度で、賃貸需要は限定的。持ち家比率が高く、駐車場完備の戸建て賃貸が有利。 借家の空室率は約0%と需給は比較的引き締まっている。</t>
        </is>
      </c>
      <c r="V616" t="inlineStr">
        <is>
          <t>東庄町（千葉県）：利根川・江戸川水系の氾濫、九十九里・内房の津波、臨海部の液状化、南房総の土砂災害に注意。</t>
        </is>
      </c>
    </row>
    <row r="617">
      <c r="A617" t="inlineStr">
        <is>
          <t>千葉県</t>
        </is>
      </c>
      <c r="B617" t="inlineStr">
        <is>
          <t>九十九里町</t>
        </is>
      </c>
      <c r="C617" t="n">
        <v>6950</v>
      </c>
      <c r="D617" t="n">
        <v>13319</v>
      </c>
      <c r="E617" s="6" t="n">
        <v>529.2</v>
      </c>
      <c r="F617" s="7" t="n">
        <v>45.6</v>
      </c>
      <c r="G617" t="n">
        <v>14639</v>
      </c>
      <c r="H617" t="n">
        <v>13319</v>
      </c>
      <c r="I617" t="n">
        <v>12025</v>
      </c>
      <c r="J617" t="n">
        <v>8295</v>
      </c>
      <c r="K617" s="27">
        <f>(H617/D617-1)</f>
        <v/>
      </c>
      <c r="L617" s="27">
        <f>(I617/D617-1)</f>
        <v/>
      </c>
      <c r="M617" s="27">
        <f>(J617/D617-1)</f>
        <v/>
      </c>
      <c r="N617" t="n">
        <v>39.3</v>
      </c>
      <c r="O617" s="28">
        <f>(N617+F617)/2</f>
        <v/>
      </c>
      <c r="P617">
        <f>IF(O617="計算不能","計算不能",IF(O617&gt;=80,5,IF(O617&gt;=60,4,IF(O617&gt;=40,3,IF(O617&gt;=28,2,1)))))</f>
        <v/>
      </c>
      <c r="Q617" t="n">
        <v>2138</v>
      </c>
      <c r="R617" t="n">
        <v>0</v>
      </c>
      <c r="S617" s="27">
        <f>R617/Q617</f>
        <v/>
      </c>
      <c r="T617" t="inlineStr">
        <is>
          <t>九十九里町は2045年までに人口が約37.7%減と急激な過疎・超高齢化が進行。若年労働世代の流出と自然減が重なり、賃貸事業としての持続性は極めて限定的。</t>
        </is>
      </c>
      <c r="U617" t="inlineStr">
        <is>
          <t>九十九里町は人口密度529人/km²で、主要道路沿いや中心市街地に一定の賃貸需要が局在。立地選別が稼働を左右する。 借家の空室率は約0%と需給は比較的引き締まっている。</t>
        </is>
      </c>
      <c r="V617" t="inlineStr">
        <is>
          <t>九十九里町（千葉県）：利根川・江戸川水系の氾濫、九十九里・内房の津波、臨海部の液状化、南房総の土砂災害に注意。</t>
        </is>
      </c>
    </row>
    <row r="618">
      <c r="A618" t="inlineStr">
        <is>
          <t>千葉県</t>
        </is>
      </c>
      <c r="B618" t="inlineStr">
        <is>
          <t>芝山町</t>
        </is>
      </c>
      <c r="C618" t="n">
        <v>3038</v>
      </c>
      <c r="D618" t="n">
        <v>6517</v>
      </c>
      <c r="E618" s="6" t="n">
        <v>141.2</v>
      </c>
      <c r="F618" s="7" t="n">
        <v>24.1</v>
      </c>
      <c r="G618" t="n">
        <v>7033</v>
      </c>
      <c r="H618" t="n">
        <v>6517</v>
      </c>
      <c r="I618" t="n">
        <v>6029</v>
      </c>
      <c r="J618" t="n">
        <v>4607</v>
      </c>
      <c r="K618" s="27">
        <f>(H618/D618-1)</f>
        <v/>
      </c>
      <c r="L618" s="27">
        <f>(I618/D618-1)</f>
        <v/>
      </c>
      <c r="M618" s="27">
        <f>(J618/D618-1)</f>
        <v/>
      </c>
      <c r="N618" t="n">
        <v>43.4</v>
      </c>
      <c r="O618" s="28">
        <f>(N618+F618)/2</f>
        <v/>
      </c>
      <c r="P618">
        <f>IF(O618="計算不能","計算不能",IF(O618&gt;=80,5,IF(O618&gt;=60,4,IF(O618&gt;=40,3,IF(O618&gt;=28,2,1)))))</f>
        <v/>
      </c>
      <c r="Q618" t="n">
        <v>934</v>
      </c>
      <c r="R618" t="n">
        <v>0</v>
      </c>
      <c r="S618" s="27">
        <f>R618/Q618</f>
        <v/>
      </c>
      <c r="T618" t="inlineStr">
        <is>
          <t>芝山町は2045年までに人口が約29.3%減と明確な減少トレンド。高齢化の進行と世帯数の縮小により、中長期では賃貸需要の構造的縮小に警戒が必要。</t>
        </is>
      </c>
      <c r="U618" t="inlineStr">
        <is>
          <t>芝山町は人口密度141人/km²と過疎的水準で、民間賃貸の新規需要は薄い。実需に裏付けられた格安戸建ての指値取得のみが現実的。 借家の空室率は約0%と需給は比較的引き締まっている。</t>
        </is>
      </c>
      <c r="V618" t="inlineStr">
        <is>
          <t>芝山町（千葉県）：利根川・江戸川水系の氾濫、九十九里・内房の津波、臨海部の液状化、南房総の土砂災害に注意。</t>
        </is>
      </c>
    </row>
    <row r="619">
      <c r="A619" t="inlineStr">
        <is>
          <t>千葉県</t>
        </is>
      </c>
      <c r="B619" t="inlineStr">
        <is>
          <t>横芝光町</t>
        </is>
      </c>
      <c r="C619" t="n">
        <v>8050</v>
      </c>
      <c r="D619" t="n">
        <v>20591</v>
      </c>
      <c r="E619" s="6" t="n">
        <v>296</v>
      </c>
      <c r="F619" s="7" t="n">
        <v>34.8</v>
      </c>
      <c r="G619" t="n">
        <v>22075</v>
      </c>
      <c r="H619" t="n">
        <v>20591</v>
      </c>
      <c r="I619" t="n">
        <v>19132</v>
      </c>
      <c r="J619" t="n">
        <v>14742</v>
      </c>
      <c r="K619" s="27">
        <f>(H619/D619-1)</f>
        <v/>
      </c>
      <c r="L619" s="27">
        <f>(I619/D619-1)</f>
        <v/>
      </c>
      <c r="M619" s="27">
        <f>(J619/D619-1)</f>
        <v/>
      </c>
      <c r="N619" t="n">
        <v>44.3</v>
      </c>
      <c r="O619" s="28">
        <f>(N619+F619)/2</f>
        <v/>
      </c>
      <c r="P619">
        <f>IF(O619="計算不能","計算不能",IF(O619&gt;=80,5,IF(O619&gt;=60,4,IF(O619&gt;=40,3,IF(O619&gt;=28,2,1)))))</f>
        <v/>
      </c>
      <c r="Q619" t="n">
        <v>2476</v>
      </c>
      <c r="R619" t="n">
        <v>290</v>
      </c>
      <c r="S619" s="27">
        <f>R619/Q619</f>
        <v/>
      </c>
      <c r="T619" t="inlineStr">
        <is>
          <t>横芝光町は2045年までに人口が約28.4%減と明確な減少トレンド。高齢化の進行と世帯数の縮小により、中長期では賃貸需要の構造的縮小に警戒が必要。</t>
        </is>
      </c>
      <c r="U619" t="inlineStr">
        <is>
          <t>横芝光町は人口密度296人/km²と低密度で、賃貸需要は限定的。持ち家比率が高く、駐車場完備の戸建て賃貸が有利。 借家の空室率は約12%と需給は比較的引き締まっている。</t>
        </is>
      </c>
      <c r="V619" t="inlineStr">
        <is>
          <t>横芝光町（千葉県）：利根川・江戸川水系の氾濫、九十九里・内房の津波、臨海部の液状化、南房総の土砂災害に注意。</t>
        </is>
      </c>
    </row>
    <row r="620">
      <c r="A620" t="inlineStr">
        <is>
          <t>千葉県</t>
        </is>
      </c>
      <c r="B620" t="inlineStr">
        <is>
          <t>一宮町</t>
        </is>
      </c>
      <c r="C620" t="n">
        <v>5739</v>
      </c>
      <c r="D620" t="n">
        <v>11847</v>
      </c>
      <c r="E620" s="6" t="n">
        <v>511.9</v>
      </c>
      <c r="F620" s="7" t="n">
        <v>45.2</v>
      </c>
      <c r="G620" t="n">
        <v>11897</v>
      </c>
      <c r="H620" t="n">
        <v>11847</v>
      </c>
      <c r="I620" t="n">
        <v>11738</v>
      </c>
      <c r="J620" t="n">
        <v>11423</v>
      </c>
      <c r="K620" s="27">
        <f>(H620/D620-1)</f>
        <v/>
      </c>
      <c r="L620" s="27">
        <f>(I620/D620-1)</f>
        <v/>
      </c>
      <c r="M620" s="27">
        <f>(J620/D620-1)</f>
        <v/>
      </c>
      <c r="N620" t="n">
        <v>71.7</v>
      </c>
      <c r="O620" s="28">
        <f>(N620+F620)/2</f>
        <v/>
      </c>
      <c r="P620">
        <f>IF(O620="計算不能","計算不能",IF(O620&gt;=80,5,IF(O620&gt;=60,4,IF(O620&gt;=40,3,IF(O620&gt;=28,2,1)))))</f>
        <v/>
      </c>
      <c r="Q620" t="n">
        <v>1765</v>
      </c>
      <c r="R620" t="n">
        <v>0</v>
      </c>
      <c r="S620" s="27">
        <f>R620/Q620</f>
        <v/>
      </c>
      <c r="T620" t="inlineStr">
        <is>
          <t>一宮町は2045年までの人口減少率が約3.6%と全国平均より緩やかで、概ね横ばいの安定推移。生産年齢人口の維持により、賃貸需要の急減リスクは相対的に低い。</t>
        </is>
      </c>
      <c r="U620" t="inlineStr">
        <is>
          <t>一宮町は人口密度512人/km²で、主要道路沿いや中心市街地に一定の賃貸需要が局在。立地選別が稼働を左右する。 借家の空室率は約0%と需給は比較的引き締まっている。</t>
        </is>
      </c>
      <c r="V620" t="inlineStr">
        <is>
          <t>一宮町（千葉県）：利根川・江戸川水系の氾濫、九十九里・内房の津波、臨海部の液状化、南房総の土砂災害に注意。</t>
        </is>
      </c>
    </row>
    <row r="621">
      <c r="A621" t="inlineStr">
        <is>
          <t>千葉県</t>
        </is>
      </c>
      <c r="B621" t="inlineStr">
        <is>
          <t>睦沢町</t>
        </is>
      </c>
      <c r="C621" t="n">
        <v>2827</v>
      </c>
      <c r="D621" t="n">
        <v>6326</v>
      </c>
      <c r="E621" s="6" t="n">
        <v>177</v>
      </c>
      <c r="F621" s="7" t="n">
        <v>27.7</v>
      </c>
      <c r="G621" t="n">
        <v>6760</v>
      </c>
      <c r="H621" t="n">
        <v>6326</v>
      </c>
      <c r="I621" t="n">
        <v>5883</v>
      </c>
      <c r="J621" t="n">
        <v>4512</v>
      </c>
      <c r="K621" s="27">
        <f>(H621/D621-1)</f>
        <v/>
      </c>
      <c r="L621" s="27">
        <f>(I621/D621-1)</f>
        <v/>
      </c>
      <c r="M621" s="27">
        <f>(J621/D621-1)</f>
        <v/>
      </c>
      <c r="N621" t="n">
        <v>44.6</v>
      </c>
      <c r="O621" s="28">
        <f>(N621+F621)/2</f>
        <v/>
      </c>
      <c r="P621">
        <f>IF(O621="計算不能","計算不能",IF(O621&gt;=80,5,IF(O621&gt;=60,4,IF(O621&gt;=40,3,IF(O621&gt;=28,2,1)))))</f>
        <v/>
      </c>
      <c r="Q621" t="n">
        <v>869</v>
      </c>
      <c r="R621" t="n">
        <v>0</v>
      </c>
      <c r="S621" s="27">
        <f>R621/Q621</f>
        <v/>
      </c>
      <c r="T621" t="inlineStr">
        <is>
          <t>睦沢町は2045年までに人口が約28.7%減と明確な減少トレンド。高齢化の進行と世帯数の縮小により、中長期では賃貸需要の構造的縮小に警戒が必要。</t>
        </is>
      </c>
      <c r="U621" t="inlineStr">
        <is>
          <t>睦沢町は人口密度177人/km²と過疎的水準で、民間賃貸の新規需要は薄い。実需に裏付けられた格安戸建ての指値取得のみが現実的。 借家の空室率は約0%と需給は比較的引き締まっている。</t>
        </is>
      </c>
      <c r="V621" t="inlineStr">
        <is>
          <t>睦沢町（千葉県）：利根川・江戸川水系の氾濫、九十九里・内房の津波、臨海部の液状化、南房総の土砂災害に注意。</t>
        </is>
      </c>
    </row>
    <row r="622">
      <c r="A622" t="inlineStr">
        <is>
          <t>千葉県</t>
        </is>
      </c>
      <c r="B622" t="inlineStr">
        <is>
          <t>長生村</t>
        </is>
      </c>
      <c r="C622" t="n">
        <v>6087</v>
      </c>
      <c r="D622" t="n">
        <v>12948</v>
      </c>
      <c r="E622" s="6" t="n">
        <v>443.6</v>
      </c>
      <c r="F622" s="7" t="n">
        <v>42.2</v>
      </c>
      <c r="G622" t="n">
        <v>13803</v>
      </c>
      <c r="H622" t="n">
        <v>12948</v>
      </c>
      <c r="I622" t="n">
        <v>12350</v>
      </c>
      <c r="J622" t="n">
        <v>10480</v>
      </c>
      <c r="K622" s="27">
        <f>(H622/D622-1)</f>
        <v/>
      </c>
      <c r="L622" s="27">
        <f>(I622/D622-1)</f>
        <v/>
      </c>
      <c r="M622" s="27">
        <f>(J622/D622-1)</f>
        <v/>
      </c>
      <c r="N622" t="n">
        <v>50.6</v>
      </c>
      <c r="O622" s="28">
        <f>(N622+F622)/2</f>
        <v/>
      </c>
      <c r="P622">
        <f>IF(O622="計算不能","計算不能",IF(O622&gt;=80,5,IF(O622&gt;=60,4,IF(O622&gt;=40,3,IF(O622&gt;=28,2,1)))))</f>
        <v/>
      </c>
      <c r="Q622" t="n">
        <v>1872</v>
      </c>
      <c r="R622" t="n">
        <v>0</v>
      </c>
      <c r="S622" s="27">
        <f>R622/Q622</f>
        <v/>
      </c>
      <c r="T622" t="inlineStr">
        <is>
          <t>長生村は2045年までに人口が約19.1%減と明確な減少トレンド。高齢化の進行と世帯数の縮小により、中長期では賃貸需要の構造的縮小に警戒が必要。</t>
        </is>
      </c>
      <c r="U622" t="inlineStr">
        <is>
          <t>長生村は人口密度444人/km²と低密度で、賃貸需要は限定的。持ち家比率が高く、駐車場完備の戸建て賃貸が有利。 借家の空室率は約0%と需給は比較的引き締まっている。</t>
        </is>
      </c>
      <c r="V622" t="inlineStr">
        <is>
          <t>長生村（千葉県）：利根川・江戸川水系の氾濫、九十九里・内房の津波、臨海部の液状化、南房総の土砂災害に注意。</t>
        </is>
      </c>
    </row>
    <row r="623">
      <c r="A623" t="inlineStr">
        <is>
          <t>千葉県</t>
        </is>
      </c>
      <c r="B623" t="inlineStr">
        <is>
          <t>白子町</t>
        </is>
      </c>
      <c r="C623" t="n">
        <v>5003</v>
      </c>
      <c r="D623" t="n">
        <v>9562</v>
      </c>
      <c r="E623" s="6" t="n">
        <v>344.7</v>
      </c>
      <c r="F623" s="7" t="n">
        <v>37.2</v>
      </c>
      <c r="G623" t="n">
        <v>10305</v>
      </c>
      <c r="H623" t="n">
        <v>9562</v>
      </c>
      <c r="I623" t="n">
        <v>8816</v>
      </c>
      <c r="J623" t="n">
        <v>6470</v>
      </c>
      <c r="K623" s="27">
        <f>(H623/D623-1)</f>
        <v/>
      </c>
      <c r="L623" s="27">
        <f>(I623/D623-1)</f>
        <v/>
      </c>
      <c r="M623" s="27">
        <f>(J623/D623-1)</f>
        <v/>
      </c>
      <c r="N623" t="n">
        <v>42.8</v>
      </c>
      <c r="O623" s="28">
        <f>(N623+F623)/2</f>
        <v/>
      </c>
      <c r="P623">
        <f>IF(O623="計算不能","計算不能",IF(O623&gt;=80,5,IF(O623&gt;=60,4,IF(O623&gt;=40,3,IF(O623&gt;=28,2,1)))))</f>
        <v/>
      </c>
      <c r="Q623" t="n">
        <v>1539</v>
      </c>
      <c r="R623" t="n">
        <v>0</v>
      </c>
      <c r="S623" s="27">
        <f>R623/Q623</f>
        <v/>
      </c>
      <c r="T623" t="inlineStr">
        <is>
          <t>白子町は2045年までに人口が約32.3%減と急激な過疎・超高齢化が進行。若年労働世代の流出と自然減が重なり、賃貸事業としての持続性は極めて限定的。</t>
        </is>
      </c>
      <c r="U623" t="inlineStr">
        <is>
          <t>白子町は人口密度345人/km²と低密度で、賃貸需要は限定的。持ち家比率が高く、駐車場完備の戸建て賃貸が有利。 借家の空室率は約0%と需給は比較的引き締まっている。</t>
        </is>
      </c>
      <c r="V623" t="inlineStr">
        <is>
          <t>白子町（千葉県）：利根川・江戸川水系の氾濫、九十九里・内房の津波、臨海部の液状化、南房総の土砂災害に注意。</t>
        </is>
      </c>
    </row>
    <row r="624">
      <c r="A624" t="inlineStr">
        <is>
          <t>千葉県</t>
        </is>
      </c>
      <c r="B624" t="inlineStr">
        <is>
          <t>長柄町</t>
        </is>
      </c>
      <c r="C624" t="n">
        <v>2960</v>
      </c>
      <c r="D624" t="n">
        <v>6137</v>
      </c>
      <c r="E624" s="6" t="n">
        <v>127.8</v>
      </c>
      <c r="F624" s="7" t="n">
        <v>22.8</v>
      </c>
      <c r="G624" t="n">
        <v>6721</v>
      </c>
      <c r="H624" t="n">
        <v>6137</v>
      </c>
      <c r="I624" t="n">
        <v>5580</v>
      </c>
      <c r="J624" t="n">
        <v>3909</v>
      </c>
      <c r="K624" s="27">
        <f>(H624/D624-1)</f>
        <v/>
      </c>
      <c r="L624" s="27">
        <f>(I624/D624-1)</f>
        <v/>
      </c>
      <c r="M624" s="27">
        <f>(J624/D624-1)</f>
        <v/>
      </c>
      <c r="N624" t="n">
        <v>40.1</v>
      </c>
      <c r="O624" s="28">
        <f>(N624+F624)/2</f>
        <v/>
      </c>
      <c r="P624">
        <f>IF(O624="計算不能","計算不能",IF(O624&gt;=80,5,IF(O624&gt;=60,4,IF(O624&gt;=40,3,IF(O624&gt;=28,2,1)))))</f>
        <v/>
      </c>
      <c r="Q624" t="n">
        <v>910</v>
      </c>
      <c r="R624" t="n">
        <v>0</v>
      </c>
      <c r="S624" s="27">
        <f>R624/Q624</f>
        <v/>
      </c>
      <c r="T624" t="inlineStr">
        <is>
          <t>長柄町は2045年までに人口が約36.3%減と急激な過疎・超高齢化が進行。若年労働世代の流出と自然減が重なり、賃貸事業としての持続性は極めて限定的。</t>
        </is>
      </c>
      <c r="U624" t="inlineStr">
        <is>
          <t>長柄町は人口密度128人/km²と過疎的水準で、民間賃貸の新規需要は薄い。実需に裏付けられた格安戸建ての指値取得のみが現実的。 借家の空室率は約0%と需給は比較的引き締まっている。</t>
        </is>
      </c>
      <c r="V624" t="inlineStr">
        <is>
          <t>長柄町（千葉県）：利根川・江戸川水系の氾濫、九十九里・内房の津波、臨海部の液状化、南房総の土砂災害に注意。</t>
        </is>
      </c>
    </row>
    <row r="625">
      <c r="A625" t="inlineStr">
        <is>
          <t>千葉県</t>
        </is>
      </c>
      <c r="B625" t="inlineStr">
        <is>
          <t>長南町</t>
        </is>
      </c>
      <c r="C625" t="n">
        <v>3165</v>
      </c>
      <c r="D625" t="n">
        <v>6460</v>
      </c>
      <c r="E625" s="6" t="n">
        <v>102.3</v>
      </c>
      <c r="F625" s="7" t="n">
        <v>20.2</v>
      </c>
      <c r="G625" t="n">
        <v>7198</v>
      </c>
      <c r="H625" t="n">
        <v>6460</v>
      </c>
      <c r="I625" t="n">
        <v>5764</v>
      </c>
      <c r="J625" t="n">
        <v>3792</v>
      </c>
      <c r="K625" s="27">
        <f>(H625/D625-1)</f>
        <v/>
      </c>
      <c r="L625" s="27">
        <f>(I625/D625-1)</f>
        <v/>
      </c>
      <c r="M625" s="27">
        <f>(J625/D625-1)</f>
        <v/>
      </c>
      <c r="N625" t="n">
        <v>37.1</v>
      </c>
      <c r="O625" s="28">
        <f>(N625+F625)/2</f>
        <v/>
      </c>
      <c r="P625">
        <f>IF(O625="計算不能","計算不能",IF(O625&gt;=80,5,IF(O625&gt;=60,4,IF(O625&gt;=40,3,IF(O625&gt;=28,2,1)))))</f>
        <v/>
      </c>
      <c r="Q625" t="n">
        <v>973</v>
      </c>
      <c r="R625" t="n">
        <v>0</v>
      </c>
      <c r="S625" s="27">
        <f>R625/Q625</f>
        <v/>
      </c>
      <c r="T625" t="inlineStr">
        <is>
          <t>長南町は2045年までに人口が約41.3%減と急激な過疎・超高齢化が進行。若年労働世代の流出と自然減が重なり、賃貸事業としての持続性は極めて限定的。</t>
        </is>
      </c>
      <c r="U625" t="inlineStr">
        <is>
          <t>長南町は人口密度102人/km²と過疎的水準で、民間賃貸の新規需要は薄い。実需に裏付けられた格安戸建ての指値取得のみが現実的。 借家の空室率は約0%と需給は比較的引き締まっている。</t>
        </is>
      </c>
      <c r="V625" t="inlineStr">
        <is>
          <t>長南町（千葉県）：利根川・江戸川水系の氾濫、九十九里・内房の津波、臨海部の液状化、南房総の土砂災害に注意。</t>
        </is>
      </c>
    </row>
    <row r="626">
      <c r="A626" t="inlineStr">
        <is>
          <t>千葉県</t>
        </is>
      </c>
      <c r="B626" t="inlineStr">
        <is>
          <t>大多喜町</t>
        </is>
      </c>
      <c r="C626" t="n">
        <v>3761</v>
      </c>
      <c r="D626" t="n">
        <v>8048</v>
      </c>
      <c r="E626" s="6" t="n">
        <v>60.1</v>
      </c>
      <c r="F626" s="7" t="n">
        <v>16</v>
      </c>
      <c r="G626" t="n">
        <v>8885</v>
      </c>
      <c r="H626" t="n">
        <v>8048</v>
      </c>
      <c r="I626" t="n">
        <v>7259</v>
      </c>
      <c r="J626" t="n">
        <v>5117</v>
      </c>
      <c r="K626" s="27">
        <f>(H626/D626-1)</f>
        <v/>
      </c>
      <c r="L626" s="27">
        <f>(I626/D626-1)</f>
        <v/>
      </c>
      <c r="M626" s="27">
        <f>(J626/D626-1)</f>
        <v/>
      </c>
      <c r="N626" t="n">
        <v>39.2</v>
      </c>
      <c r="O626" s="28">
        <f>(N626+F626)/2</f>
        <v/>
      </c>
      <c r="P626">
        <f>IF(O626="計算不能","計算不能",IF(O626&gt;=80,5,IF(O626&gt;=60,4,IF(O626&gt;=40,3,IF(O626&gt;=28,2,1)))))</f>
        <v/>
      </c>
      <c r="Q626" t="n">
        <v>1156</v>
      </c>
      <c r="R626" t="n">
        <v>0</v>
      </c>
      <c r="S626" s="27">
        <f>R626/Q626</f>
        <v/>
      </c>
      <c r="T626" t="inlineStr">
        <is>
          <t>大多喜町は2045年までに人口が約36.4%減と急激な過疎・超高齢化が進行。若年労働世代の流出と自然減が重なり、賃貸事業としての持続性は極めて限定的。</t>
        </is>
      </c>
      <c r="U626" t="inlineStr">
        <is>
          <t>大多喜町は人口密度60人/km²と過疎的水準で、民間賃貸の新規需要は薄い。実需に裏付けられた格安戸建ての指値取得のみが現実的。 借家の空室率は約0%と需給は比較的引き締まっている。</t>
        </is>
      </c>
      <c r="V626" t="inlineStr">
        <is>
          <t>大多喜町（千葉県）：利根川・江戸川水系の氾濫、九十九里・内房の津波、臨海部の液状化、南房総の土砂災害に注意。</t>
        </is>
      </c>
    </row>
    <row r="627">
      <c r="A627" t="inlineStr">
        <is>
          <t>千葉県</t>
        </is>
      </c>
      <c r="B627" t="inlineStr">
        <is>
          <t>御宿町</t>
        </is>
      </c>
      <c r="C627" t="n">
        <v>3692</v>
      </c>
      <c r="D627" t="n">
        <v>6455</v>
      </c>
      <c r="E627" s="6" t="n">
        <v>255.4</v>
      </c>
      <c r="F627" s="7" t="n">
        <v>32.8</v>
      </c>
      <c r="G627" t="n">
        <v>6874</v>
      </c>
      <c r="H627" t="n">
        <v>6455</v>
      </c>
      <c r="I627" t="n">
        <v>6026</v>
      </c>
      <c r="J627" t="n">
        <v>4765</v>
      </c>
      <c r="K627" s="27">
        <f>(H627/D627-1)</f>
        <v/>
      </c>
      <c r="L627" s="27">
        <f>(I627/D627-1)</f>
        <v/>
      </c>
      <c r="M627" s="27">
        <f>(J627/D627-1)</f>
        <v/>
      </c>
      <c r="N627" t="n">
        <v>46.1</v>
      </c>
      <c r="O627" s="28">
        <f>(N627+F627)/2</f>
        <v/>
      </c>
      <c r="P627">
        <f>IF(O627="計算不能","計算不能",IF(O627&gt;=80,5,IF(O627&gt;=60,4,IF(O627&gt;=40,3,IF(O627&gt;=28,2,1)))))</f>
        <v/>
      </c>
      <c r="Q627" t="n">
        <v>1135</v>
      </c>
      <c r="R627" t="n">
        <v>0</v>
      </c>
      <c r="S627" s="27">
        <f>R627/Q627</f>
        <v/>
      </c>
      <c r="T627" t="inlineStr">
        <is>
          <t>御宿町は2045年までに人口が約26.2%減と明確な減少トレンド。高齢化の進行と世帯数の縮小により、中長期では賃貸需要の構造的縮小に警戒が必要。</t>
        </is>
      </c>
      <c r="U627" t="inlineStr">
        <is>
          <t>御宿町は人口密度255人/km²と低密度で、賃貸需要は限定的。持ち家比率が高く、駐車場完備の戸建て賃貸が有利。 借家の空室率は約0%と需給は比較的引き締まっている。</t>
        </is>
      </c>
      <c r="V627" t="inlineStr">
        <is>
          <t>御宿町（千葉県）：利根川・江戸川水系の氾濫、九十九里・内房の津波、臨海部の液状化、南房総の土砂災害に注意。</t>
        </is>
      </c>
    </row>
    <row r="628">
      <c r="A628" t="inlineStr">
        <is>
          <t>千葉県</t>
        </is>
      </c>
      <c r="B628" t="inlineStr">
        <is>
          <t>鋸南町</t>
        </is>
      </c>
      <c r="C628" t="n">
        <v>3423</v>
      </c>
      <c r="D628" t="n">
        <v>6199</v>
      </c>
      <c r="E628" s="6" t="n">
        <v>137.3</v>
      </c>
      <c r="F628" s="7" t="n">
        <v>23.7</v>
      </c>
      <c r="G628" t="n">
        <v>6993</v>
      </c>
      <c r="H628" t="n">
        <v>6199</v>
      </c>
      <c r="I628" t="n">
        <v>5498</v>
      </c>
      <c r="J628" t="n">
        <v>3595</v>
      </c>
      <c r="K628" s="27">
        <f>(H628/D628-1)</f>
        <v/>
      </c>
      <c r="L628" s="27">
        <f>(I628/D628-1)</f>
        <v/>
      </c>
      <c r="M628" s="27">
        <f>(J628/D628-1)</f>
        <v/>
      </c>
      <c r="N628" t="n">
        <v>35.8</v>
      </c>
      <c r="O628" s="28">
        <f>(N628+F628)/2</f>
        <v/>
      </c>
      <c r="P628">
        <f>IF(O628="計算不能","計算不能",IF(O628&gt;=80,5,IF(O628&gt;=60,4,IF(O628&gt;=40,3,IF(O628&gt;=28,2,1)))))</f>
        <v/>
      </c>
      <c r="Q628" t="n">
        <v>1053</v>
      </c>
      <c r="R628" t="n">
        <v>0</v>
      </c>
      <c r="S628" s="27">
        <f>R628/Q628</f>
        <v/>
      </c>
      <c r="T628" t="inlineStr">
        <is>
          <t>鋸南町は2045年までに人口が約42.0%減と急激な過疎・超高齢化が進行。若年労働世代の流出と自然減が重なり、賃貸事業としての持続性は極めて限定的。</t>
        </is>
      </c>
      <c r="U628" t="inlineStr">
        <is>
          <t>鋸南町は人口密度137人/km²と過疎的水準で、民間賃貸の新規需要は薄い。実需に裏付けられた格安戸建ての指値取得のみが現実的。 借家の空室率は約0%と需給は比較的引き締まっている。</t>
        </is>
      </c>
      <c r="V628" t="inlineStr">
        <is>
          <t>鋸南町（千葉県）：利根川・江戸川水系の氾濫、九十九里・内房の津波、臨海部の液状化、南房総の土砂災害に注意。</t>
        </is>
      </c>
    </row>
    <row r="629">
      <c r="A629" t="inlineStr">
        <is>
          <t>東京都</t>
        </is>
      </c>
      <c r="B629" t="inlineStr">
        <is>
          <t>千代田区</t>
        </is>
      </c>
      <c r="C629" t="n">
        <v>34450</v>
      </c>
      <c r="D629" t="n">
        <v>69781</v>
      </c>
      <c r="E629" s="6" t="n">
        <v>5677.4</v>
      </c>
      <c r="F629" s="7" t="n">
        <v>91.40000000000001</v>
      </c>
      <c r="G629" t="n">
        <v>66680</v>
      </c>
      <c r="H629" t="n">
        <v>69781</v>
      </c>
      <c r="I629" t="n">
        <v>73265</v>
      </c>
      <c r="J629" t="n">
        <v>79221</v>
      </c>
      <c r="K629" s="27">
        <f>(H629/D629-1)</f>
        <v/>
      </c>
      <c r="L629" s="27">
        <f>(I629/D629-1)</f>
        <v/>
      </c>
      <c r="M629" s="27">
        <f>(J629/D629-1)</f>
        <v/>
      </c>
      <c r="N629" t="n">
        <v>95</v>
      </c>
      <c r="O629" s="28">
        <f>(N629+F629)/2</f>
        <v/>
      </c>
      <c r="P629">
        <f>IF(O629="計算不能","計算不能",IF(O629&gt;=80,5,IF(O629&gt;=60,4,IF(O629&gt;=40,3,IF(O629&gt;=28,2,1)))))</f>
        <v/>
      </c>
      <c r="Q629" t="n">
        <v>17790</v>
      </c>
      <c r="R629" t="n">
        <v>3810</v>
      </c>
      <c r="S629" s="27">
        <f>R629/Q629</f>
        <v/>
      </c>
      <c r="T629" t="inlineStr">
        <is>
          <t>千代田区は2025年から2045年にかけて人口が約13.5%増と全国的にも希少な人口増トレンド。都市機能の集積と職住近接需要を背景に、単身・若年ファミリー層の流入が継続し、賃貸母数の拡大が見込める。【最新動向】コロナ後の都心回帰で人口集中が継続し、再開発も都内各所で進行。生産年齢人口の流入により賃貸母数は全国最大規模で底堅い。</t>
        </is>
      </c>
      <c r="U629" t="inlineStr">
        <is>
          <t>千代田区は人口密度5,677人/km²の高密度市街地で、駅近ワンルームからファミリー向けまで極めて強い賃貸実需が存在。資産流動性・出口戦略の容易さも高い。 借家の空室率は約21%とやや高めで、競合との差別化が必要。【最新動向】2025年は都心部で家賃が急騰し、23区の単身向け平均募集家賃は約12.6万円（前年比118.5%）と過去最高を更新。空室リスクは全国最小級で、資産流動性・賃貸実需ともに国内最強水準。</t>
        </is>
      </c>
      <c r="V629" t="inlineStr">
        <is>
          <t>千代田区（東京都）：荒川・多摩川の氾濫と東部低地の内水・高潮、臨海部の液状化、直下型地震の被害想定に最大級の留意。</t>
        </is>
      </c>
    </row>
    <row r="630">
      <c r="A630" t="inlineStr">
        <is>
          <t>東京都</t>
        </is>
      </c>
      <c r="B630" t="inlineStr">
        <is>
          <t>中央区</t>
        </is>
      </c>
      <c r="C630" t="n">
        <v>93270</v>
      </c>
      <c r="D630" t="n">
        <v>180892</v>
      </c>
      <c r="E630" s="6" t="n">
        <v>17817.6</v>
      </c>
      <c r="F630" s="7" t="n">
        <v>100</v>
      </c>
      <c r="G630" t="n">
        <v>169179</v>
      </c>
      <c r="H630" t="n">
        <v>180892</v>
      </c>
      <c r="I630" t="n">
        <v>190062</v>
      </c>
      <c r="J630" t="n">
        <v>208688</v>
      </c>
      <c r="K630" s="27">
        <f>(H630/D630-1)</f>
        <v/>
      </c>
      <c r="L630" s="27">
        <f>(I630/D630-1)</f>
        <v/>
      </c>
      <c r="M630" s="27">
        <f>(J630/D630-1)</f>
        <v/>
      </c>
      <c r="N630" t="n">
        <v>96.5</v>
      </c>
      <c r="O630" s="28">
        <f>(N630+F630)/2</f>
        <v/>
      </c>
      <c r="P630">
        <f>IF(O630="計算不能","計算不能",IF(O630&gt;=80,5,IF(O630&gt;=60,4,IF(O630&gt;=40,3,IF(O630&gt;=28,2,1)))))</f>
        <v/>
      </c>
      <c r="Q630" t="n">
        <v>48166</v>
      </c>
      <c r="R630" t="n">
        <v>5830</v>
      </c>
      <c r="S630" s="27">
        <f>R630/Q630</f>
        <v/>
      </c>
      <c r="T630" t="inlineStr">
        <is>
          <t>中央区は2025年から2045年にかけて人口が約15.4%増と全国的にも希少な人口増トレンド。都市機能の集積と職住近接需要を背景に、単身・若年ファミリー層の流入が継続し、賃貸母数の拡大が見込める。【最新動向】コロナ後の都心回帰で人口集中が継続し、再開発も都内各所で進行。生産年齢人口の流入により賃貸母数は全国最大規模で底堅い。</t>
        </is>
      </c>
      <c r="U630" t="inlineStr">
        <is>
          <t>中央区は人口密度17,818人/km²の高密度市街地で、駅近ワンルームからファミリー向けまで極めて強い賃貸実需が存在。資産流動性・出口戦略の容易さも高い。 借家の空室率は約12%と需給は比較的引き締まっている。【最新動向】2025年は都心部で家賃が急騰し、23区の単身向け平均募集家賃は約12.6万円（前年比118.5%）と過去最高を更新。空室リスクは全国最小級で、資産流動性・賃貸実需ともに国内最強水準。</t>
        </is>
      </c>
      <c r="V630" t="inlineStr">
        <is>
          <t>中央区（東京都）：荒川・多摩川の氾濫と東部低地の内水・高潮、臨海部の液状化、直下型地震の被害想定に最大級の留意。</t>
        </is>
      </c>
    </row>
    <row r="631">
      <c r="A631" t="inlineStr">
        <is>
          <t>東京都</t>
        </is>
      </c>
      <c r="B631" t="inlineStr">
        <is>
          <t>港区</t>
        </is>
      </c>
      <c r="C631" t="n">
        <v>147770</v>
      </c>
      <c r="D631" t="n">
        <v>269627</v>
      </c>
      <c r="E631" s="6" t="n">
        <v>13392</v>
      </c>
      <c r="F631" s="7" t="n">
        <v>100</v>
      </c>
      <c r="G631" t="n">
        <v>260486</v>
      </c>
      <c r="H631" t="n">
        <v>269627</v>
      </c>
      <c r="I631" t="n">
        <v>283075</v>
      </c>
      <c r="J631" t="n">
        <v>309348</v>
      </c>
      <c r="K631" s="27">
        <f>(H631/D631-1)</f>
        <v/>
      </c>
      <c r="L631" s="27">
        <f>(I631/D631-1)</f>
        <v/>
      </c>
      <c r="M631" s="27">
        <f>(J631/D631-1)</f>
        <v/>
      </c>
      <c r="N631" t="n">
        <v>93.3</v>
      </c>
      <c r="O631" s="28">
        <f>(N631+F631)/2</f>
        <v/>
      </c>
      <c r="P631">
        <f>IF(O631="計算不能","計算不能",IF(O631&gt;=80,5,IF(O631&gt;=60,4,IF(O631&gt;=40,3,IF(O631&gt;=28,2,1)))))</f>
        <v/>
      </c>
      <c r="Q631" t="n">
        <v>76310</v>
      </c>
      <c r="R631" t="n">
        <v>19090</v>
      </c>
      <c r="S631" s="27">
        <f>R631/Q631</f>
        <v/>
      </c>
      <c r="T631" t="inlineStr">
        <is>
          <t>港区は2025年から2045年にかけて人口が約14.7%増と全国的にも希少な人口増トレンド。都市機能の集積と職住近接需要を背景に、単身・若年ファミリー層の流入が継続し、賃貸母数の拡大が見込める。【最新動向】コロナ後の都心回帰で人口集中が継続し、再開発も都内各所で進行。生産年齢人口の流入により賃貸母数は全国最大規模で底堅い。</t>
        </is>
      </c>
      <c r="U631" t="inlineStr">
        <is>
          <t>港区は人口密度13,392人/km²の高密度市街地で、駅近ワンルームからファミリー向けまで極めて強い賃貸実需が存在。資産流動性・出口戦略の容易さも高い。 借家の空室率は約25%と供給過多気味で、空室長期化リスクに要警戒。【最新動向】2025年は都心部で家賃が急騰し、23区の単身向け平均募集家賃は約12.6万円（前年比118.5%）と過去最高を更新。空室リスクは全国最小級で、資産流動性・賃貸実需ともに国内最強水準。</t>
        </is>
      </c>
      <c r="V631" t="inlineStr">
        <is>
          <t>港区（東京都）：荒川・多摩川の氾濫と東部低地の内水・高潮、臨海部の液状化、直下型地震の被害想定に最大級の留意。</t>
        </is>
      </c>
    </row>
    <row r="632">
      <c r="A632" t="inlineStr">
        <is>
          <t>東京都</t>
        </is>
      </c>
      <c r="B632" t="inlineStr">
        <is>
          <t>新宿区</t>
        </is>
      </c>
      <c r="C632" t="n">
        <v>227840</v>
      </c>
      <c r="D632" t="n">
        <v>357875</v>
      </c>
      <c r="E632" s="6" t="n">
        <v>19848.2</v>
      </c>
      <c r="F632" s="7" t="n">
        <v>100</v>
      </c>
      <c r="G632" t="n">
        <v>349385</v>
      </c>
      <c r="H632" t="n">
        <v>357875</v>
      </c>
      <c r="I632" t="n">
        <v>362247</v>
      </c>
      <c r="J632" t="n">
        <v>367108</v>
      </c>
      <c r="K632" s="27">
        <f>(H632/D632-1)</f>
        <v/>
      </c>
      <c r="L632" s="27">
        <f>(I632/D632-1)</f>
        <v/>
      </c>
      <c r="M632" s="27">
        <f>(J632/D632-1)</f>
        <v/>
      </c>
      <c r="N632" t="n">
        <v>82.09999999999999</v>
      </c>
      <c r="O632" s="28">
        <f>(N632+F632)/2</f>
        <v/>
      </c>
      <c r="P632">
        <f>IF(O632="計算不能","計算不能",IF(O632&gt;=80,5,IF(O632&gt;=60,4,IF(O632&gt;=40,3,IF(O632&gt;=28,2,1)))))</f>
        <v/>
      </c>
      <c r="Q632" t="n">
        <v>117660</v>
      </c>
      <c r="R632" t="n">
        <v>26720</v>
      </c>
      <c r="S632" s="27">
        <f>R632/Q632</f>
        <v/>
      </c>
      <c r="T632" t="inlineStr">
        <is>
          <t>新宿区は2045年までの人口減少率が約2.6%と全国平均より緩やかで、概ね横ばいの安定推移。生産年齢人口の維持により、賃貸需要の急減リスクは相対的に低い。【最新動向】コロナ後の都心回帰で人口集中が継続し、再開発も都内各所で進行。生産年齢人口の流入により賃貸母数は全国最大規模で底堅い。</t>
        </is>
      </c>
      <c r="U632" t="inlineStr">
        <is>
          <t>新宿区は人口密度19,848人/km²の高密度市街地で、駅近ワンルームからファミリー向けまで極めて強い賃貸実需が存在。資産流動性・出口戦略の容易さも高い。 借家の空室率は約23%とやや高めで、競合との差別化が必要。【最新動向】2025年は都心部で家賃が急騰し、23区の単身向け平均募集家賃は約12.6万円（前年比118.5%）と過去最高を更新。空室リスクは全国最小級で、資産流動性・賃貸実需ともに国内最強水準。</t>
        </is>
      </c>
      <c r="V632" t="inlineStr">
        <is>
          <t>新宿区（東京都）：荒川・多摩川の氾濫と東部低地の内水・高潮、臨海部の液状化、直下型地震の被害想定に最大級の留意。</t>
        </is>
      </c>
    </row>
    <row r="633">
      <c r="A633" t="inlineStr">
        <is>
          <t>東京都</t>
        </is>
      </c>
      <c r="B633" t="inlineStr">
        <is>
          <t>文京区</t>
        </is>
      </c>
      <c r="C633" t="n">
        <v>133690</v>
      </c>
      <c r="D633" t="n">
        <v>250756</v>
      </c>
      <c r="E633" s="6" t="n">
        <v>22146.1</v>
      </c>
      <c r="F633" s="7" t="n">
        <v>100</v>
      </c>
      <c r="G633" t="n">
        <v>240069</v>
      </c>
      <c r="H633" t="n">
        <v>250756</v>
      </c>
      <c r="I633" t="n">
        <v>258335</v>
      </c>
      <c r="J633" t="n">
        <v>271302</v>
      </c>
      <c r="K633" s="27">
        <f>(H633/D633-1)</f>
        <v/>
      </c>
      <c r="L633" s="27">
        <f>(I633/D633-1)</f>
        <v/>
      </c>
      <c r="M633" s="27">
        <f>(J633/D633-1)</f>
        <v/>
      </c>
      <c r="N633" t="n">
        <v>90.40000000000001</v>
      </c>
      <c r="O633" s="28">
        <f>(N633+F633)/2</f>
        <v/>
      </c>
      <c r="P633">
        <f>IF(O633="計算不能","計算不能",IF(O633&gt;=80,5,IF(O633&gt;=60,4,IF(O633&gt;=40,3,IF(O633&gt;=28,2,1)))))</f>
        <v/>
      </c>
      <c r="Q633" t="n">
        <v>69039</v>
      </c>
      <c r="R633" t="n">
        <v>7860</v>
      </c>
      <c r="S633" s="27">
        <f>R633/Q633</f>
        <v/>
      </c>
      <c r="T633" t="inlineStr">
        <is>
          <t>文京区は2025年から2045年にかけて人口が約8.2%増と全国的にも希少な人口増トレンド。都市機能の集積と職住近接需要を背景に、単身・若年ファミリー層の流入が継続し、賃貸母数の拡大が見込める。【最新動向】コロナ後の都心回帰で人口集中が継続し、再開発も都内各所で進行。生産年齢人口の流入により賃貸母数は全国最大規模で底堅い。</t>
        </is>
      </c>
      <c r="U633" t="inlineStr">
        <is>
          <t>文京区は人口密度22,146人/km²の高密度市街地で、駅近ワンルームからファミリー向けまで極めて強い賃貸実需が存在。資産流動性・出口戦略の容易さも高い。 借家の空室率は約11%と需給は比較的引き締まっている。【最新動向】2025年は都心部で家賃が急騰し、23区の単身向け平均募集家賃は約12.6万円（前年比118.5%）と過去最高を更新。空室リスクは全国最小級で、資産流動性・賃貸実需ともに国内最強水準。</t>
        </is>
      </c>
      <c r="V633" t="inlineStr">
        <is>
          <t>文京区（東京都）：荒川・多摩川の氾濫と東部低地の内水・高潮、臨海部の液状化、直下型地震の被害想定に最大級の留意。</t>
        </is>
      </c>
    </row>
    <row r="634">
      <c r="A634" t="inlineStr">
        <is>
          <t>東京都</t>
        </is>
      </c>
      <c r="B634" t="inlineStr">
        <is>
          <t>台東区</t>
        </is>
      </c>
      <c r="C634" t="n">
        <v>127460</v>
      </c>
      <c r="D634" t="n">
        <v>221041</v>
      </c>
      <c r="E634" s="6" t="n">
        <v>22590.5</v>
      </c>
      <c r="F634" s="7" t="n">
        <v>100</v>
      </c>
      <c r="G634" t="n">
        <v>211444</v>
      </c>
      <c r="H634" t="n">
        <v>221041</v>
      </c>
      <c r="I634" t="n">
        <v>228076</v>
      </c>
      <c r="J634" t="n">
        <v>242867</v>
      </c>
      <c r="K634" s="27">
        <f>(H634/D634-1)</f>
        <v/>
      </c>
      <c r="L634" s="27">
        <f>(I634/D634-1)</f>
        <v/>
      </c>
      <c r="M634" s="27">
        <f>(J634/D634-1)</f>
        <v/>
      </c>
      <c r="N634" t="n">
        <v>91.59999999999999</v>
      </c>
      <c r="O634" s="28">
        <f>(N634+F634)/2</f>
        <v/>
      </c>
      <c r="P634">
        <f>IF(O634="計算不能","計算不能",IF(O634&gt;=80,5,IF(O634&gt;=60,4,IF(O634&gt;=40,3,IF(O634&gt;=28,2,1)))))</f>
        <v/>
      </c>
      <c r="Q634" t="n">
        <v>65822</v>
      </c>
      <c r="R634" t="n">
        <v>4650</v>
      </c>
      <c r="S634" s="27">
        <f>R634/Q634</f>
        <v/>
      </c>
      <c r="T634" t="inlineStr">
        <is>
          <t>台東区は2025年から2045年にかけて人口が約9.9%増と全国的にも希少な人口増トレンド。都市機能の集積と職住近接需要を背景に、単身・若年ファミリー層の流入が継続し、賃貸母数の拡大が見込める。【最新動向】コロナ後の都心回帰で人口集中が継続し、再開発も都内各所で進行。生産年齢人口の流入により賃貸母数は全国最大規模で底堅い。</t>
        </is>
      </c>
      <c r="U634" t="inlineStr">
        <is>
          <t>台東区は人口密度22,590人/km²の高密度市街地で、駅近ワンルームからファミリー向けまで極めて強い賃貸実需が存在。資産流動性・出口戦略の容易さも高い。 借家の空室率は約7%と需給は比較的引き締まっている。【最新動向】2025年は都心部で家賃が急騰し、23区の単身向け平均募集家賃は約12.6万円（前年比118.5%）と過去最高を更新。空室リスクは全国最小級で、資産流動性・賃貸実需ともに国内最強水準。</t>
        </is>
      </c>
      <c r="V634" t="inlineStr">
        <is>
          <t>台東区（東京都）：荒川・多摩川の氾濫と東部低地の内水・高潮、臨海部の液状化、直下型地震の被害想定に最大級の留意。</t>
        </is>
      </c>
    </row>
    <row r="635">
      <c r="A635" t="inlineStr">
        <is>
          <t>東京都</t>
        </is>
      </c>
      <c r="B635" t="inlineStr">
        <is>
          <t>墨田区</t>
        </is>
      </c>
      <c r="C635" t="n">
        <v>153700</v>
      </c>
      <c r="D635" t="n">
        <v>280430</v>
      </c>
      <c r="E635" s="6" t="n">
        <v>20711.9</v>
      </c>
      <c r="F635" s="7" t="n">
        <v>100</v>
      </c>
      <c r="G635" t="n">
        <v>272085</v>
      </c>
      <c r="H635" t="n">
        <v>280430</v>
      </c>
      <c r="I635" t="n">
        <v>286049</v>
      </c>
      <c r="J635" t="n">
        <v>296865</v>
      </c>
      <c r="K635" s="27">
        <f>(H635/D635-1)</f>
        <v/>
      </c>
      <c r="L635" s="27">
        <f>(I635/D635-1)</f>
        <v/>
      </c>
      <c r="M635" s="27">
        <f>(J635/D635-1)</f>
        <v/>
      </c>
      <c r="N635" t="n">
        <v>85.59999999999999</v>
      </c>
      <c r="O635" s="28">
        <f>(N635+F635)/2</f>
        <v/>
      </c>
      <c r="P635">
        <f>IF(O635="計算不能","計算不能",IF(O635&gt;=80,5,IF(O635&gt;=60,4,IF(O635&gt;=40,3,IF(O635&gt;=28,2,1)))))</f>
        <v/>
      </c>
      <c r="Q635" t="n">
        <v>79373</v>
      </c>
      <c r="R635" t="n">
        <v>15560</v>
      </c>
      <c r="S635" s="27">
        <f>R635/Q635</f>
        <v/>
      </c>
      <c r="T635" t="inlineStr">
        <is>
          <t>墨田区は2025年から2045年にかけて人口が約5.9%増と全国的にも希少な人口増トレンド。都市機能の集積と職住近接需要を背景に、単身・若年ファミリー層の流入が継続し、賃貸母数の拡大が見込める。【最新動向】コロナ後の都心回帰で人口集中が継続し、再開発も都内各所で進行。生産年齢人口の流入により賃貸母数は全国最大規模で底堅い。</t>
        </is>
      </c>
      <c r="U635" t="inlineStr">
        <is>
          <t>墨田区は人口密度20,712人/km²の高密度市街地で、駅近ワンルームからファミリー向けまで極めて強い賃貸実需が存在。資産流動性・出口戦略の容易さも高い。 借家の空室率は約20%とやや高めで、競合との差別化が必要。【最新動向】2025年は都心部で家賃が急騰し、23区の単身向け平均募集家賃は約12.6万円（前年比118.5%）と過去最高を更新。空室リスクは全国最小級で、資産流動性・賃貸実需ともに国内最強水準。</t>
        </is>
      </c>
      <c r="V635" t="inlineStr">
        <is>
          <t>墨田区（東京都）：荒川・多摩川の氾濫と東部低地の内水・高潮、臨海部の液状化、直下型地震の被害想定に最大級の留意。</t>
        </is>
      </c>
    </row>
    <row r="636">
      <c r="A636" t="inlineStr">
        <is>
          <t>東京都</t>
        </is>
      </c>
      <c r="B636" t="inlineStr">
        <is>
          <t>江東区</t>
        </is>
      </c>
      <c r="C636" t="n">
        <v>272290</v>
      </c>
      <c r="D636" t="n">
        <v>547596</v>
      </c>
      <c r="E636" s="6" t="n">
        <v>12871.8</v>
      </c>
      <c r="F636" s="7" t="n">
        <v>100</v>
      </c>
      <c r="G636" t="n">
        <v>524310</v>
      </c>
      <c r="H636" t="n">
        <v>547596</v>
      </c>
      <c r="I636" t="n">
        <v>563118</v>
      </c>
      <c r="J636" t="n">
        <v>590461</v>
      </c>
      <c r="K636" s="27">
        <f>(H636/D636-1)</f>
        <v/>
      </c>
      <c r="L636" s="27">
        <f>(I636/D636-1)</f>
        <v/>
      </c>
      <c r="M636" s="27">
        <f>(J636/D636-1)</f>
        <v/>
      </c>
      <c r="N636" t="n">
        <v>90</v>
      </c>
      <c r="O636" s="28">
        <f>(N636+F636)/2</f>
        <v/>
      </c>
      <c r="P636">
        <f>IF(O636="計算不能","計算不能",IF(O636&gt;=80,5,IF(O636&gt;=60,4,IF(O636&gt;=40,3,IF(O636&gt;=28,2,1)))))</f>
        <v/>
      </c>
      <c r="Q636" t="n">
        <v>140614</v>
      </c>
      <c r="R636" t="n">
        <v>17090</v>
      </c>
      <c r="S636" s="27">
        <f>R636/Q636</f>
        <v/>
      </c>
      <c r="T636" t="inlineStr">
        <is>
          <t>江東区は2025年から2045年にかけて人口が約7.8%増と全国的にも希少な人口増トレンド。都市機能の集積と職住近接需要を背景に、単身・若年ファミリー層の流入が継続し、賃貸母数の拡大が見込める。【最新動向】コロナ後の都心回帰で人口集中が継続し、再開発も都内各所で進行。生産年齢人口の流入により賃貸母数は全国最大規模で底堅い。</t>
        </is>
      </c>
      <c r="U636" t="inlineStr">
        <is>
          <t>江東区は人口密度12,872人/km²の高密度市街地で、駅近ワンルームからファミリー向けまで極めて強い賃貸実需が存在。資産流動性・出口戦略の容易さも高い。 借家の空室率は約12%と需給は比較的引き締まっている。【最新動向】2025年は都心部で家賃が急騰し、23区の単身向け平均募集家賃は約12.6万円（前年比118.5%）と過去最高を更新。空室リスクは全国最小級で、資産流動性・賃貸実需ともに国内最強水準。</t>
        </is>
      </c>
      <c r="V636" t="inlineStr">
        <is>
          <t>江東区（東京都）：荒川・多摩川の氾濫と東部低地の内水・高潮、臨海部の液状化、直下型地震の被害想定に最大級の留意。</t>
        </is>
      </c>
    </row>
    <row r="637">
      <c r="A637" t="inlineStr">
        <is>
          <t>東京都</t>
        </is>
      </c>
      <c r="B637" t="inlineStr">
        <is>
          <t>品川区</t>
        </is>
      </c>
      <c r="C637" t="n">
        <v>237460</v>
      </c>
      <c r="D637" t="n">
        <v>427526</v>
      </c>
      <c r="E637" s="6" t="n">
        <v>18661</v>
      </c>
      <c r="F637" s="7" t="n">
        <v>100</v>
      </c>
      <c r="G637" t="n">
        <v>422488</v>
      </c>
      <c r="H637" t="n">
        <v>427526</v>
      </c>
      <c r="I637" t="n">
        <v>441295</v>
      </c>
      <c r="J637" t="n">
        <v>464266</v>
      </c>
      <c r="K637" s="27">
        <f>(H637/D637-1)</f>
        <v/>
      </c>
      <c r="L637" s="27">
        <f>(I637/D637-1)</f>
        <v/>
      </c>
      <c r="M637" s="27">
        <f>(J637/D637-1)</f>
        <v/>
      </c>
      <c r="N637" t="n">
        <v>84</v>
      </c>
      <c r="O637" s="28">
        <f>(N637+F637)/2</f>
        <v/>
      </c>
      <c r="P637">
        <f>IF(O637="計算不能","計算不能",IF(O637&gt;=80,5,IF(O637&gt;=60,4,IF(O637&gt;=40,3,IF(O637&gt;=28,2,1)))))</f>
        <v/>
      </c>
      <c r="Q637" t="n">
        <v>122628</v>
      </c>
      <c r="R637" t="n">
        <v>19400</v>
      </c>
      <c r="S637" s="27">
        <f>R637/Q637</f>
        <v/>
      </c>
      <c r="T637" t="inlineStr">
        <is>
          <t>品川区は2025年から2045年にかけて人口が約8.6%増と全国的にも希少な人口増トレンド。都市機能の集積と職住近接需要を背景に、単身・若年ファミリー層の流入が継続し、賃貸母数の拡大が見込める。【最新動向】コロナ後の都心回帰で人口集中が継続し、再開発も都内各所で進行。生産年齢人口の流入により賃貸母数は全国最大規模で底堅い。</t>
        </is>
      </c>
      <c r="U637" t="inlineStr">
        <is>
          <t>品川区は人口密度18,661人/km²の高密度市街地で、駅近ワンルームからファミリー向けまで極めて強い賃貸実需が存在。資産流動性・出口戦略の容易さも高い。 借家の空室率は約16%と需給は比較的引き締まっている。【最新動向】2025年は都心部で家賃が急騰し、23区の単身向け平均募集家賃は約12.6万円（前年比118.5%）と過去最高を更新。空室リスクは全国最小級で、資産流動性・賃貸実需ともに国内最強水準。</t>
        </is>
      </c>
      <c r="V637" t="inlineStr">
        <is>
          <t>品川区（東京都）：荒川・多摩川の氾濫と東部低地の内水・高潮、臨海部の液状化、直下型地震の被害想定に最大級の留意。</t>
        </is>
      </c>
    </row>
    <row r="638">
      <c r="A638" t="inlineStr">
        <is>
          <t>東京都</t>
        </is>
      </c>
      <c r="B638" t="inlineStr">
        <is>
          <t>目黒区</t>
        </is>
      </c>
      <c r="C638" t="n">
        <v>151970</v>
      </c>
      <c r="D638" t="n">
        <v>286311</v>
      </c>
      <c r="E638" s="6" t="n">
        <v>19527.5</v>
      </c>
      <c r="F638" s="7" t="n">
        <v>100</v>
      </c>
      <c r="G638" t="n">
        <v>288088</v>
      </c>
      <c r="H638" t="n">
        <v>286311</v>
      </c>
      <c r="I638" t="n">
        <v>290779</v>
      </c>
      <c r="J638" t="n">
        <v>299239</v>
      </c>
      <c r="K638" s="27">
        <f>(H638/D638-1)</f>
        <v/>
      </c>
      <c r="L638" s="27">
        <f>(I638/D638-1)</f>
        <v/>
      </c>
      <c r="M638" s="27">
        <f>(J638/D638-1)</f>
        <v/>
      </c>
      <c r="N638" t="n">
        <v>77.09999999999999</v>
      </c>
      <c r="O638" s="28">
        <f>(N638+F638)/2</f>
        <v/>
      </c>
      <c r="P638">
        <f>IF(O638="計算不能","計算不能",IF(O638&gt;=80,5,IF(O638&gt;=60,4,IF(O638&gt;=40,3,IF(O638&gt;=28,2,1)))))</f>
        <v/>
      </c>
      <c r="Q638" t="n">
        <v>78479</v>
      </c>
      <c r="R638" t="n">
        <v>14060</v>
      </c>
      <c r="S638" s="27">
        <f>R638/Q638</f>
        <v/>
      </c>
      <c r="T638" t="inlineStr">
        <is>
          <t>目黒区は2025年から2045年にかけて人口が約4.5%増と全国的にも希少な人口増トレンド。都市機能の集積と職住近接需要を背景に、単身・若年ファミリー層の流入が継続し、賃貸母数の拡大が見込める。【最新動向】コロナ後の都心回帰で人口集中が継続し、再開発も都内各所で進行。生産年齢人口の流入により賃貸母数は全国最大規模で底堅い。</t>
        </is>
      </c>
      <c r="U638" t="inlineStr">
        <is>
          <t>目黒区は人口密度19,528人/km²の高密度市街地で、駅近ワンルームからファミリー向けまで極めて強い賃貸実需が存在。資産流動性・出口戦略の容易さも高い。 借家の空室率は約18%と需給は比較的引き締まっている。【最新動向】2025年は都心部で家賃が急騰し、23区の単身向け平均募集家賃は約12.6万円（前年比118.5%）と過去最高を更新。空室リスクは全国最小級で、資産流動性・賃貸実需ともに国内最強水準。</t>
        </is>
      </c>
      <c r="V638" t="inlineStr">
        <is>
          <t>目黒区（東京都）：荒川・多摩川の氾濫と東部低地の内水・高潮、臨海部の液状化、直下型地震の被害想定に最大級の留意。</t>
        </is>
      </c>
    </row>
    <row r="639">
      <c r="A639" t="inlineStr">
        <is>
          <t>東京都</t>
        </is>
      </c>
      <c r="B639" t="inlineStr">
        <is>
          <t>大田区</t>
        </is>
      </c>
      <c r="C639" t="n">
        <v>400630</v>
      </c>
      <c r="D639" t="n">
        <v>749353</v>
      </c>
      <c r="E639" s="6" t="n">
        <v>12276.3</v>
      </c>
      <c r="F639" s="7" t="n">
        <v>100</v>
      </c>
      <c r="G639" t="n">
        <v>748081</v>
      </c>
      <c r="H639" t="n">
        <v>749353</v>
      </c>
      <c r="I639" t="n">
        <v>758874</v>
      </c>
      <c r="J639" t="n">
        <v>771509</v>
      </c>
      <c r="K639" s="27">
        <f>(H639/D639-1)</f>
        <v/>
      </c>
      <c r="L639" s="27">
        <f>(I639/D639-1)</f>
        <v/>
      </c>
      <c r="M639" s="27">
        <f>(J639/D639-1)</f>
        <v/>
      </c>
      <c r="N639" t="n">
        <v>77.7</v>
      </c>
      <c r="O639" s="28">
        <f>(N639+F639)/2</f>
        <v/>
      </c>
      <c r="P639">
        <f>IF(O639="計算不能","計算不能",IF(O639&gt;=80,5,IF(O639&gt;=60,4,IF(O639&gt;=40,3,IF(O639&gt;=28,2,1)))))</f>
        <v/>
      </c>
      <c r="Q639" t="n">
        <v>206891</v>
      </c>
      <c r="R639" t="n">
        <v>37490</v>
      </c>
      <c r="S639" s="27">
        <f>R639/Q639</f>
        <v/>
      </c>
      <c r="T639" t="inlineStr">
        <is>
          <t>大田区は2045年までの人口減少率が約3.0%と全国平均より緩やかで、概ね横ばいの安定推移。生産年齢人口の維持により、賃貸需要の急減リスクは相対的に低い。【最新動向】コロナ後の都心回帰で人口集中が継続し、再開発も都内各所で進行。生産年齢人口の流入により賃貸母数は全国最大規模で底堅い。</t>
        </is>
      </c>
      <c r="U639" t="inlineStr">
        <is>
          <t>大田区は人口密度12,276人/km²の高密度市街地で、駅近ワンルームからファミリー向けまで極めて強い賃貸実需が存在。資産流動性・出口戦略の容易さも高い。 借家の空室率は約18%とやや高めで、競合との差別化が必要。【最新動向】2025年は都心部で家賃が急騰し、23区の単身向け平均募集家賃は約12.6万円（前年比118.5%）と過去最高を更新。空室リスクは全国最小級で、資産流動性・賃貸実需ともに国内最強水準。</t>
        </is>
      </c>
      <c r="V639" t="inlineStr">
        <is>
          <t>大田区（東京都）：荒川・多摩川の氾濫と東部低地の内水・高潮、臨海部の液状化、直下型地震の被害想定に最大級の留意。</t>
        </is>
      </c>
    </row>
    <row r="640">
      <c r="A640" t="inlineStr">
        <is>
          <t>東京都</t>
        </is>
      </c>
      <c r="B640" t="inlineStr">
        <is>
          <t>世田谷区</t>
        </is>
      </c>
      <c r="C640" t="n">
        <v>484340</v>
      </c>
      <c r="D640" t="n">
        <v>946010</v>
      </c>
      <c r="E640" s="6" t="n">
        <v>16479</v>
      </c>
      <c r="F640" s="7" t="n">
        <v>100</v>
      </c>
      <c r="G640" t="n">
        <v>943664</v>
      </c>
      <c r="H640" t="n">
        <v>946010</v>
      </c>
      <c r="I640" t="n">
        <v>964718</v>
      </c>
      <c r="J640" t="n">
        <v>989492</v>
      </c>
      <c r="K640" s="27">
        <f>(H640/D640-1)</f>
        <v/>
      </c>
      <c r="L640" s="27">
        <f>(I640/D640-1)</f>
        <v/>
      </c>
      <c r="M640" s="27">
        <f>(J640/D640-1)</f>
        <v/>
      </c>
      <c r="N640" t="n">
        <v>79.2</v>
      </c>
      <c r="O640" s="28">
        <f>(N640+F640)/2</f>
        <v/>
      </c>
      <c r="P640">
        <f>IF(O640="計算不能","計算不能",IF(O640&gt;=80,5,IF(O640&gt;=60,4,IF(O640&gt;=40,3,IF(O640&gt;=28,2,1)))))</f>
        <v/>
      </c>
      <c r="Q640" t="n">
        <v>250120</v>
      </c>
      <c r="R640" t="n">
        <v>32750</v>
      </c>
      <c r="S640" s="27">
        <f>R640/Q640</f>
        <v/>
      </c>
      <c r="T640" t="inlineStr">
        <is>
          <t>世田谷区は2025年から2045年にかけて人口が約4.6%増と全国的にも希少な人口増トレンド。都市機能の集積と職住近接需要を背景に、単身・若年ファミリー層の流入が継続し、賃貸母数の拡大が見込める。【最新動向】コロナ後の都心回帰で人口集中が継続し、再開発も都内各所で進行。生産年齢人口の流入により賃貸母数は全国最大規模で底堅い。</t>
        </is>
      </c>
      <c r="U640" t="inlineStr">
        <is>
          <t>世田谷区は人口密度16,479人/km²の高密度市街地で、駅近ワンルームからファミリー向けまで極めて強い賃貸実需が存在。資産流動性・出口戦略の容易さも高い。 借家の空室率は約13%と需給は比較的引き締まっている。【最新動向】2025年は都心部で家賃が急騰し、23区の単身向け平均募集家賃は約12.6万円（前年比118.5%）と過去最高を更新。空室リスクは全国最小級で、資産流動性・賃貸実需ともに国内最強水準。</t>
        </is>
      </c>
      <c r="V640" t="inlineStr">
        <is>
          <t>世田谷区（東京都）：荒川・多摩川の氾濫と東部低地の内水・高潮、臨海部の液状化、直下型地震の被害想定に最大級の留意。</t>
        </is>
      </c>
    </row>
    <row r="641">
      <c r="A641" t="inlineStr">
        <is>
          <t>東京都</t>
        </is>
      </c>
      <c r="B641" t="inlineStr">
        <is>
          <t>渋谷区</t>
        </is>
      </c>
      <c r="C641" t="n">
        <v>150540</v>
      </c>
      <c r="D641" t="n">
        <v>247231</v>
      </c>
      <c r="E641" s="6" t="n">
        <v>15825.2</v>
      </c>
      <c r="F641" s="7" t="n">
        <v>100</v>
      </c>
      <c r="G641" t="n">
        <v>243883</v>
      </c>
      <c r="H641" t="n">
        <v>247231</v>
      </c>
      <c r="I641" t="n">
        <v>253994</v>
      </c>
      <c r="J641" t="n">
        <v>266946</v>
      </c>
      <c r="K641" s="27">
        <f>(H641/D641-1)</f>
        <v/>
      </c>
      <c r="L641" s="27">
        <f>(I641/D641-1)</f>
        <v/>
      </c>
      <c r="M641" s="27">
        <f>(J641/D641-1)</f>
        <v/>
      </c>
      <c r="N641" t="n">
        <v>83.7</v>
      </c>
      <c r="O641" s="28">
        <f>(N641+F641)/2</f>
        <v/>
      </c>
      <c r="P641">
        <f>IF(O641="計算不能","計算不能",IF(O641&gt;=80,5,IF(O641&gt;=60,4,IF(O641&gt;=40,3,IF(O641&gt;=28,2,1)))))</f>
        <v/>
      </c>
      <c r="Q641" t="n">
        <v>77741</v>
      </c>
      <c r="R641" t="n">
        <v>17000</v>
      </c>
      <c r="S641" s="27">
        <f>R641/Q641</f>
        <v/>
      </c>
      <c r="T641" t="inlineStr">
        <is>
          <t>渋谷区は2025年から2045年にかけて人口が約8.0%増と全国的にも希少な人口増トレンド。都市機能の集積と職住近接需要を背景に、単身・若年ファミリー層の流入が継続し、賃貸母数の拡大が見込める。【最新動向】コロナ後の都心回帰で人口集中が継続し、再開発も都内各所で進行。生産年齢人口の流入により賃貸母数は全国最大規模で底堅い。</t>
        </is>
      </c>
      <c r="U641" t="inlineStr">
        <is>
          <t>渋谷区は人口密度15,825人/km²の高密度市街地で、駅近ワンルームからファミリー向けまで極めて強い賃貸実需が存在。資産流動性・出口戦略の容易さも高い。 借家の空室率は約22%とやや高めで、競合との差別化が必要。【最新動向】2025年は都心部で家賃が急騰し、23区の単身向け平均募集家賃は約12.6万円（前年比118.5%）と過去最高を更新。空室リスクは全国最小級で、資産流動性・賃貸実需ともに国内最強水準。</t>
        </is>
      </c>
      <c r="V641" t="inlineStr">
        <is>
          <t>渋谷区（東京都）：荒川・多摩川の氾濫と東部低地の内水・高潮、臨海部の液状化、直下型地震の被害想定に最大級の留意。</t>
        </is>
      </c>
    </row>
    <row r="642">
      <c r="A642" t="inlineStr">
        <is>
          <t>東京都</t>
        </is>
      </c>
      <c r="B642" t="inlineStr">
        <is>
          <t>中野区</t>
        </is>
      </c>
      <c r="C642" t="n">
        <v>207580</v>
      </c>
      <c r="D642" t="n">
        <v>352892</v>
      </c>
      <c r="E642" s="6" t="n">
        <v>22792.4</v>
      </c>
      <c r="F642" s="7" t="n">
        <v>100</v>
      </c>
      <c r="G642" t="n">
        <v>344880</v>
      </c>
      <c r="H642" t="n">
        <v>352892</v>
      </c>
      <c r="I642" t="n">
        <v>357060</v>
      </c>
      <c r="J642" t="n">
        <v>364143</v>
      </c>
      <c r="K642" s="27">
        <f>(H642/D642-1)</f>
        <v/>
      </c>
      <c r="L642" s="27">
        <f>(I642/D642-1)</f>
        <v/>
      </c>
      <c r="M642" s="27">
        <f>(J642/D642-1)</f>
        <v/>
      </c>
      <c r="N642" t="n">
        <v>82.09999999999999</v>
      </c>
      <c r="O642" s="28">
        <f>(N642+F642)/2</f>
        <v/>
      </c>
      <c r="P642">
        <f>IF(O642="計算不能","計算不能",IF(O642&gt;=80,5,IF(O642&gt;=60,4,IF(O642&gt;=40,3,IF(O642&gt;=28,2,1)))))</f>
        <v/>
      </c>
      <c r="Q642" t="n">
        <v>107197</v>
      </c>
      <c r="R642" t="n">
        <v>24690</v>
      </c>
      <c r="S642" s="27">
        <f>R642/Q642</f>
        <v/>
      </c>
      <c r="T642" t="inlineStr">
        <is>
          <t>中野区は2025年から2045年にかけて人口が約3.2%増と全国的にも希少な人口増トレンド。都市機能の集積と職住近接需要を背景に、単身・若年ファミリー層の流入が継続し、賃貸母数の拡大が見込める。【最新動向】コロナ後の都心回帰で人口集中が継続し、再開発も都内各所で進行。生産年齢人口の流入により賃貸母数は全国最大規模で底堅い。</t>
        </is>
      </c>
      <c r="U642" t="inlineStr">
        <is>
          <t>中野区は人口密度22,792人/km²の高密度市街地で、駅近ワンルームからファミリー向けまで極めて強い賃貸実需が存在。資産流動性・出口戦略の容易さも高い。 借家の空室率は約23%とやや高めで、競合との差別化が必要。【最新動向】2025年は都心部で家賃が急騰し、23区の単身向け平均募集家賃は約12.6万円（前年比118.5%）と過去最高を更新。空室リスクは全国最小級で、資産流動性・賃貸実需ともに国内最強水準。</t>
        </is>
      </c>
      <c r="V642" t="inlineStr">
        <is>
          <t>中野区（東京都）：荒川・多摩川の氾濫と東部低地の内水・高潮、臨海部の液状化、直下型地震の被害想定に最大級の留意。</t>
        </is>
      </c>
    </row>
    <row r="643">
      <c r="A643" t="inlineStr">
        <is>
          <t>東京都</t>
        </is>
      </c>
      <c r="B643" t="inlineStr">
        <is>
          <t>杉並区</t>
        </is>
      </c>
      <c r="C643" t="n">
        <v>330980</v>
      </c>
      <c r="D643" t="n">
        <v>589517</v>
      </c>
      <c r="E643" s="6" t="n">
        <v>17544.5</v>
      </c>
      <c r="F643" s="7" t="n">
        <v>100</v>
      </c>
      <c r="G643" t="n">
        <v>591108</v>
      </c>
      <c r="H643" t="n">
        <v>589517</v>
      </c>
      <c r="I643" t="n">
        <v>601096</v>
      </c>
      <c r="J643" t="n">
        <v>620662</v>
      </c>
      <c r="K643" s="27">
        <f>(H643/D643-1)</f>
        <v/>
      </c>
      <c r="L643" s="27">
        <f>(I643/D643-1)</f>
        <v/>
      </c>
      <c r="M643" s="27">
        <f>(J643/D643-1)</f>
        <v/>
      </c>
      <c r="N643" t="n">
        <v>78.5</v>
      </c>
      <c r="O643" s="28">
        <f>(N643+F643)/2</f>
        <v/>
      </c>
      <c r="P643">
        <f>IF(O643="計算不能","計算不能",IF(O643&gt;=80,5,IF(O643&gt;=60,4,IF(O643&gt;=40,3,IF(O643&gt;=28,2,1)))))</f>
        <v/>
      </c>
      <c r="Q643" t="n">
        <v>170923</v>
      </c>
      <c r="R643" t="n">
        <v>26430</v>
      </c>
      <c r="S643" s="27">
        <f>R643/Q643</f>
        <v/>
      </c>
      <c r="T643" t="inlineStr">
        <is>
          <t>杉並区は2025年から2045年にかけて人口が約5.3%増と全国的にも希少な人口増トレンド。都市機能の集積と職住近接需要を背景に、単身・若年ファミリー層の流入が継続し、賃貸母数の拡大が見込める。【最新動向】コロナ後の都心回帰で人口集中が継続し、再開発も都内各所で進行。生産年齢人口の流入により賃貸母数は全国最大規模で底堅い。</t>
        </is>
      </c>
      <c r="U643" t="inlineStr">
        <is>
          <t>杉並区は人口密度17,544人/km²の高密度市街地で、駅近ワンルームからファミリー向けまで極めて強い賃貸実需が存在。資産流動性・出口戦略の容易さも高い。 借家の空室率は約15%と需給は比較的引き締まっている。【最新動向】2025年は都心部で家賃が急騰し、23区の単身向け平均募集家賃は約12.6万円（前年比118.5%）と過去最高を更新。空室リスクは全国最小級で、資産流動性・賃貸実需ともに国内最強水準。</t>
        </is>
      </c>
      <c r="V643" t="inlineStr">
        <is>
          <t>杉並区（東京都）：荒川・多摩川の氾濫と東部低地の内水・高潮、臨海部の液状化、直下型地震の被害想定に最大級の留意。</t>
        </is>
      </c>
    </row>
    <row r="644">
      <c r="A644" t="inlineStr">
        <is>
          <t>東京都</t>
        </is>
      </c>
      <c r="B644" t="inlineStr">
        <is>
          <t>豊島区</t>
        </is>
      </c>
      <c r="C644" t="n">
        <v>184210</v>
      </c>
      <c r="D644" t="n">
        <v>308478</v>
      </c>
      <c r="E644" s="6" t="n">
        <v>23528.5</v>
      </c>
      <c r="F644" s="7" t="n">
        <v>100</v>
      </c>
      <c r="G644" t="n">
        <v>301599</v>
      </c>
      <c r="H644" t="n">
        <v>308478</v>
      </c>
      <c r="I644" t="n">
        <v>317153</v>
      </c>
      <c r="J644" t="n">
        <v>330009</v>
      </c>
      <c r="K644" s="27">
        <f>(H644/D644-1)</f>
        <v/>
      </c>
      <c r="L644" s="27">
        <f>(I644/D644-1)</f>
        <v/>
      </c>
      <c r="M644" s="27">
        <f>(J644/D644-1)</f>
        <v/>
      </c>
      <c r="N644" t="n">
        <v>85.09999999999999</v>
      </c>
      <c r="O644" s="28">
        <f>(N644+F644)/2</f>
        <v/>
      </c>
      <c r="P644">
        <f>IF(O644="計算不能","計算不能",IF(O644&gt;=80,5,IF(O644&gt;=60,4,IF(O644&gt;=40,3,IF(O644&gt;=28,2,1)))))</f>
        <v/>
      </c>
      <c r="Q644" t="n">
        <v>95128</v>
      </c>
      <c r="R644" t="n">
        <v>26150</v>
      </c>
      <c r="S644" s="27">
        <f>R644/Q644</f>
        <v/>
      </c>
      <c r="T644" t="inlineStr">
        <is>
          <t>豊島区は2025年から2045年にかけて人口が約7.0%増と全国的にも希少な人口増トレンド。都市機能の集積と職住近接需要を背景に、単身・若年ファミリー層の流入が継続し、賃貸母数の拡大が見込める。【最新動向】コロナ後の都心回帰で人口集中が継続し、再開発も都内各所で進行。生産年齢人口の流入により賃貸母数は全国最大規模で底堅い。</t>
        </is>
      </c>
      <c r="U644" t="inlineStr">
        <is>
          <t>豊島区は人口密度23,528人/km²の高密度市街地で、駅近ワンルームからファミリー向けまで極めて強い賃貸実需が存在。資産流動性・出口戦略の容易さも高い。 借家の空室率は約27%と供給過多気味で、空室長期化リスクに要警戒。【最新動向】2025年は都心部で家賃が急騰し、23区の単身向け平均募集家賃は約12.6万円（前年比118.5%）と過去最高を更新。空室リスクは全国最小級で、資産流動性・賃貸実需ともに国内最強水準。</t>
        </is>
      </c>
      <c r="V644" t="inlineStr">
        <is>
          <t>豊島区（東京都）：荒川・多摩川の氾濫と東部低地の内水・高潮、臨海部の液状化、直下型地震の被害想定に最大級の留意。</t>
        </is>
      </c>
    </row>
    <row r="645">
      <c r="A645" t="inlineStr">
        <is>
          <t>東京都</t>
        </is>
      </c>
      <c r="B645" t="inlineStr">
        <is>
          <t>北区</t>
        </is>
      </c>
      <c r="C645" t="n">
        <v>189630</v>
      </c>
      <c r="D645" t="n">
        <v>355639</v>
      </c>
      <c r="E645" s="6" t="n">
        <v>17869.5</v>
      </c>
      <c r="F645" s="7" t="n">
        <v>100</v>
      </c>
      <c r="G645" t="n">
        <v>355213</v>
      </c>
      <c r="H645" t="n">
        <v>355639</v>
      </c>
      <c r="I645" t="n">
        <v>358395</v>
      </c>
      <c r="J645" t="n">
        <v>360706</v>
      </c>
      <c r="K645" s="27">
        <f>(H645/D645-1)</f>
        <v/>
      </c>
      <c r="L645" s="27">
        <f>(I645/D645-1)</f>
        <v/>
      </c>
      <c r="M645" s="27">
        <f>(J645/D645-1)</f>
        <v/>
      </c>
      <c r="N645" t="n">
        <v>76.5</v>
      </c>
      <c r="O645" s="28">
        <f>(N645+F645)/2</f>
        <v/>
      </c>
      <c r="P645">
        <f>IF(O645="計算不能","計算不能",IF(O645&gt;=80,5,IF(O645&gt;=60,4,IF(O645&gt;=40,3,IF(O645&gt;=28,2,1)))))</f>
        <v/>
      </c>
      <c r="Q645" t="n">
        <v>97927</v>
      </c>
      <c r="R645" t="n">
        <v>17560</v>
      </c>
      <c r="S645" s="27">
        <f>R645/Q645</f>
        <v/>
      </c>
      <c r="T645" t="inlineStr">
        <is>
          <t>北区は2045年までの人口減少率が約1.4%と全国平均より緩やかで、概ね横ばいの安定推移。生産年齢人口の維持により、賃貸需要の急減リスクは相対的に低い。【最新動向】コロナ後の都心回帰で人口集中が継続し、再開発も都内各所で進行。生産年齢人口の流入により賃貸母数は全国最大規模で底堅い。</t>
        </is>
      </c>
      <c r="U645" t="inlineStr">
        <is>
          <t>北区は人口密度17,870人/km²の高密度市街地で、駅近ワンルームからファミリー向けまで極めて強い賃貸実需が存在。資産流動性・出口戦略の容易さも高い。 借家の空室率は約18%と需給は比較的引き締まっている。【最新動向】2025年は都心部で家賃が急騰し、23区の単身向け平均募集家賃は約12.6万円（前年比118.5%）と過去最高を更新。空室リスクは全国最小級で、資産流動性・賃貸実需ともに国内最強水準。</t>
        </is>
      </c>
      <c r="V645" t="inlineStr">
        <is>
          <t>北区（東京都）：荒川・多摩川の氾濫と東部低地の内水・高潮、臨海部の液状化、直下型地震の被害想定に最大級の留意。</t>
        </is>
      </c>
    </row>
    <row r="646">
      <c r="A646" t="inlineStr">
        <is>
          <t>東京都</t>
        </is>
      </c>
      <c r="B646" t="inlineStr">
        <is>
          <t>荒川区</t>
        </is>
      </c>
      <c r="C646" t="n">
        <v>114170</v>
      </c>
      <c r="D646" t="n">
        <v>217571</v>
      </c>
      <c r="E646" s="6" t="n">
        <v>22291.5</v>
      </c>
      <c r="F646" s="7" t="n">
        <v>100</v>
      </c>
      <c r="G646" t="n">
        <v>217475</v>
      </c>
      <c r="H646" t="n">
        <v>217571</v>
      </c>
      <c r="I646" t="n">
        <v>222413</v>
      </c>
      <c r="J646" t="n">
        <v>230666</v>
      </c>
      <c r="K646" s="27">
        <f>(H646/D646-1)</f>
        <v/>
      </c>
      <c r="L646" s="27">
        <f>(I646/D646-1)</f>
        <v/>
      </c>
      <c r="M646" s="27">
        <f>(J646/D646-1)</f>
        <v/>
      </c>
      <c r="N646" t="n">
        <v>79.7</v>
      </c>
      <c r="O646" s="28">
        <f>(N646+F646)/2</f>
        <v/>
      </c>
      <c r="P646">
        <f>IF(O646="計算不能","計算不能",IF(O646&gt;=80,5,IF(O646&gt;=60,4,IF(O646&gt;=40,3,IF(O646&gt;=28,2,1)))))</f>
        <v/>
      </c>
      <c r="Q646" t="n">
        <v>58959</v>
      </c>
      <c r="R646" t="n">
        <v>10740</v>
      </c>
      <c r="S646" s="27">
        <f>R646/Q646</f>
        <v/>
      </c>
      <c r="T646" t="inlineStr">
        <is>
          <t>荒川区は2025年から2045年にかけて人口が約6.0%増と全国的にも希少な人口増トレンド。都市機能の集積と職住近接需要を背景に、単身・若年ファミリー層の流入が継続し、賃貸母数の拡大が見込める。【最新動向】コロナ後の都心回帰で人口集中が継続し、再開発も都内各所で進行。生産年齢人口の流入により賃貸母数は全国最大規模で底堅い。</t>
        </is>
      </c>
      <c r="U646" t="inlineStr">
        <is>
          <t>荒川区は人口密度22,292人/km²の高密度市街地で、駅近ワンルームからファミリー向けまで極めて強い賃貸実需が存在。資産流動性・出口戦略の容易さも高い。 借家の空室率は約18%とやや高めで、競合との差別化が必要。【最新動向】2025年は都心部で家賃が急騰し、23区の単身向け平均募集家賃は約12.6万円（前年比118.5%）と過去最高を更新。空室リスクは全国最小級で、資産流動性・賃貸実需ともに国内最強水準。</t>
        </is>
      </c>
      <c r="V646" t="inlineStr">
        <is>
          <t>荒川区（東京都）：荒川・多摩川の氾濫と東部低地の内水・高潮、臨海部の液状化、直下型地震の被害想定に最大級の留意。</t>
        </is>
      </c>
    </row>
    <row r="647">
      <c r="A647" t="inlineStr">
        <is>
          <t>東京都</t>
        </is>
      </c>
      <c r="B647" t="inlineStr">
        <is>
          <t>板橋区</t>
        </is>
      </c>
      <c r="C647" t="n">
        <v>321010</v>
      </c>
      <c r="D647" t="n">
        <v>591743</v>
      </c>
      <c r="E647" s="6" t="n">
        <v>18466.8</v>
      </c>
      <c r="F647" s="7" t="n">
        <v>100</v>
      </c>
      <c r="G647" t="n">
        <v>584483</v>
      </c>
      <c r="H647" t="n">
        <v>591743</v>
      </c>
      <c r="I647" t="n">
        <v>598135</v>
      </c>
      <c r="J647" t="n">
        <v>607176</v>
      </c>
      <c r="K647" s="27">
        <f>(H647/D647-1)</f>
        <v/>
      </c>
      <c r="L647" s="27">
        <f>(I647/D647-1)</f>
        <v/>
      </c>
      <c r="M647" s="27">
        <f>(J647/D647-1)</f>
        <v/>
      </c>
      <c r="N647" t="n">
        <v>79.59999999999999</v>
      </c>
      <c r="O647" s="28">
        <f>(N647+F647)/2</f>
        <v/>
      </c>
      <c r="P647">
        <f>IF(O647="計算不能","計算不能",IF(O647&gt;=80,5,IF(O647&gt;=60,4,IF(O647&gt;=40,3,IF(O647&gt;=28,2,1)))))</f>
        <v/>
      </c>
      <c r="Q647" t="n">
        <v>165774</v>
      </c>
      <c r="R647" t="n">
        <v>30710</v>
      </c>
      <c r="S647" s="27">
        <f>R647/Q647</f>
        <v/>
      </c>
      <c r="T647" t="inlineStr">
        <is>
          <t>板橋区は2045年までの人口減少率が約2.6%と全国平均より緩やかで、概ね横ばいの安定推移。生産年齢人口の維持により、賃貸需要の急減リスクは相対的に低い。【最新動向】コロナ後の都心回帰で人口集中が継続し、再開発も都内各所で進行。生産年齢人口の流入により賃貸母数は全国最大規模で底堅い。</t>
        </is>
      </c>
      <c r="U647" t="inlineStr">
        <is>
          <t>板橋区は人口密度18,467人/km²の高密度市街地で、駅近ワンルームからファミリー向けまで極めて強い賃貸実需が存在。資産流動性・出口戦略の容易さも高い。 借家の空室率は約19%とやや高めで、競合との差別化が必要。【最新動向】2025年は都心部で家賃が急騰し、23区の単身向け平均募集家賃は約12.6万円（前年比118.5%）と過去最高を更新。空室リスクは全国最小級で、資産流動性・賃貸実需ともに国内最強水準。</t>
        </is>
      </c>
      <c r="V647" t="inlineStr">
        <is>
          <t>板橋区（東京都）：荒川・多摩川の氾濫と東部低地の内水・高潮、臨海部の液状化、直下型地震の被害想定に最大級の留意。</t>
        </is>
      </c>
    </row>
    <row r="648">
      <c r="A648" t="inlineStr">
        <is>
          <t>東京都</t>
        </is>
      </c>
      <c r="B648" t="inlineStr">
        <is>
          <t>練馬区</t>
        </is>
      </c>
      <c r="C648" t="n">
        <v>381090</v>
      </c>
      <c r="D648" t="n">
        <v>764570</v>
      </c>
      <c r="E648" s="6" t="n">
        <v>15840</v>
      </c>
      <c r="F648" s="7" t="n">
        <v>100</v>
      </c>
      <c r="G648" t="n">
        <v>752608</v>
      </c>
      <c r="H648" t="n">
        <v>764570</v>
      </c>
      <c r="I648" t="n">
        <v>765071</v>
      </c>
      <c r="J648" t="n">
        <v>761202</v>
      </c>
      <c r="K648" s="27">
        <f>(H648/D648-1)</f>
        <v/>
      </c>
      <c r="L648" s="27">
        <f>(I648/D648-1)</f>
        <v/>
      </c>
      <c r="M648" s="27">
        <f>(J648/D648-1)</f>
        <v/>
      </c>
      <c r="N648" t="n">
        <v>78</v>
      </c>
      <c r="O648" s="28">
        <f>(N648+F648)/2</f>
        <v/>
      </c>
      <c r="P648">
        <f>IF(O648="計算不能","計算不能",IF(O648&gt;=80,5,IF(O648&gt;=60,4,IF(O648&gt;=40,3,IF(O648&gt;=28,2,1)))))</f>
        <v/>
      </c>
      <c r="Q648" t="n">
        <v>196800</v>
      </c>
      <c r="R648" t="n">
        <v>30950</v>
      </c>
      <c r="S648" s="27">
        <f>R648/Q648</f>
        <v/>
      </c>
      <c r="T648" t="inlineStr">
        <is>
          <t>練馬区は2045年までの人口減少率が約0.4%と全国平均より緩やかで、概ね横ばいの安定推移。生産年齢人口の維持により、賃貸需要の急減リスクは相対的に低い。【最新動向】コロナ後の都心回帰で人口集中が継続し、再開発も都内各所で進行。生産年齢人口の流入により賃貸母数は全国最大規模で底堅い。</t>
        </is>
      </c>
      <c r="U648" t="inlineStr">
        <is>
          <t>練馬区は人口密度15,840人/km²の高密度市街地で、駅近ワンルームからファミリー向けまで極めて強い賃貸実需が存在。資産流動性・出口戦略の容易さも高い。 借家の空室率は約16%と需給は比較的引き締まっている。【最新動向】2025年は都心部で家賃が急騰し、23区の単身向け平均募集家賃は約12.6万円（前年比118.5%）と過去最高を更新。空室リスクは全国最小級で、資産流動性・賃貸実需ともに国内最強水準。</t>
        </is>
      </c>
      <c r="V648" t="inlineStr">
        <is>
          <t>練馬区（東京都）：荒川・多摩川の氾濫と東部低地の内水・高潮、臨海部の液状化、直下型地震の被害想定に最大級の留意。</t>
        </is>
      </c>
    </row>
    <row r="649">
      <c r="A649" t="inlineStr">
        <is>
          <t>東京都</t>
        </is>
      </c>
      <c r="B649" t="inlineStr">
        <is>
          <t>足立区</t>
        </is>
      </c>
      <c r="C649" t="n">
        <v>358680</v>
      </c>
      <c r="D649" t="n">
        <v>700264</v>
      </c>
      <c r="E649" s="6" t="n">
        <v>13196.6</v>
      </c>
      <c r="F649" s="7" t="n">
        <v>100</v>
      </c>
      <c r="G649" t="n">
        <v>695043</v>
      </c>
      <c r="H649" t="n">
        <v>700264</v>
      </c>
      <c r="I649" t="n">
        <v>706122</v>
      </c>
      <c r="J649" t="n">
        <v>713173</v>
      </c>
      <c r="K649" s="27">
        <f>(H649/D649-1)</f>
        <v/>
      </c>
      <c r="L649" s="27">
        <f>(I649/D649-1)</f>
        <v/>
      </c>
      <c r="M649" s="27">
        <f>(J649/D649-1)</f>
        <v/>
      </c>
      <c r="N649" t="n">
        <v>78</v>
      </c>
      <c r="O649" s="28">
        <f>(N649+F649)/2</f>
        <v/>
      </c>
      <c r="P649">
        <f>IF(O649="計算不能","計算不能",IF(O649&gt;=80,5,IF(O649&gt;=60,4,IF(O649&gt;=40,3,IF(O649&gt;=28,2,1)))))</f>
        <v/>
      </c>
      <c r="Q649" t="n">
        <v>185227</v>
      </c>
      <c r="R649" t="n">
        <v>30280</v>
      </c>
      <c r="S649" s="27">
        <f>R649/Q649</f>
        <v/>
      </c>
      <c r="T649" t="inlineStr">
        <is>
          <t>足立区は2045年までの人口減少率が約1.8%と全国平均より緩やかで、概ね横ばいの安定推移。生産年齢人口の維持により、賃貸需要の急減リスクは相対的に低い。【最新動向】コロナ後の都心回帰で人口集中が継続し、再開発も都内各所で進行。生産年齢人口の流入により賃貸母数は全国最大規模で底堅い。</t>
        </is>
      </c>
      <c r="U649" t="inlineStr">
        <is>
          <t>足立区は人口密度13,197人/km²の高密度市街地で、駅近ワンルームからファミリー向けまで極めて強い賃貸実需が存在。資産流動性・出口戦略の容易さも高い。 借家の空室率は約16%と需給は比較的引き締まっている。【最新動向】2025年は都心部で家賃が急騰し、23区の単身向け平均募集家賃は約12.6万円（前年比118.5%）と過去最高を更新。空室リスクは全国最小級で、資産流動性・賃貸実需ともに国内最強水準。</t>
        </is>
      </c>
      <c r="V649" t="inlineStr">
        <is>
          <t>足立区（東京都）：荒川・多摩川の氾濫と東部低地の内水・高潮、臨海部の液状化、直下型地震の被害想定に最大級の留意。</t>
        </is>
      </c>
    </row>
    <row r="650">
      <c r="A650" t="inlineStr">
        <is>
          <t>東京都</t>
        </is>
      </c>
      <c r="B650" t="inlineStr">
        <is>
          <t>葛飾区</t>
        </is>
      </c>
      <c r="C650" t="n">
        <v>221000</v>
      </c>
      <c r="D650" t="n">
        <v>457090</v>
      </c>
      <c r="E650" s="6" t="n">
        <v>13437.2</v>
      </c>
      <c r="F650" s="7" t="n">
        <v>100</v>
      </c>
      <c r="G650" t="n">
        <v>453093</v>
      </c>
      <c r="H650" t="n">
        <v>457090</v>
      </c>
      <c r="I650" t="n">
        <v>457654</v>
      </c>
      <c r="J650" t="n">
        <v>454563</v>
      </c>
      <c r="K650" s="27">
        <f>(H650/D650-1)</f>
        <v/>
      </c>
      <c r="L650" s="27">
        <f>(I650/D650-1)</f>
        <v/>
      </c>
      <c r="M650" s="27">
        <f>(J650/D650-1)</f>
        <v/>
      </c>
      <c r="N650" t="n">
        <v>76.59999999999999</v>
      </c>
      <c r="O650" s="28">
        <f>(N650+F650)/2</f>
        <v/>
      </c>
      <c r="P650">
        <f>IF(O650="計算不能","計算不能",IF(O650&gt;=80,5,IF(O650&gt;=60,4,IF(O650&gt;=40,3,IF(O650&gt;=28,2,1)))))</f>
        <v/>
      </c>
      <c r="Q650" t="n">
        <v>114127</v>
      </c>
      <c r="R650" t="n">
        <v>21230</v>
      </c>
      <c r="S650" s="27">
        <f>R650/Q650</f>
        <v/>
      </c>
      <c r="T650" t="inlineStr">
        <is>
          <t>葛飾区は2045年までの人口減少率が約0.6%と全国平均より緩やかで、概ね横ばいの安定推移。生産年齢人口の維持により、賃貸需要の急減リスクは相対的に低い。【最新動向】コロナ後の都心回帰で人口集中が継続し、再開発も都内各所で進行。生産年齢人口の流入により賃貸母数は全国最大規模で底堅い。</t>
        </is>
      </c>
      <c r="U650" t="inlineStr">
        <is>
          <t>葛飾区は人口密度13,437人/km²の高密度市街地で、駅近ワンルームからファミリー向けまで極めて強い賃貸実需が存在。資産流動性・出口戦略の容易さも高い。 借家の空室率は約19%とやや高めで、競合との差別化が必要。【最新動向】2025年は都心部で家賃が急騰し、23区の単身向け平均募集家賃は約12.6万円（前年比118.5%）と過去最高を更新。空室リスクは全国最小級で、資産流動性・賃貸実需ともに国内最強水準。</t>
        </is>
      </c>
      <c r="V650" t="inlineStr">
        <is>
          <t>葛飾区（東京都）：荒川・多摩川の氾濫と東部低地の内水・高潮、臨海部の液状化、直下型地震の被害想定に最大級の留意。</t>
        </is>
      </c>
    </row>
    <row r="651">
      <c r="A651" t="inlineStr">
        <is>
          <t>東京都</t>
        </is>
      </c>
      <c r="B651" t="inlineStr">
        <is>
          <t>江戸川区</t>
        </is>
      </c>
      <c r="C651" t="n">
        <v>332280</v>
      </c>
      <c r="D651" t="n">
        <v>692618</v>
      </c>
      <c r="E651" s="6" t="n">
        <v>14129.5</v>
      </c>
      <c r="F651" s="7" t="n">
        <v>100</v>
      </c>
      <c r="G651" t="n">
        <v>697932</v>
      </c>
      <c r="H651" t="n">
        <v>692618</v>
      </c>
      <c r="I651" t="n">
        <v>693046</v>
      </c>
      <c r="J651" t="n">
        <v>685828</v>
      </c>
      <c r="K651" s="27">
        <f>(H651/D651-1)</f>
        <v/>
      </c>
      <c r="L651" s="27">
        <f>(I651/D651-1)</f>
        <v/>
      </c>
      <c r="M651" s="27">
        <f>(J651/D651-1)</f>
        <v/>
      </c>
      <c r="N651" t="n">
        <v>73</v>
      </c>
      <c r="O651" s="28">
        <f>(N651+F651)/2</f>
        <v/>
      </c>
      <c r="P651">
        <f>IF(O651="計算不能","計算不能",IF(O651&gt;=80,5,IF(O651&gt;=60,4,IF(O651&gt;=40,3,IF(O651&gt;=28,2,1)))))</f>
        <v/>
      </c>
      <c r="Q651" t="n">
        <v>171594</v>
      </c>
      <c r="R651" t="n">
        <v>18140</v>
      </c>
      <c r="S651" s="27">
        <f>R651/Q651</f>
        <v/>
      </c>
      <c r="T651" t="inlineStr">
        <is>
          <t>江戸川区は2045年までの人口減少率が約1.0%と全国平均より緩やかで、概ね横ばいの安定推移。生産年齢人口の維持により、賃貸需要の急減リスクは相対的に低い。【最新動向】コロナ後の都心回帰で人口集中が継続し、再開発も都内各所で進行。生産年齢人口の流入により賃貸母数は全国最大規模で底堅い。</t>
        </is>
      </c>
      <c r="U651" t="inlineStr">
        <is>
          <t>江戸川区は人口密度14,130人/km²の高密度市街地で、駅近ワンルームからファミリー向けまで極めて強い賃貸実需が存在。資産流動性・出口戦略の容易さも高い。 借家の空室率は約11%と需給は比較的引き締まっている。【最新動向】2025年は都心部で家賃が急騰し、23区の単身向け平均募集家賃は約12.6万円（前年比118.5%）と過去最高を更新。空室リスクは全国最小級で、資産流動性・賃貸実需ともに国内最強水準。</t>
        </is>
      </c>
      <c r="V651" t="inlineStr">
        <is>
          <t>江戸川区（東京都）：荒川・多摩川の氾濫と東部低地の内水・高潮、臨海部の液状化、直下型地震の被害想定に最大級の留意。</t>
        </is>
      </c>
    </row>
    <row r="652">
      <c r="A652" t="inlineStr">
        <is>
          <t>東京都</t>
        </is>
      </c>
      <c r="B652" t="inlineStr">
        <is>
          <t>八王子市</t>
        </is>
      </c>
      <c r="C652" t="n">
        <v>269610</v>
      </c>
      <c r="D652" t="n">
        <v>577448</v>
      </c>
      <c r="E652" s="6" t="n">
        <v>3080.2</v>
      </c>
      <c r="F652" s="7" t="n">
        <v>80</v>
      </c>
      <c r="G652" t="n">
        <v>579355</v>
      </c>
      <c r="H652" t="n">
        <v>577448</v>
      </c>
      <c r="I652" t="n">
        <v>571769</v>
      </c>
      <c r="J652" t="n">
        <v>543085</v>
      </c>
      <c r="K652" s="27">
        <f>(H652/D652-1)</f>
        <v/>
      </c>
      <c r="L652" s="27">
        <f>(I652/D652-1)</f>
        <v/>
      </c>
      <c r="M652" s="27">
        <f>(J652/D652-1)</f>
        <v/>
      </c>
      <c r="N652" t="n">
        <v>70.7</v>
      </c>
      <c r="O652" s="28">
        <f>(N652+F652)/2</f>
        <v/>
      </c>
      <c r="P652">
        <f>IF(O652="計算不能","計算不能",IF(O652&gt;=80,5,IF(O652&gt;=60,4,IF(O652&gt;=40,3,IF(O652&gt;=28,2,1)))))</f>
        <v/>
      </c>
      <c r="Q652" t="n">
        <v>130895</v>
      </c>
      <c r="R652" t="n">
        <v>22090</v>
      </c>
      <c r="S652" s="27">
        <f>R652/Q652</f>
        <v/>
      </c>
      <c r="T652" t="inlineStr">
        <is>
          <t>八王子市は2045年までに人口が約6.0%減と緩やかな減少局面。若年層の都市部流出と高齢化が進むが、当面の賃貸稼働は一定程度維持される見通し。</t>
        </is>
      </c>
      <c r="U652" t="inlineStr">
        <is>
          <t>八王子市は人口密度3,080人/km²の都市部で、駅周辺や生活利便施設沿いに安定した賃貸需要がある。適切な家賃設定で高稼働を期待できる。 借家の空室率は約17%と需給は比較的引き締まっている。</t>
        </is>
      </c>
      <c r="V652" t="inlineStr">
        <is>
          <t>八王子市（東京都）：荒川・多摩川の氾濫と東部低地の内水・高潮、臨海部の液状化、直下型地震の被害想定に最大級の留意。</t>
        </is>
      </c>
    </row>
    <row r="653">
      <c r="A653" t="inlineStr">
        <is>
          <t>東京都</t>
        </is>
      </c>
      <c r="B653" t="inlineStr">
        <is>
          <t>立川市</t>
        </is>
      </c>
      <c r="C653" t="n">
        <v>90020</v>
      </c>
      <c r="D653" t="n">
        <v>185427</v>
      </c>
      <c r="E653" s="6" t="n">
        <v>7764.4</v>
      </c>
      <c r="F653" s="7" t="n">
        <v>95.5</v>
      </c>
      <c r="G653" t="n">
        <v>183581</v>
      </c>
      <c r="H653" t="n">
        <v>185427</v>
      </c>
      <c r="I653" t="n">
        <v>185223</v>
      </c>
      <c r="J653" t="n">
        <v>181100</v>
      </c>
      <c r="K653" s="27">
        <f>(H653/D653-1)</f>
        <v/>
      </c>
      <c r="L653" s="27">
        <f>(I653/D653-1)</f>
        <v/>
      </c>
      <c r="M653" s="27">
        <f>(J653/D653-1)</f>
        <v/>
      </c>
      <c r="N653" t="n">
        <v>75.8</v>
      </c>
      <c r="O653" s="28">
        <f>(N653+F653)/2</f>
        <v/>
      </c>
      <c r="P653">
        <f>IF(O653="計算不能","計算不能",IF(O653&gt;=80,5,IF(O653&gt;=60,4,IF(O653&gt;=40,3,IF(O653&gt;=28,2,1)))))</f>
        <v/>
      </c>
      <c r="Q653" t="n">
        <v>43704</v>
      </c>
      <c r="R653" t="n">
        <v>9600</v>
      </c>
      <c r="S653" s="27">
        <f>R653/Q653</f>
        <v/>
      </c>
      <c r="T653" t="inlineStr">
        <is>
          <t>立川市は2045年までの人口減少率が約2.3%と全国平均より緩やかで、概ね横ばいの安定推移。生産年齢人口の維持により、賃貸需要の急減リスクは相対的に低い。</t>
        </is>
      </c>
      <c r="U653" t="inlineStr">
        <is>
          <t>立川市は人口密度7,764人/km²の高密度市街地で、駅近ワンルームからファミリー向けまで極めて強い賃貸実需が存在。資産流動性・出口戦略の容易さも高い。 借家の空室率は約22%とやや高めで、競合との差別化が必要。</t>
        </is>
      </c>
      <c r="V653" t="inlineStr">
        <is>
          <t>立川市（東京都）：荒川・多摩川の氾濫と東部低地の内水・高潮、臨海部の液状化、直下型地震の被害想定に最大級の留意。</t>
        </is>
      </c>
    </row>
    <row r="654">
      <c r="A654" t="inlineStr">
        <is>
          <t>東京都</t>
        </is>
      </c>
      <c r="B654" t="inlineStr">
        <is>
          <t>武蔵野市</t>
        </is>
      </c>
      <c r="C654" t="n">
        <v>78920</v>
      </c>
      <c r="D654" t="n">
        <v>154175</v>
      </c>
      <c r="E654" s="6" t="n">
        <v>13725</v>
      </c>
      <c r="F654" s="7" t="n">
        <v>100</v>
      </c>
      <c r="G654" t="n">
        <v>150149</v>
      </c>
      <c r="H654" t="n">
        <v>154175</v>
      </c>
      <c r="I654" t="n">
        <v>156616</v>
      </c>
      <c r="J654" t="n">
        <v>159750</v>
      </c>
      <c r="K654" s="27">
        <f>(H654/D654-1)</f>
        <v/>
      </c>
      <c r="L654" s="27">
        <f>(I654/D654-1)</f>
        <v/>
      </c>
      <c r="M654" s="27">
        <f>(J654/D654-1)</f>
        <v/>
      </c>
      <c r="N654" t="n">
        <v>83.40000000000001</v>
      </c>
      <c r="O654" s="28">
        <f>(N654+F654)/2</f>
        <v/>
      </c>
      <c r="P654">
        <f>IF(O654="計算不能","計算不能",IF(O654&gt;=80,5,IF(O654&gt;=60,4,IF(O654&gt;=40,3,IF(O654&gt;=28,2,1)))))</f>
        <v/>
      </c>
      <c r="Q654" t="n">
        <v>38315</v>
      </c>
      <c r="R654" t="n">
        <v>6310</v>
      </c>
      <c r="S654" s="27">
        <f>R654/Q654</f>
        <v/>
      </c>
      <c r="T654" t="inlineStr">
        <is>
          <t>武蔵野市は2025年から2045年にかけて人口が約3.6%増と全国的にも希少な人口増トレンド。都市機能の集積と職住近接需要を背景に、単身・若年ファミリー層の流入が継続し、賃貸母数の拡大が見込める。</t>
        </is>
      </c>
      <c r="U654" t="inlineStr">
        <is>
          <t>武蔵野市は人口密度13,725人/km²の高密度市街地で、駅近ワンルームからファミリー向けまで極めて強い賃貸実需が存在。資産流動性・出口戦略の容易さも高い。 借家の空室率は約16%と需給は比較的引き締まっている。</t>
        </is>
      </c>
      <c r="V654" t="inlineStr">
        <is>
          <t>武蔵野市（東京都）：荒川・多摩川の氾濫と東部低地の内水・高潮、臨海部の液状化、直下型地震の被害想定に最大級の留意。</t>
        </is>
      </c>
    </row>
    <row r="655">
      <c r="A655" t="inlineStr">
        <is>
          <t>東京都</t>
        </is>
      </c>
      <c r="B655" t="inlineStr">
        <is>
          <t>三鷹市</t>
        </is>
      </c>
      <c r="C655" t="n">
        <v>97090</v>
      </c>
      <c r="D655" t="n">
        <v>197885</v>
      </c>
      <c r="E655" s="6" t="n">
        <v>11873.3</v>
      </c>
      <c r="F655" s="7" t="n">
        <v>100</v>
      </c>
      <c r="G655" t="n">
        <v>195391</v>
      </c>
      <c r="H655" t="n">
        <v>197885</v>
      </c>
      <c r="I655" t="n">
        <v>200381</v>
      </c>
      <c r="J655" t="n">
        <v>203180</v>
      </c>
      <c r="K655" s="27">
        <f>(H655/D655-1)</f>
        <v/>
      </c>
      <c r="L655" s="27">
        <f>(I655/D655-1)</f>
        <v/>
      </c>
      <c r="M655" s="27">
        <f>(J655/D655-1)</f>
        <v/>
      </c>
      <c r="N655" t="n">
        <v>79.8</v>
      </c>
      <c r="O655" s="28">
        <f>(N655+F655)/2</f>
        <v/>
      </c>
      <c r="P655">
        <f>IF(O655="計算不能","計算不能",IF(O655&gt;=80,5,IF(O655&gt;=60,4,IF(O655&gt;=40,3,IF(O655&gt;=28,2,1)))))</f>
        <v/>
      </c>
      <c r="Q655" t="n">
        <v>47137</v>
      </c>
      <c r="R655" t="n">
        <v>8680</v>
      </c>
      <c r="S655" s="27">
        <f>R655/Q655</f>
        <v/>
      </c>
      <c r="T655" t="inlineStr">
        <is>
          <t>三鷹市は2045年までの人口減少率が約2.7%と全国平均より緩やかで、概ね横ばいの安定推移。生産年齢人口の維持により、賃貸需要の急減リスクは相対的に低い。</t>
        </is>
      </c>
      <c r="U655" t="inlineStr">
        <is>
          <t>三鷹市は人口密度11,873人/km²の高密度市街地で、駅近ワンルームからファミリー向けまで極めて強い賃貸実需が存在。資産流動性・出口戦略の容易さも高い。 借家の空室率は約18%とやや高めで、競合との差別化が必要。</t>
        </is>
      </c>
      <c r="V655" t="inlineStr">
        <is>
          <t>三鷹市（東京都）：荒川・多摩川の氾濫と東部低地の内水・高潮、臨海部の液状化、直下型地震の被害想定に最大級の留意。</t>
        </is>
      </c>
    </row>
    <row r="656">
      <c r="A656" t="inlineStr">
        <is>
          <t>東京都</t>
        </is>
      </c>
      <c r="B656" t="inlineStr">
        <is>
          <t>青梅市</t>
        </is>
      </c>
      <c r="C656" t="n">
        <v>56670</v>
      </c>
      <c r="D656" t="n">
        <v>129258</v>
      </c>
      <c r="E656" s="6" t="n">
        <v>1253.4</v>
      </c>
      <c r="F656" s="7" t="n">
        <v>60.1</v>
      </c>
      <c r="G656" t="n">
        <v>133535</v>
      </c>
      <c r="H656" t="n">
        <v>129258</v>
      </c>
      <c r="I656" t="n">
        <v>124231</v>
      </c>
      <c r="J656" t="n">
        <v>106287</v>
      </c>
      <c r="K656" s="27">
        <f>(H656/D656-1)</f>
        <v/>
      </c>
      <c r="L656" s="27">
        <f>(I656/D656-1)</f>
        <v/>
      </c>
      <c r="M656" s="27">
        <f>(J656/D656-1)</f>
        <v/>
      </c>
      <c r="N656" t="n">
        <v>57.4</v>
      </c>
      <c r="O656" s="28">
        <f>(N656+F656)/2</f>
        <v/>
      </c>
      <c r="P656">
        <f>IF(O656="計算不能","計算不能",IF(O656&gt;=80,5,IF(O656&gt;=60,4,IF(O656&gt;=40,3,IF(O656&gt;=28,2,1)))))</f>
        <v/>
      </c>
      <c r="Q656" t="n">
        <v>27513</v>
      </c>
      <c r="R656" t="n">
        <v>4170</v>
      </c>
      <c r="S656" s="27">
        <f>R656/Q656</f>
        <v/>
      </c>
      <c r="T656" t="inlineStr">
        <is>
          <t>青梅市は2045年までに人口が約17.8%減と明確な減少トレンド。高齢化の進行と世帯数の縮小により、中長期では賃貸需要の構造的縮小に警戒が必要。</t>
        </is>
      </c>
      <c r="U656" t="inlineStr">
        <is>
          <t>青梅市は人口密度1,253人/km²で、主要道路沿いや中心市街地に一定の賃貸需要が局在。立地選別が稼働を左右する。 借家の空室率は約15%と需給は比較的引き締まっている。</t>
        </is>
      </c>
      <c r="V656" t="inlineStr">
        <is>
          <t>青梅市（東京都）：荒川・多摩川の氾濫と東部低地の内水・高潮、臨海部の液状化、直下型地震の被害想定に最大級の留意。</t>
        </is>
      </c>
    </row>
    <row r="657">
      <c r="A657" t="inlineStr">
        <is>
          <t>東京都</t>
        </is>
      </c>
      <c r="B657" t="inlineStr">
        <is>
          <t>府中市</t>
        </is>
      </c>
      <c r="C657" t="n">
        <v>123900</v>
      </c>
      <c r="D657" t="n">
        <v>265595</v>
      </c>
      <c r="E657" s="6" t="n">
        <v>170.4</v>
      </c>
      <c r="F657" s="7" t="n">
        <v>27</v>
      </c>
      <c r="G657" t="n">
        <v>262790</v>
      </c>
      <c r="H657" t="n">
        <v>265595</v>
      </c>
      <c r="I657" t="n">
        <v>266159</v>
      </c>
      <c r="J657" t="n">
        <v>262933</v>
      </c>
      <c r="K657" s="27">
        <f>(H657/D657-1)</f>
        <v/>
      </c>
      <c r="L657" s="27">
        <f>(I657/D657-1)</f>
        <v/>
      </c>
      <c r="M657" s="27">
        <f>(J657/D657-1)</f>
        <v/>
      </c>
      <c r="N657" t="n">
        <v>76.8</v>
      </c>
      <c r="O657" s="28">
        <f>(N657+F657)/2</f>
        <v/>
      </c>
      <c r="P657">
        <f>IF(O657="計算不能","計算不能",IF(O657&gt;=80,5,IF(O657&gt;=60,4,IF(O657&gt;=40,3,IF(O657&gt;=28,2,1)))))</f>
        <v/>
      </c>
      <c r="Q657" t="n">
        <v>60153</v>
      </c>
      <c r="R657" t="n">
        <v>12900</v>
      </c>
      <c r="S657" s="27">
        <f>R657/Q657</f>
        <v/>
      </c>
      <c r="T657" t="inlineStr">
        <is>
          <t>府中市は2045年までの人口減少率が約1.0%と全国平均より緩やかで、概ね横ばいの安定推移。生産年齢人口の維持により、賃貸需要の急減リスクは相対的に低い。</t>
        </is>
      </c>
      <c r="U657" t="inlineStr">
        <is>
          <t>府中市は人口密度170人/km²と過疎的水準で、民間賃貸の新規需要は薄い。実需に裏付けられた格安戸建ての指値取得のみが現実的。 借家の空室率は約21%とやや高めで、競合との差別化が必要。</t>
        </is>
      </c>
      <c r="V657" t="inlineStr">
        <is>
          <t>府中市（東京都）：荒川・多摩川の氾濫と東部低地の内水・高潮、臨海部の液状化、直下型地震の被害想定に最大級の留意。</t>
        </is>
      </c>
    </row>
    <row r="658">
      <c r="A658" t="inlineStr">
        <is>
          <t>東京都</t>
        </is>
      </c>
      <c r="B658" t="inlineStr">
        <is>
          <t>昭島市</t>
        </is>
      </c>
      <c r="C658" t="n">
        <v>53830</v>
      </c>
      <c r="D658" t="n">
        <v>115091</v>
      </c>
      <c r="E658" s="6" t="n">
        <v>6728.1</v>
      </c>
      <c r="F658" s="7" t="n">
        <v>93.5</v>
      </c>
      <c r="G658" t="n">
        <v>113949</v>
      </c>
      <c r="H658" t="n">
        <v>115091</v>
      </c>
      <c r="I658" t="n">
        <v>114338</v>
      </c>
      <c r="J658" t="n">
        <v>109677</v>
      </c>
      <c r="K658" s="27">
        <f>(H658/D658-1)</f>
        <v/>
      </c>
      <c r="L658" s="27">
        <f>(I658/D658-1)</f>
        <v/>
      </c>
      <c r="M658" s="27">
        <f>(J658/D658-1)</f>
        <v/>
      </c>
      <c r="N658" t="n">
        <v>74.2</v>
      </c>
      <c r="O658" s="28">
        <f>(N658+F658)/2</f>
        <v/>
      </c>
      <c r="P658">
        <f>IF(O658="計算不能","計算不能",IF(O658&gt;=80,5,IF(O658&gt;=60,4,IF(O658&gt;=40,3,IF(O658&gt;=28,2,1)))))</f>
        <v/>
      </c>
      <c r="Q658" t="n">
        <v>26134</v>
      </c>
      <c r="R658" t="n">
        <v>5660</v>
      </c>
      <c r="S658" s="27">
        <f>R658/Q658</f>
        <v/>
      </c>
      <c r="T658" t="inlineStr">
        <is>
          <t>昭島市は2045年までの人口減少率が約4.7%と全国平均より緩やかで、概ね横ばいの安定推移。生産年齢人口の維持により、賃貸需要の急減リスクは相対的に低い。</t>
        </is>
      </c>
      <c r="U658" t="inlineStr">
        <is>
          <t>昭島市は人口密度6,728人/km²の高密度市街地で、駅近ワンルームからファミリー向けまで極めて強い賃貸実需が存在。資産流動性・出口戦略の容易さも高い。 借家の空室率は約22%とやや高めで、競合との差別化が必要。</t>
        </is>
      </c>
      <c r="V658" t="inlineStr">
        <is>
          <t>昭島市（東京都）：荒川・多摩川の氾濫と東部低地の内水・高潮、臨海部の液状化、直下型地震の被害想定に最大級の留意。</t>
        </is>
      </c>
    </row>
    <row r="659">
      <c r="A659" t="inlineStr">
        <is>
          <t>東京都</t>
        </is>
      </c>
      <c r="B659" t="inlineStr">
        <is>
          <t>調布市</t>
        </is>
      </c>
      <c r="C659" t="n">
        <v>122440</v>
      </c>
      <c r="D659" t="n">
        <v>248007</v>
      </c>
      <c r="E659" s="6" t="n">
        <v>11377.9</v>
      </c>
      <c r="F659" s="7" t="n">
        <v>100</v>
      </c>
      <c r="G659" t="n">
        <v>242614</v>
      </c>
      <c r="H659" t="n">
        <v>248007</v>
      </c>
      <c r="I659" t="n">
        <v>251011</v>
      </c>
      <c r="J659" t="n">
        <v>254454</v>
      </c>
      <c r="K659" s="27">
        <f>(H659/D659-1)</f>
        <v/>
      </c>
      <c r="L659" s="27">
        <f>(I659/D659-1)</f>
        <v/>
      </c>
      <c r="M659" s="27">
        <f>(J659/D659-1)</f>
        <v/>
      </c>
      <c r="N659" t="n">
        <v>81.59999999999999</v>
      </c>
      <c r="O659" s="28">
        <f>(N659+F659)/2</f>
        <v/>
      </c>
      <c r="P659">
        <f>IF(O659="計算不能","計算不能",IF(O659&gt;=80,5,IF(O659&gt;=60,4,IF(O659&gt;=40,3,IF(O659&gt;=28,2,1)))))</f>
        <v/>
      </c>
      <c r="Q659" t="n">
        <v>59444</v>
      </c>
      <c r="R659" t="n">
        <v>9810</v>
      </c>
      <c r="S659" s="27">
        <f>R659/Q659</f>
        <v/>
      </c>
      <c r="T659" t="inlineStr">
        <is>
          <t>調布市は2045年までの人口減少率が約2.6%と全国平均より緩やかで、概ね横ばいの安定推移。生産年齢人口の維持により、賃貸需要の急減リスクは相対的に低い。</t>
        </is>
      </c>
      <c r="U659" t="inlineStr">
        <is>
          <t>調布市は人口密度11,378人/km²の高密度市街地で、駅近ワンルームからファミリー向けまで極めて強い賃貸実需が存在。資産流動性・出口戦略の容易さも高い。 借家の空室率は約17%と需給は比較的引き締まっている。</t>
        </is>
      </c>
      <c r="V659" t="inlineStr">
        <is>
          <t>調布市（東京都）：荒川・多摩川の氾濫と東部低地の内水・高潮、臨海部の液状化、直下型地震の被害想定に最大級の留意。</t>
        </is>
      </c>
    </row>
    <row r="660">
      <c r="A660" t="inlineStr">
        <is>
          <t>東京都</t>
        </is>
      </c>
      <c r="B660" t="inlineStr">
        <is>
          <t>町田市</t>
        </is>
      </c>
      <c r="C660" t="n">
        <v>195620</v>
      </c>
      <c r="D660" t="n">
        <v>431122</v>
      </c>
      <c r="E660" s="6" t="n">
        <v>5883.5</v>
      </c>
      <c r="F660" s="7" t="n">
        <v>91.8</v>
      </c>
      <c r="G660" t="n">
        <v>431079</v>
      </c>
      <c r="H660" t="n">
        <v>431122</v>
      </c>
      <c r="I660" t="n">
        <v>427113</v>
      </c>
      <c r="J660" t="n">
        <v>411871</v>
      </c>
      <c r="K660" s="27">
        <f>(H660/D660-1)</f>
        <v/>
      </c>
      <c r="L660" s="27">
        <f>(I660/D660-1)</f>
        <v/>
      </c>
      <c r="M660" s="27">
        <f>(J660/D660-1)</f>
        <v/>
      </c>
      <c r="N660" t="n">
        <v>72.09999999999999</v>
      </c>
      <c r="O660" s="28">
        <f>(N660+F660)/2</f>
        <v/>
      </c>
      <c r="P660">
        <f>IF(O660="計算不能","計算不能",IF(O660&gt;=80,5,IF(O660&gt;=60,4,IF(O660&gt;=40,3,IF(O660&gt;=28,2,1)))))</f>
        <v/>
      </c>
      <c r="Q660" t="n">
        <v>94973</v>
      </c>
      <c r="R660" t="n">
        <v>14490</v>
      </c>
      <c r="S660" s="27">
        <f>R660/Q660</f>
        <v/>
      </c>
      <c r="T660" t="inlineStr">
        <is>
          <t>町田市は2045年までの人口減少率が約4.5%と全国平均より緩やかで、概ね横ばいの安定推移。生産年齢人口の維持により、賃貸需要の急減リスクは相対的に低い。</t>
        </is>
      </c>
      <c r="U660" t="inlineStr">
        <is>
          <t>町田市は人口密度5,884人/km²の高密度市街地で、駅近ワンルームからファミリー向けまで極めて強い賃貸実需が存在。資産流動性・出口戦略の容易さも高い。 借家の空室率は約15%と需給は比較的引き締まっている。</t>
        </is>
      </c>
      <c r="V660" t="inlineStr">
        <is>
          <t>町田市（東京都）：荒川・多摩川の氾濫と東部低地の内水・高潮、臨海部の液状化、直下型地震の被害想定に最大級の留意。</t>
        </is>
      </c>
    </row>
    <row r="661">
      <c r="A661" t="inlineStr">
        <is>
          <t>東京都</t>
        </is>
      </c>
      <c r="B661" t="inlineStr">
        <is>
          <t>小金井市</t>
        </is>
      </c>
      <c r="C661" t="n">
        <v>64090</v>
      </c>
      <c r="D661" t="n">
        <v>128382</v>
      </c>
      <c r="E661" s="6" t="n">
        <v>11415.1</v>
      </c>
      <c r="F661" s="7" t="n">
        <v>100</v>
      </c>
      <c r="G661" t="n">
        <v>126074</v>
      </c>
      <c r="H661" t="n">
        <v>128382</v>
      </c>
      <c r="I661" t="n">
        <v>129811</v>
      </c>
      <c r="J661" t="n">
        <v>130165</v>
      </c>
      <c r="K661" s="27">
        <f>(H661/D661-1)</f>
        <v/>
      </c>
      <c r="L661" s="27">
        <f>(I661/D661-1)</f>
        <v/>
      </c>
      <c r="M661" s="27">
        <f>(J661/D661-1)</f>
        <v/>
      </c>
      <c r="N661" t="n">
        <v>80.2</v>
      </c>
      <c r="O661" s="28">
        <f>(N661+F661)/2</f>
        <v/>
      </c>
      <c r="P661">
        <f>IF(O661="計算不能","計算不能",IF(O661&gt;=80,5,IF(O661&gt;=60,4,IF(O661&gt;=40,3,IF(O661&gt;=28,2,1)))))</f>
        <v/>
      </c>
      <c r="Q661" t="n">
        <v>31115</v>
      </c>
      <c r="R661" t="n">
        <v>4610</v>
      </c>
      <c r="S661" s="27">
        <f>R661/Q661</f>
        <v/>
      </c>
      <c r="T661" t="inlineStr">
        <is>
          <t>小金井市は2045年までの人口減少率が約1.4%と全国平均より緩やかで、概ね横ばいの安定推移。生産年齢人口の維持により、賃貸需要の急減リスクは相対的に低い。</t>
        </is>
      </c>
      <c r="U661" t="inlineStr">
        <is>
          <t>小金井市は人口密度11,415人/km²の高密度市街地で、駅近ワンルームからファミリー向けまで極めて強い賃貸実需が存在。資産流動性・出口戦略の容易さも高い。 借家の空室率は約15%と需給は比較的引き締まっている。</t>
        </is>
      </c>
      <c r="V661" t="inlineStr">
        <is>
          <t>小金井市（東京都）：荒川・多摩川の氾濫と東部低地の内水・高潮、臨海部の液状化、直下型地震の被害想定に最大級の留意。</t>
        </is>
      </c>
    </row>
    <row r="662">
      <c r="A662" t="inlineStr">
        <is>
          <t>東京都</t>
        </is>
      </c>
      <c r="B662" t="inlineStr">
        <is>
          <t>小平市</t>
        </is>
      </c>
      <c r="C662" t="n">
        <v>89590</v>
      </c>
      <c r="D662" t="n">
        <v>200960</v>
      </c>
      <c r="E662" s="6" t="n">
        <v>9677.799999999999</v>
      </c>
      <c r="F662" s="7" t="n">
        <v>99.40000000000001</v>
      </c>
      <c r="G662" t="n">
        <v>198739</v>
      </c>
      <c r="H662" t="n">
        <v>200960</v>
      </c>
      <c r="I662" t="n">
        <v>201789</v>
      </c>
      <c r="J662" t="n">
        <v>199893</v>
      </c>
      <c r="K662" s="27">
        <f>(H662/D662-1)</f>
        <v/>
      </c>
      <c r="L662" s="27">
        <f>(I662/D662-1)</f>
        <v/>
      </c>
      <c r="M662" s="27">
        <f>(J662/D662-1)</f>
        <v/>
      </c>
      <c r="N662" t="n">
        <v>77.3</v>
      </c>
      <c r="O662" s="28">
        <f>(N662+F662)/2</f>
        <v/>
      </c>
      <c r="P662">
        <f>IF(O662="計算不能","計算不能",IF(O662&gt;=80,5,IF(O662&gt;=60,4,IF(O662&gt;=40,3,IF(O662&gt;=28,2,1)))))</f>
        <v/>
      </c>
      <c r="Q662" t="n">
        <v>43495</v>
      </c>
      <c r="R662" t="n">
        <v>7670</v>
      </c>
      <c r="S662" s="27">
        <f>R662/Q662</f>
        <v/>
      </c>
      <c r="T662" t="inlineStr">
        <is>
          <t>小平市は2045年までの人口減少率が約0.5%と全国平均より緩やかで、概ね横ばいの安定推移。生産年齢人口の維持により、賃貸需要の急減リスクは相対的に低い。</t>
        </is>
      </c>
      <c r="U662" t="inlineStr">
        <is>
          <t>小平市は人口密度9,678人/km²の高密度市街地で、駅近ワンルームからファミリー向けまで極めて強い賃貸実需が存在。資産流動性・出口戦略の容易さも高い。 借家の空室率は約18%と需給は比較的引き締まっている。</t>
        </is>
      </c>
      <c r="V662" t="inlineStr">
        <is>
          <t>小平市（東京都）：荒川・多摩川の氾濫と東部低地の内水・高潮、臨海部の液状化、直下型地震の被害想定に最大級の留意。</t>
        </is>
      </c>
    </row>
    <row r="663">
      <c r="A663" t="inlineStr">
        <is>
          <t>東京都</t>
        </is>
      </c>
      <c r="B663" t="inlineStr">
        <is>
          <t>日野市</t>
        </is>
      </c>
      <c r="C663" t="n">
        <v>90700</v>
      </c>
      <c r="D663" t="n">
        <v>192017</v>
      </c>
      <c r="E663" s="6" t="n">
        <v>6910.5</v>
      </c>
      <c r="F663" s="7" t="n">
        <v>93.8</v>
      </c>
      <c r="G663" t="n">
        <v>190435</v>
      </c>
      <c r="H663" t="n">
        <v>192017</v>
      </c>
      <c r="I663" t="n">
        <v>192376</v>
      </c>
      <c r="J663" t="n">
        <v>188303</v>
      </c>
      <c r="K663" s="27">
        <f>(H663/D663-1)</f>
        <v/>
      </c>
      <c r="L663" s="27">
        <f>(I663/D663-1)</f>
        <v/>
      </c>
      <c r="M663" s="27">
        <f>(J663/D663-1)</f>
        <v/>
      </c>
      <c r="N663" t="n">
        <v>75.8</v>
      </c>
      <c r="O663" s="28">
        <f>(N663+F663)/2</f>
        <v/>
      </c>
      <c r="P663">
        <f>IF(O663="計算不能","計算不能",IF(O663&gt;=80,5,IF(O663&gt;=60,4,IF(O663&gt;=40,3,IF(O663&gt;=28,2,1)))))</f>
        <v/>
      </c>
      <c r="Q663" t="n">
        <v>44034</v>
      </c>
      <c r="R663" t="n">
        <v>6860</v>
      </c>
      <c r="S663" s="27">
        <f>R663/Q663</f>
        <v/>
      </c>
      <c r="T663" t="inlineStr">
        <is>
          <t>日野市は2045年までの人口減少率が約1.9%と全国平均より緩やかで、概ね横ばいの安定推移。生産年齢人口の維持により、賃貸需要の急減リスクは相対的に低い。</t>
        </is>
      </c>
      <c r="U663" t="inlineStr">
        <is>
          <t>日野市は人口密度6,910人/km²の高密度市街地で、駅近ワンルームからファミリー向けまで極めて強い賃貸実需が存在。資産流動性・出口戦略の容易さも高い。 借家の空室率は約16%と需給は比較的引き締まっている。</t>
        </is>
      </c>
      <c r="V663" t="inlineStr">
        <is>
          <t>日野市（東京都）：荒川・多摩川の氾濫と東部低地の内水・高潮、臨海部の液状化、直下型地震の被害想定に最大級の留意。</t>
        </is>
      </c>
    </row>
    <row r="664">
      <c r="A664" t="inlineStr">
        <is>
          <t>東京都</t>
        </is>
      </c>
      <c r="B664" t="inlineStr">
        <is>
          <t>東村山市</t>
        </is>
      </c>
      <c r="C664" t="n">
        <v>69480</v>
      </c>
      <c r="D664" t="n">
        <v>152572</v>
      </c>
      <c r="E664" s="6" t="n">
        <v>8877.6</v>
      </c>
      <c r="F664" s="7" t="n">
        <v>97.8</v>
      </c>
      <c r="G664" t="n">
        <v>151815</v>
      </c>
      <c r="H664" t="n">
        <v>152572</v>
      </c>
      <c r="I664" t="n">
        <v>152166</v>
      </c>
      <c r="J664" t="n">
        <v>149221</v>
      </c>
      <c r="K664" s="27">
        <f>(H664/D664-1)</f>
        <v/>
      </c>
      <c r="L664" s="27">
        <f>(I664/D664-1)</f>
        <v/>
      </c>
      <c r="M664" s="27">
        <f>(J664/D664-1)</f>
        <v/>
      </c>
      <c r="N664" t="n">
        <v>74.7</v>
      </c>
      <c r="O664" s="28">
        <f>(N664+F664)/2</f>
        <v/>
      </c>
      <c r="P664">
        <f>IF(O664="計算不能","計算不能",IF(O664&gt;=80,5,IF(O664&gt;=60,4,IF(O664&gt;=40,3,IF(O664&gt;=28,2,1)))))</f>
        <v/>
      </c>
      <c r="Q664" t="n">
        <v>33732</v>
      </c>
      <c r="R664" t="n">
        <v>5190</v>
      </c>
      <c r="S664" s="27">
        <f>R664/Q664</f>
        <v/>
      </c>
      <c r="T664" t="inlineStr">
        <is>
          <t>東村山市は2045年までの人口減少率が約2.2%と全国平均より緩やかで、概ね横ばいの安定推移。生産年齢人口の維持により、賃貸需要の急減リスクは相対的に低い。</t>
        </is>
      </c>
      <c r="U664" t="inlineStr">
        <is>
          <t>東村山市は人口密度8,878人/km²の高密度市街地で、駅近ワンルームからファミリー向けまで極めて強い賃貸実需が存在。資産流動性・出口戦略の容易さも高い。 借家の空室率は約15%と需給は比較的引き締まっている。</t>
        </is>
      </c>
      <c r="V664" t="inlineStr">
        <is>
          <t>東村山市（東京都）：荒川・多摩川の氾濫と東部低地の内水・高潮、臨海部の液状化、直下型地震の被害想定に最大級の留意。</t>
        </is>
      </c>
    </row>
    <row r="665">
      <c r="A665" t="inlineStr">
        <is>
          <t>東京都</t>
        </is>
      </c>
      <c r="B665" t="inlineStr">
        <is>
          <t>国分寺市</t>
        </is>
      </c>
      <c r="C665" t="n">
        <v>65940</v>
      </c>
      <c r="D665" t="n">
        <v>132238</v>
      </c>
      <c r="E665" s="6" t="n">
        <v>11188.8</v>
      </c>
      <c r="F665" s="7" t="n">
        <v>100</v>
      </c>
      <c r="G665" t="n">
        <v>129242</v>
      </c>
      <c r="H665" t="n">
        <v>132238</v>
      </c>
      <c r="I665" t="n">
        <v>132981</v>
      </c>
      <c r="J665" t="n">
        <v>131964</v>
      </c>
      <c r="K665" s="27">
        <f>(H665/D665-1)</f>
        <v/>
      </c>
      <c r="L665" s="27">
        <f>(I665/D665-1)</f>
        <v/>
      </c>
      <c r="M665" s="27">
        <f>(J665/D665-1)</f>
        <v/>
      </c>
      <c r="N665" t="n">
        <v>79.90000000000001</v>
      </c>
      <c r="O665" s="28">
        <f>(N665+F665)/2</f>
        <v/>
      </c>
      <c r="P665">
        <f>IF(O665="計算不能","計算不能",IF(O665&gt;=80,5,IF(O665&gt;=60,4,IF(O665&gt;=40,3,IF(O665&gt;=28,2,1)))))</f>
        <v/>
      </c>
      <c r="Q665" t="n">
        <v>32013</v>
      </c>
      <c r="R665" t="n">
        <v>5750</v>
      </c>
      <c r="S665" s="27">
        <f>R665/Q665</f>
        <v/>
      </c>
      <c r="T665" t="inlineStr">
        <is>
          <t>国分寺市は2045年までの人口減少率が約0.2%と全国平均より緩やかで、概ね横ばいの安定推移。生産年齢人口の維持により、賃貸需要の急減リスクは相対的に低い。</t>
        </is>
      </c>
      <c r="U665" t="inlineStr">
        <is>
          <t>国分寺市は人口密度11,189人/km²の高密度市街地で、駅近ワンルームからファミリー向けまで極めて強い賃貸実需が存在。資産流動性・出口戦略の容易さも高い。 借家の空室率は約18%と需給は比較的引き締まっている。</t>
        </is>
      </c>
      <c r="V665" t="inlineStr">
        <is>
          <t>国分寺市（東京都）：荒川・多摩川の氾濫と東部低地の内水・高潮、臨海部の液状化、直下型地震の被害想定に最大級の留意。</t>
        </is>
      </c>
    </row>
    <row r="666">
      <c r="A666" t="inlineStr">
        <is>
          <t>東京都</t>
        </is>
      </c>
      <c r="B666" t="inlineStr">
        <is>
          <t>国立市</t>
        </is>
      </c>
      <c r="C666" t="n">
        <v>39280</v>
      </c>
      <c r="D666" t="n">
        <v>77602</v>
      </c>
      <c r="E666" s="6" t="n">
        <v>9397.200000000001</v>
      </c>
      <c r="F666" s="7" t="n">
        <v>98.8</v>
      </c>
      <c r="G666" t="n">
        <v>77130</v>
      </c>
      <c r="H666" t="n">
        <v>77602</v>
      </c>
      <c r="I666" t="n">
        <v>77476</v>
      </c>
      <c r="J666" t="n">
        <v>75987</v>
      </c>
      <c r="K666" s="27">
        <f>(H666/D666-1)</f>
        <v/>
      </c>
      <c r="L666" s="27">
        <f>(I666/D666-1)</f>
        <v/>
      </c>
      <c r="M666" s="27">
        <f>(J666/D666-1)</f>
        <v/>
      </c>
      <c r="N666" t="n">
        <v>75.09999999999999</v>
      </c>
      <c r="O666" s="28">
        <f>(N666+F666)/2</f>
        <v/>
      </c>
      <c r="P666">
        <f>IF(O666="計算不能","計算不能",IF(O666&gt;=80,5,IF(O666&gt;=60,4,IF(O666&gt;=40,3,IF(O666&gt;=28,2,1)))))</f>
        <v/>
      </c>
      <c r="Q666" t="n">
        <v>19070</v>
      </c>
      <c r="R666" t="n">
        <v>5120</v>
      </c>
      <c r="S666" s="27">
        <f>R666/Q666</f>
        <v/>
      </c>
      <c r="T666" t="inlineStr">
        <is>
          <t>国立市は2045年までの人口減少率が約2.1%と全国平均より緩やかで、概ね横ばいの安定推移。生産年齢人口の維持により、賃貸需要の急減リスクは相対的に低い。</t>
        </is>
      </c>
      <c r="U666" t="inlineStr">
        <is>
          <t>国立市は人口密度9,397人/km²の高密度市街地で、駅近ワンルームからファミリー向けまで極めて強い賃貸実需が存在。資産流動性・出口戦略の容易さも高い。 借家の空室率は約27%と供給過多気味で、空室長期化リスクに要警戒。</t>
        </is>
      </c>
      <c r="V666" t="inlineStr">
        <is>
          <t>国立市（東京都）：荒川・多摩川の氾濫と東部低地の内水・高潮、臨海部の液状化、直下型地震の被害想定に最大級の留意。</t>
        </is>
      </c>
    </row>
    <row r="667">
      <c r="A667" t="inlineStr">
        <is>
          <t>東京都</t>
        </is>
      </c>
      <c r="B667" t="inlineStr">
        <is>
          <t>福生市</t>
        </is>
      </c>
      <c r="C667" t="n">
        <v>28030</v>
      </c>
      <c r="D667" t="n">
        <v>54836</v>
      </c>
      <c r="E667" s="6" t="n">
        <v>5626.6</v>
      </c>
      <c r="F667" s="7" t="n">
        <v>91.3</v>
      </c>
      <c r="G667" t="n">
        <v>56414</v>
      </c>
      <c r="H667" t="n">
        <v>54836</v>
      </c>
      <c r="I667" t="n">
        <v>52882</v>
      </c>
      <c r="J667" t="n">
        <v>46689</v>
      </c>
      <c r="K667" s="27">
        <f>(H667/D667-1)</f>
        <v/>
      </c>
      <c r="L667" s="27">
        <f>(I667/D667-1)</f>
        <v/>
      </c>
      <c r="M667" s="27">
        <f>(J667/D667-1)</f>
        <v/>
      </c>
      <c r="N667" t="n">
        <v>59.8</v>
      </c>
      <c r="O667" s="28">
        <f>(N667+F667)/2</f>
        <v/>
      </c>
      <c r="P667">
        <f>IF(O667="計算不能","計算不能",IF(O667&gt;=80,5,IF(O667&gt;=60,4,IF(O667&gt;=40,3,IF(O667&gt;=28,2,1)))))</f>
        <v/>
      </c>
      <c r="Q667" t="n">
        <v>13608</v>
      </c>
      <c r="R667" t="n">
        <v>2390</v>
      </c>
      <c r="S667" s="27">
        <f>R667/Q667</f>
        <v/>
      </c>
      <c r="T667" t="inlineStr">
        <is>
          <t>福生市は2045年までに人口が約14.9%減と緩やかな減少局面。若年層の都市部流出と高齢化が進むが、当面の賃貸稼働は一定程度維持される見通し。</t>
        </is>
      </c>
      <c r="U667" t="inlineStr">
        <is>
          <t>福生市は人口密度5,627人/km²の高密度市街地で、駅近ワンルームからファミリー向けまで極めて強い賃貸実需が存在。資産流動性・出口戦略の容易さも高い。 借家の空室率は約18%と需給は比較的引き締まっている。</t>
        </is>
      </c>
      <c r="V667" t="inlineStr">
        <is>
          <t>福生市（東京都）：荒川・多摩川の氾濫と東部低地の内水・高潮、臨海部の液状化、直下型地震の被害想定に最大級の留意。</t>
        </is>
      </c>
    </row>
    <row r="668">
      <c r="A668" t="inlineStr">
        <is>
          <t>東京都</t>
        </is>
      </c>
      <c r="B668" t="inlineStr">
        <is>
          <t>狛江市</t>
        </is>
      </c>
      <c r="C668" t="n">
        <v>41870</v>
      </c>
      <c r="D668" t="n">
        <v>86492</v>
      </c>
      <c r="E668" s="6" t="n">
        <v>13167.6</v>
      </c>
      <c r="F668" s="7" t="n">
        <v>100</v>
      </c>
      <c r="G668" t="n">
        <v>84772</v>
      </c>
      <c r="H668" t="n">
        <v>86492</v>
      </c>
      <c r="I668" t="n">
        <v>87427</v>
      </c>
      <c r="J668" t="n">
        <v>88994</v>
      </c>
      <c r="K668" s="27">
        <f>(H668/D668-1)</f>
        <v/>
      </c>
      <c r="L668" s="27">
        <f>(I668/D668-1)</f>
        <v/>
      </c>
      <c r="M668" s="27">
        <f>(J668/D668-1)</f>
        <v/>
      </c>
      <c r="N668" t="n">
        <v>81.3</v>
      </c>
      <c r="O668" s="28">
        <f>(N668+F668)/2</f>
        <v/>
      </c>
      <c r="P668">
        <f>IF(O668="計算不能","計算不能",IF(O668&gt;=80,5,IF(O668&gt;=60,4,IF(O668&gt;=40,3,IF(O668&gt;=28,2,1)))))</f>
        <v/>
      </c>
      <c r="Q668" t="n">
        <v>20327</v>
      </c>
      <c r="R668" t="n">
        <v>3730</v>
      </c>
      <c r="S668" s="27">
        <f>R668/Q668</f>
        <v/>
      </c>
      <c r="T668" t="inlineStr">
        <is>
          <t>狛江市は2045年までの人口減少率が約2.9%と全国平均より緩やかで、概ね横ばいの安定推移。生産年齢人口の維持により、賃貸需要の急減リスクは相対的に低い。</t>
        </is>
      </c>
      <c r="U668" t="inlineStr">
        <is>
          <t>狛江市は人口密度13,168人/km²の高密度市街地で、駅近ワンルームからファミリー向けまで極めて強い賃貸実需が存在。資産流動性・出口戦略の容易さも高い。 借家の空室率は約18%とやや高めで、競合との差別化が必要。</t>
        </is>
      </c>
      <c r="V668" t="inlineStr">
        <is>
          <t>狛江市（東京都）：荒川・多摩川の氾濫と東部低地の内水・高潮、臨海部の液状化、直下型地震の被害想定に最大級の留意。</t>
        </is>
      </c>
    </row>
    <row r="669">
      <c r="A669" t="inlineStr">
        <is>
          <t>東京都</t>
        </is>
      </c>
      <c r="B669" t="inlineStr">
        <is>
          <t>東大和市</t>
        </is>
      </c>
      <c r="C669" t="n">
        <v>37140</v>
      </c>
      <c r="D669" t="n">
        <v>83796</v>
      </c>
      <c r="E669" s="6" t="n">
        <v>6188.6</v>
      </c>
      <c r="F669" s="7" t="n">
        <v>92.40000000000001</v>
      </c>
      <c r="G669" t="n">
        <v>83901</v>
      </c>
      <c r="H669" t="n">
        <v>83796</v>
      </c>
      <c r="I669" t="n">
        <v>83184</v>
      </c>
      <c r="J669" t="n">
        <v>80672</v>
      </c>
      <c r="K669" s="27">
        <f>(H669/D669-1)</f>
        <v/>
      </c>
      <c r="L669" s="27">
        <f>(I669/D669-1)</f>
        <v/>
      </c>
      <c r="M669" s="27">
        <f>(J669/D669-1)</f>
        <v/>
      </c>
      <c r="N669" t="n">
        <v>72.40000000000001</v>
      </c>
      <c r="O669" s="28">
        <f>(N669+F669)/2</f>
        <v/>
      </c>
      <c r="P669">
        <f>IF(O669="計算不能","計算不能",IF(O669&gt;=80,5,IF(O669&gt;=60,4,IF(O669&gt;=40,3,IF(O669&gt;=28,2,1)))))</f>
        <v/>
      </c>
      <c r="Q669" t="n">
        <v>18031</v>
      </c>
      <c r="R669" t="n">
        <v>3300</v>
      </c>
      <c r="S669" s="27">
        <f>R669/Q669</f>
        <v/>
      </c>
      <c r="T669" t="inlineStr">
        <is>
          <t>東大和市は2045年までの人口減少率が約3.7%と全国平均より緩やかで、概ね横ばいの安定推移。生産年齢人口の維持により、賃貸需要の急減リスクは相対的に低い。</t>
        </is>
      </c>
      <c r="U669" t="inlineStr">
        <is>
          <t>東大和市は人口密度6,189人/km²の高密度市街地で、駅近ワンルームからファミリー向けまで極めて強い賃貸実需が存在。資産流動性・出口戦略の容易さも高い。 借家の空室率は約18%とやや高めで、競合との差別化が必要。</t>
        </is>
      </c>
      <c r="V669" t="inlineStr">
        <is>
          <t>東大和市（東京都）：荒川・多摩川の氾濫と東部低地の内水・高潮、臨海部の液状化、直下型地震の被害想定に最大級の留意。</t>
        </is>
      </c>
    </row>
    <row r="670">
      <c r="A670" t="inlineStr">
        <is>
          <t>東京都</t>
        </is>
      </c>
      <c r="B670" t="inlineStr">
        <is>
          <t>清瀬市</t>
        </is>
      </c>
      <c r="C670" t="n">
        <v>35690</v>
      </c>
      <c r="D670" t="n">
        <v>75964</v>
      </c>
      <c r="E670" s="6" t="n">
        <v>7305</v>
      </c>
      <c r="F670" s="7" t="n">
        <v>94.59999999999999</v>
      </c>
      <c r="G670" t="n">
        <v>76208</v>
      </c>
      <c r="H670" t="n">
        <v>75964</v>
      </c>
      <c r="I670" t="n">
        <v>75289</v>
      </c>
      <c r="J670" t="n">
        <v>73212</v>
      </c>
      <c r="K670" s="27">
        <f>(H670/D670-1)</f>
        <v/>
      </c>
      <c r="L670" s="27">
        <f>(I670/D670-1)</f>
        <v/>
      </c>
      <c r="M670" s="27">
        <f>(J670/D670-1)</f>
        <v/>
      </c>
      <c r="N670" t="n">
        <v>71.90000000000001</v>
      </c>
      <c r="O670" s="28">
        <f>(N670+F670)/2</f>
        <v/>
      </c>
      <c r="P670">
        <f>IF(O670="計算不能","計算不能",IF(O670&gt;=80,5,IF(O670&gt;=60,4,IF(O670&gt;=40,3,IF(O670&gt;=28,2,1)))))</f>
        <v/>
      </c>
      <c r="Q670" t="n">
        <v>17327</v>
      </c>
      <c r="R670" t="n">
        <v>4220</v>
      </c>
      <c r="S670" s="27">
        <f>R670/Q670</f>
        <v/>
      </c>
      <c r="T670" t="inlineStr">
        <is>
          <t>清瀬市は2045年までの人口減少率が約3.6%と全国平均より緩やかで、概ね横ばいの安定推移。生産年齢人口の維持により、賃貸需要の急減リスクは相対的に低い。</t>
        </is>
      </c>
      <c r="U670" t="inlineStr">
        <is>
          <t>清瀬市は人口密度7,305人/km²の高密度市街地で、駅近ワンルームからファミリー向けまで極めて強い賃貸実需が存在。資産流動性・出口戦略の容易さも高い。 借家の空室率は約24%とやや高めで、競合との差別化が必要。</t>
        </is>
      </c>
      <c r="V670" t="inlineStr">
        <is>
          <t>清瀬市（東京都）：荒川・多摩川の氾濫と東部低地の内水・高潮、臨海部の液状化、直下型地震の被害想定に最大級の留意。</t>
        </is>
      </c>
    </row>
    <row r="671">
      <c r="A671" t="inlineStr">
        <is>
          <t>東京都</t>
        </is>
      </c>
      <c r="B671" t="inlineStr">
        <is>
          <t>東久留米市</t>
        </is>
      </c>
      <c r="C671" t="n">
        <v>51520</v>
      </c>
      <c r="D671" t="n">
        <v>113646</v>
      </c>
      <c r="E671" s="6" t="n">
        <v>8961.799999999999</v>
      </c>
      <c r="F671" s="7" t="n">
        <v>97.90000000000001</v>
      </c>
      <c r="G671" t="n">
        <v>115271</v>
      </c>
      <c r="H671" t="n">
        <v>113646</v>
      </c>
      <c r="I671" t="n">
        <v>111745</v>
      </c>
      <c r="J671" t="n">
        <v>106934</v>
      </c>
      <c r="K671" s="27">
        <f>(H671/D671-1)</f>
        <v/>
      </c>
      <c r="L671" s="27">
        <f>(I671/D671-1)</f>
        <v/>
      </c>
      <c r="M671" s="27">
        <f>(J671/D671-1)</f>
        <v/>
      </c>
      <c r="N671" t="n">
        <v>68.09999999999999</v>
      </c>
      <c r="O671" s="28">
        <f>(N671+F671)/2</f>
        <v/>
      </c>
      <c r="P671">
        <f>IF(O671="計算不能","計算不能",IF(O671&gt;=80,5,IF(O671&gt;=60,4,IF(O671&gt;=40,3,IF(O671&gt;=28,2,1)))))</f>
        <v/>
      </c>
      <c r="Q671" t="n">
        <v>25012</v>
      </c>
      <c r="R671" t="n">
        <v>3720</v>
      </c>
      <c r="S671" s="27">
        <f>R671/Q671</f>
        <v/>
      </c>
      <c r="T671" t="inlineStr">
        <is>
          <t>東久留米市は2045年までに人口が約5.9%減と緩やかな減少局面。若年層の都市部流出と高齢化が進むが、当面の賃貸稼働は一定程度維持される見通し。</t>
        </is>
      </c>
      <c r="U671" t="inlineStr">
        <is>
          <t>東久留米市は人口密度8,962人/km²の高密度市街地で、駅近ワンルームからファミリー向けまで極めて強い賃貸実需が存在。資産流動性・出口戦略の容易さも高い。 借家の空室率は約15%と需給は比較的引き締まっている。</t>
        </is>
      </c>
      <c r="V671" t="inlineStr">
        <is>
          <t>東久留米市（東京都）：荒川・多摩川の氾濫と東部低地の内水・高潮、臨海部の液状化、直下型地震の被害想定に最大級の留意。</t>
        </is>
      </c>
    </row>
    <row r="672">
      <c r="A672" t="inlineStr">
        <is>
          <t>東京都</t>
        </is>
      </c>
      <c r="B672" t="inlineStr">
        <is>
          <t>武蔵村山市</t>
        </is>
      </c>
      <c r="C672" t="n">
        <v>30250</v>
      </c>
      <c r="D672" t="n">
        <v>70665</v>
      </c>
      <c r="E672" s="6" t="n">
        <v>4508.9</v>
      </c>
      <c r="F672" s="7" t="n">
        <v>80</v>
      </c>
      <c r="G672" t="n">
        <v>70829</v>
      </c>
      <c r="H672" t="n">
        <v>70665</v>
      </c>
      <c r="I672" t="n">
        <v>69857</v>
      </c>
      <c r="J672" t="n">
        <v>67047</v>
      </c>
      <c r="K672" s="27">
        <f>(H672/D672-1)</f>
        <v/>
      </c>
      <c r="L672" s="27">
        <f>(I672/D672-1)</f>
        <v/>
      </c>
      <c r="M672" s="27">
        <f>(J672/D672-1)</f>
        <v/>
      </c>
      <c r="N672" t="n">
        <v>71.2</v>
      </c>
      <c r="O672" s="28">
        <f>(N672+F672)/2</f>
        <v/>
      </c>
      <c r="P672">
        <f>IF(O672="計算不能","計算不能",IF(O672&gt;=80,5,IF(O672&gt;=60,4,IF(O672&gt;=40,3,IF(O672&gt;=28,2,1)))))</f>
        <v/>
      </c>
      <c r="Q672" t="n">
        <v>14686</v>
      </c>
      <c r="R672" t="n">
        <v>2090</v>
      </c>
      <c r="S672" s="27">
        <f>R672/Q672</f>
        <v/>
      </c>
      <c r="T672" t="inlineStr">
        <is>
          <t>武蔵村山市は2045年までに人口が約5.1%減と緩やかな減少局面。若年層の都市部流出と高齢化が進むが、当面の賃貸稼働は一定程度維持される見通し。</t>
        </is>
      </c>
      <c r="U672" t="inlineStr">
        <is>
          <t>武蔵村山市は人口密度4,509人/km²の都市部で、駅周辺や生活利便施設沿いに安定した賃貸需要がある。適切な家賃設定で高稼働を期待できる。 借家の空室率は約14%と需給は比較的引き締まっている。</t>
        </is>
      </c>
      <c r="V672" t="inlineStr">
        <is>
          <t>武蔵村山市（東京都）：荒川・多摩川の氾濫と東部低地の内水・高潮、臨海部の液状化、直下型地震の被害想定に最大級の留意。</t>
        </is>
      </c>
    </row>
    <row r="673">
      <c r="A673" t="inlineStr">
        <is>
          <t>東京都</t>
        </is>
      </c>
      <c r="B673" t="inlineStr">
        <is>
          <t>多摩市</t>
        </is>
      </c>
      <c r="C673" t="n">
        <v>69940</v>
      </c>
      <c r="D673" t="n">
        <v>146282</v>
      </c>
      <c r="E673" s="6" t="n">
        <v>6722.3</v>
      </c>
      <c r="F673" s="7" t="n">
        <v>93.40000000000001</v>
      </c>
      <c r="G673" t="n">
        <v>146951</v>
      </c>
      <c r="H673" t="n">
        <v>146282</v>
      </c>
      <c r="I673" t="n">
        <v>144259</v>
      </c>
      <c r="J673" t="n">
        <v>136181</v>
      </c>
      <c r="K673" s="27">
        <f>(H673/D673-1)</f>
        <v/>
      </c>
      <c r="L673" s="27">
        <f>(I673/D673-1)</f>
        <v/>
      </c>
      <c r="M673" s="27">
        <f>(J673/D673-1)</f>
        <v/>
      </c>
      <c r="N673" t="n">
        <v>69.7</v>
      </c>
      <c r="O673" s="28">
        <f>(N673+F673)/2</f>
        <v/>
      </c>
      <c r="P673">
        <f>IF(O673="計算不能","計算不能",IF(O673&gt;=80,5,IF(O673&gt;=60,4,IF(O673&gt;=40,3,IF(O673&gt;=28,2,1)))))</f>
        <v/>
      </c>
      <c r="Q673" t="n">
        <v>33955</v>
      </c>
      <c r="R673" t="n">
        <v>6910</v>
      </c>
      <c r="S673" s="27">
        <f>R673/Q673</f>
        <v/>
      </c>
      <c r="T673" t="inlineStr">
        <is>
          <t>多摩市は2045年までに人口が約6.9%減と緩やかな減少局面。若年層の都市部流出と高齢化が進むが、当面の賃貸稼働は一定程度維持される見通し。</t>
        </is>
      </c>
      <c r="U673" t="inlineStr">
        <is>
          <t>多摩市は人口密度6,722人/km²の高密度市街地で、駅近ワンルームからファミリー向けまで極めて強い賃貸実需が存在。資産流動性・出口戦略の容易さも高い。 借家の空室率は約20%とやや高めで、競合との差別化が必要。</t>
        </is>
      </c>
      <c r="V673" t="inlineStr">
        <is>
          <t>多摩市（東京都）：荒川・多摩川の氾濫と東部低地の内水・高潮、臨海部の液状化、直下型地震の被害想定に最大級の留意。</t>
        </is>
      </c>
    </row>
    <row r="674">
      <c r="A674" t="inlineStr">
        <is>
          <t>東京都</t>
        </is>
      </c>
      <c r="B674" t="inlineStr">
        <is>
          <t>稲城市</t>
        </is>
      </c>
      <c r="C674" t="n">
        <v>40450</v>
      </c>
      <c r="D674" t="n">
        <v>96490</v>
      </c>
      <c r="E674" s="6" t="n">
        <v>5296.1</v>
      </c>
      <c r="F674" s="7" t="n">
        <v>90.59999999999999</v>
      </c>
      <c r="G674" t="n">
        <v>93151</v>
      </c>
      <c r="H674" t="n">
        <v>96490</v>
      </c>
      <c r="I674" t="n">
        <v>98447</v>
      </c>
      <c r="J674" t="n">
        <v>101225</v>
      </c>
      <c r="K674" s="27">
        <f>(H674/D674-1)</f>
        <v/>
      </c>
      <c r="L674" s="27">
        <f>(I674/D674-1)</f>
        <v/>
      </c>
      <c r="M674" s="27">
        <f>(J674/D674-1)</f>
        <v/>
      </c>
      <c r="N674" t="n">
        <v>86.2</v>
      </c>
      <c r="O674" s="28">
        <f>(N674+F674)/2</f>
        <v/>
      </c>
      <c r="P674">
        <f>IF(O674="計算不能","計算不能",IF(O674&gt;=80,5,IF(O674&gt;=60,4,IF(O674&gt;=40,3,IF(O674&gt;=28,2,1)))))</f>
        <v/>
      </c>
      <c r="Q674" t="n">
        <v>19638</v>
      </c>
      <c r="R674" t="n">
        <v>2840</v>
      </c>
      <c r="S674" s="27">
        <f>R674/Q674</f>
        <v/>
      </c>
      <c r="T674" t="inlineStr">
        <is>
          <t>稲城市は2025年から2045年にかけて人口が約4.9%増と全国的にも希少な人口増トレンド。都市機能の集積と職住近接需要を背景に、単身・若年ファミリー層の流入が継続し、賃貸母数の拡大が見込める。</t>
        </is>
      </c>
      <c r="U674" t="inlineStr">
        <is>
          <t>稲城市は人口密度5,296人/km²の高密度市街地で、駅近ワンルームからファミリー向けまで極めて強い賃貸実需が存在。資産流動性・出口戦略の容易さも高い。 借家の空室率は約14%と需給は比較的引き締まっている。</t>
        </is>
      </c>
      <c r="V674" t="inlineStr">
        <is>
          <t>稲城市（東京都）：荒川・多摩川の氾濫と東部低地の内水・高潮、臨海部の液状化、直下型地震の被害想定に最大級の留意。</t>
        </is>
      </c>
    </row>
    <row r="675">
      <c r="A675" t="inlineStr">
        <is>
          <t>東京都</t>
        </is>
      </c>
      <c r="B675" t="inlineStr">
        <is>
          <t>羽村市</t>
        </is>
      </c>
      <c r="C675" t="n">
        <v>24500</v>
      </c>
      <c r="D675" t="n">
        <v>52756</v>
      </c>
      <c r="E675" s="6" t="n">
        <v>5401.6</v>
      </c>
      <c r="F675" s="7" t="n">
        <v>90.8</v>
      </c>
      <c r="G675" t="n">
        <v>54326</v>
      </c>
      <c r="H675" t="n">
        <v>52756</v>
      </c>
      <c r="I675" t="n">
        <v>50837</v>
      </c>
      <c r="J675" t="n">
        <v>44549</v>
      </c>
      <c r="K675" s="27">
        <f>(H675/D675-1)</f>
        <v/>
      </c>
      <c r="L675" s="27">
        <f>(I675/D675-1)</f>
        <v/>
      </c>
      <c r="M675" s="27">
        <f>(J675/D675-1)</f>
        <v/>
      </c>
      <c r="N675" t="n">
        <v>59.2</v>
      </c>
      <c r="O675" s="28">
        <f>(N675+F675)/2</f>
        <v/>
      </c>
      <c r="P675">
        <f>IF(O675="計算不能","計算不能",IF(O675&gt;=80,5,IF(O675&gt;=60,4,IF(O675&gt;=40,3,IF(O675&gt;=28,2,1)))))</f>
        <v/>
      </c>
      <c r="Q675" t="n">
        <v>11894</v>
      </c>
      <c r="R675" t="n">
        <v>1990</v>
      </c>
      <c r="S675" s="27">
        <f>R675/Q675</f>
        <v/>
      </c>
      <c r="T675" t="inlineStr">
        <is>
          <t>羽村市は2045年までに人口が約15.6%減と明確な減少トレンド。高齢化の進行と世帯数の縮小により、中長期では賃貸需要の構造的縮小に警戒が必要。</t>
        </is>
      </c>
      <c r="U675" t="inlineStr">
        <is>
          <t>羽村市は人口密度5,402人/km²の高密度市街地で、駅近ワンルームからファミリー向けまで極めて強い賃貸実需が存在。資産流動性・出口戦略の容易さも高い。 借家の空室率は約17%と需給は比較的引き締まっている。</t>
        </is>
      </c>
      <c r="V675" t="inlineStr">
        <is>
          <t>羽村市（東京都）：荒川・多摩川の氾濫と東部低地の内水・高潮、臨海部の液状化、直下型地震の被害想定に最大級の留意。</t>
        </is>
      </c>
    </row>
    <row r="676">
      <c r="A676" t="inlineStr">
        <is>
          <t>東京都</t>
        </is>
      </c>
      <c r="B676" t="inlineStr">
        <is>
          <t>あきる野市</t>
        </is>
      </c>
      <c r="C676" t="n">
        <v>32390</v>
      </c>
      <c r="D676" t="n">
        <v>77773</v>
      </c>
      <c r="E676" s="6" t="n">
        <v>1051.3</v>
      </c>
      <c r="F676" s="7" t="n">
        <v>56</v>
      </c>
      <c r="G676" t="n">
        <v>79292</v>
      </c>
      <c r="H676" t="n">
        <v>77773</v>
      </c>
      <c r="I676" t="n">
        <v>75649</v>
      </c>
      <c r="J676" t="n">
        <v>68618</v>
      </c>
      <c r="K676" s="27">
        <f>(H676/D676-1)</f>
        <v/>
      </c>
      <c r="L676" s="27">
        <f>(I676/D676-1)</f>
        <v/>
      </c>
      <c r="M676" s="27">
        <f>(J676/D676-1)</f>
        <v/>
      </c>
      <c r="N676" t="n">
        <v>63.5</v>
      </c>
      <c r="O676" s="28">
        <f>(N676+F676)/2</f>
        <v/>
      </c>
      <c r="P676">
        <f>IF(O676="計算不能","計算不能",IF(O676&gt;=80,5,IF(O676&gt;=60,4,IF(O676&gt;=40,3,IF(O676&gt;=28,2,1)))))</f>
        <v/>
      </c>
      <c r="Q676" t="n">
        <v>15725</v>
      </c>
      <c r="R676" t="n">
        <v>2210</v>
      </c>
      <c r="S676" s="27">
        <f>R676/Q676</f>
        <v/>
      </c>
      <c r="T676" t="inlineStr">
        <is>
          <t>あきる野市は2045年までに人口が約11.8%減と緩やかな減少局面。若年層の都市部流出と高齢化が進むが、当面の賃貸稼働は一定程度維持される見通し。</t>
        </is>
      </c>
      <c r="U676" t="inlineStr">
        <is>
          <t>あきる野市は人口密度1,051人/km²で、主要道路沿いや中心市街地に一定の賃貸需要が局在。立地選別が稼働を左右する。 借家の空室率は約14%と需給は比較的引き締まっている。</t>
        </is>
      </c>
      <c r="V676" t="inlineStr">
        <is>
          <t>あきる野市（東京都）：荒川・多摩川の氾濫と東部低地の内水・高潮、臨海部の液状化、直下型地震の被害想定に最大級の留意。</t>
        </is>
      </c>
    </row>
    <row r="677">
      <c r="A677" t="inlineStr">
        <is>
          <t>東京都</t>
        </is>
      </c>
      <c r="B677" t="inlineStr">
        <is>
          <t>西東京市</t>
        </is>
      </c>
      <c r="C677" t="n">
        <v>97760</v>
      </c>
      <c r="D677" t="n">
        <v>210968</v>
      </c>
      <c r="E677" s="6" t="n">
        <v>13180.3</v>
      </c>
      <c r="F677" s="7" t="n">
        <v>100</v>
      </c>
      <c r="G677" t="n">
        <v>207388</v>
      </c>
      <c r="H677" t="n">
        <v>210968</v>
      </c>
      <c r="I677" t="n">
        <v>212640</v>
      </c>
      <c r="J677" t="n">
        <v>213944</v>
      </c>
      <c r="K677" s="27">
        <f>(H677/D677-1)</f>
        <v/>
      </c>
      <c r="L677" s="27">
        <f>(I677/D677-1)</f>
        <v/>
      </c>
      <c r="M677" s="27">
        <f>(J677/D677-1)</f>
        <v/>
      </c>
      <c r="N677" t="n">
        <v>79.7</v>
      </c>
      <c r="O677" s="28">
        <f>(N677+F677)/2</f>
        <v/>
      </c>
      <c r="P677">
        <f>IF(O677="計算不能","計算不能",IF(O677&gt;=80,5,IF(O677&gt;=60,4,IF(O677&gt;=40,3,IF(O677&gt;=28,2,1)))))</f>
        <v/>
      </c>
      <c r="Q677" t="n">
        <v>47462</v>
      </c>
      <c r="R677" t="n">
        <v>6640</v>
      </c>
      <c r="S677" s="27">
        <f>R677/Q677</f>
        <v/>
      </c>
      <c r="T677" t="inlineStr">
        <is>
          <t>西東京市は2045年までの人口減少率が約1.4%と全国平均より緩やかで、概ね横ばいの安定推移。生産年齢人口の維持により、賃貸需要の急減リスクは相対的に低い。</t>
        </is>
      </c>
      <c r="U677" t="inlineStr">
        <is>
          <t>西東京市は人口密度13,180人/km²の高密度市街地で、駅近ワンルームからファミリー向けまで極めて強い賃貸実需が存在。資産流動性・出口戦略の容易さも高い。 借家の空室率は約14%と需給は比較的引き締まっている。</t>
        </is>
      </c>
      <c r="V677" t="inlineStr">
        <is>
          <t>西東京市（東京都）：荒川・多摩川の氾濫と東部低地の内水・高潮、臨海部の液状化、直下型地震の被害想定に最大級の留意。</t>
        </is>
      </c>
    </row>
    <row r="678">
      <c r="A678" t="inlineStr">
        <is>
          <t>東京都</t>
        </is>
      </c>
      <c r="B678" t="inlineStr">
        <is>
          <t>瑞穂町</t>
        </is>
      </c>
      <c r="C678" t="n">
        <v>12440</v>
      </c>
      <c r="D678" t="n">
        <v>30572</v>
      </c>
      <c r="E678" s="6" t="n">
        <v>1849.3</v>
      </c>
      <c r="F678" s="7" t="n">
        <v>68.5</v>
      </c>
      <c r="G678" t="n">
        <v>31765</v>
      </c>
      <c r="H678" t="n">
        <v>30572</v>
      </c>
      <c r="I678" t="n">
        <v>29194</v>
      </c>
      <c r="J678" t="n">
        <v>24453</v>
      </c>
      <c r="K678" s="27">
        <f>(H678/D678-1)</f>
        <v/>
      </c>
      <c r="L678" s="27">
        <f>(I678/D678-1)</f>
        <v/>
      </c>
      <c r="M678" s="27">
        <f>(J678/D678-1)</f>
        <v/>
      </c>
      <c r="N678" t="n">
        <v>54.8</v>
      </c>
      <c r="O678" s="28">
        <f>(N678+F678)/2</f>
        <v/>
      </c>
      <c r="P678">
        <f>IF(O678="計算不能","計算不能",IF(O678&gt;=80,5,IF(O678&gt;=60,4,IF(O678&gt;=40,3,IF(O678&gt;=28,2,1)))))</f>
        <v/>
      </c>
      <c r="Q678" t="n">
        <v>6039</v>
      </c>
      <c r="R678" t="n">
        <v>800</v>
      </c>
      <c r="S678" s="27">
        <f>R678/Q678</f>
        <v/>
      </c>
      <c r="T678" t="inlineStr">
        <is>
          <t>瑞穂町は2045年までに人口が約20.0%減と明確な減少トレンド。高齢化の進行と世帯数の縮小により、中長期では賃貸需要の構造的縮小に警戒が必要。</t>
        </is>
      </c>
      <c r="U678" t="inlineStr">
        <is>
          <t>瑞穂町は人口密度1,849人/km²の都市部で、駅周辺や生活利便施設沿いに安定した賃貸需要がある。適切な家賃設定で高稼働を期待できる。 借家の空室率は約13%と需給は比較的引き締まっている。</t>
        </is>
      </c>
      <c r="V678" t="inlineStr">
        <is>
          <t>瑞穂町（東京都）：荒川・多摩川の氾濫と東部低地の内水・高潮、臨海部の液状化、直下型地震の被害想定に最大級の留意。</t>
        </is>
      </c>
    </row>
    <row r="679">
      <c r="A679" t="inlineStr">
        <is>
          <t>東京都</t>
        </is>
      </c>
      <c r="B679" t="inlineStr">
        <is>
          <t>日の出町</t>
        </is>
      </c>
      <c r="C679" t="n">
        <v>6190</v>
      </c>
      <c r="D679" t="n">
        <v>16933</v>
      </c>
      <c r="E679" s="6" t="n">
        <v>572.3</v>
      </c>
      <c r="F679" s="7" t="n">
        <v>46.4</v>
      </c>
      <c r="G679" t="n">
        <v>16958</v>
      </c>
      <c r="H679" t="n">
        <v>16933</v>
      </c>
      <c r="I679" t="n">
        <v>16277</v>
      </c>
      <c r="J679" t="n">
        <v>13831</v>
      </c>
      <c r="K679" s="27">
        <f>(H679/D679-1)</f>
        <v/>
      </c>
      <c r="L679" s="27">
        <f>(I679/D679-1)</f>
        <v/>
      </c>
      <c r="M679" s="27">
        <f>(J679/D679-1)</f>
        <v/>
      </c>
      <c r="N679" t="n">
        <v>62.9</v>
      </c>
      <c r="O679" s="28">
        <f>(N679+F679)/2</f>
        <v/>
      </c>
      <c r="P679">
        <f>IF(O679="計算不能","計算不能",IF(O679&gt;=80,5,IF(O679&gt;=60,4,IF(O679&gt;=40,3,IF(O679&gt;=28,2,1)))))</f>
        <v/>
      </c>
      <c r="Q679" t="n">
        <v>3005</v>
      </c>
      <c r="R679" t="n">
        <v>90</v>
      </c>
      <c r="S679" s="27">
        <f>R679/Q679</f>
        <v/>
      </c>
      <c r="T679" t="inlineStr">
        <is>
          <t>日の出町は2045年までに人口が約18.3%減と明確な減少トレンド。高齢化の進行と世帯数の縮小により、中長期では賃貸需要の構造的縮小に警戒が必要。</t>
        </is>
      </c>
      <c r="U679" t="inlineStr">
        <is>
          <t>日の出町は人口密度572人/km²で、主要道路沿いや中心市街地に一定の賃貸需要が局在。立地選別が稼働を左右する。 借家の空室率は約3%と需給は比較的引き締まっている。</t>
        </is>
      </c>
      <c r="V679" t="inlineStr">
        <is>
          <t>日の出町（東京都）：荒川・多摩川の氾濫と東部低地の内水・高潮、臨海部の液状化、直下型地震の被害想定に最大級の留意。</t>
        </is>
      </c>
    </row>
    <row r="680">
      <c r="A680" t="inlineStr">
        <is>
          <t>東京都</t>
        </is>
      </c>
      <c r="B680" t="inlineStr">
        <is>
          <t>檜原村</t>
        </is>
      </c>
      <c r="C680" t="n">
        <v>1105</v>
      </c>
      <c r="D680" t="n">
        <v>1800</v>
      </c>
      <c r="E680" s="6" t="n">
        <v>16.7</v>
      </c>
      <c r="F680" s="7" t="n">
        <v>11.7</v>
      </c>
      <c r="G680" t="n">
        <v>2003</v>
      </c>
      <c r="H680" t="n">
        <v>1800</v>
      </c>
      <c r="I680" t="n">
        <v>1648</v>
      </c>
      <c r="J680" t="n">
        <v>1186</v>
      </c>
      <c r="K680" s="27">
        <f>(H680/D680-1)</f>
        <v/>
      </c>
      <c r="L680" s="27">
        <f>(I680/D680-1)</f>
        <v/>
      </c>
      <c r="M680" s="27">
        <f>(J680/D680-1)</f>
        <v/>
      </c>
      <c r="N680" t="n">
        <v>39.5</v>
      </c>
      <c r="O680" s="28">
        <f>(N680+F680)/2</f>
        <v/>
      </c>
      <c r="P680">
        <f>IF(O680="計算不能","計算不能",IF(O680&gt;=80,5,IF(O680&gt;=60,4,IF(O680&gt;=40,3,IF(O680&gt;=28,2,1)))))</f>
        <v/>
      </c>
      <c r="Q680" t="n">
        <v>536</v>
      </c>
      <c r="R680" t="n">
        <v>0</v>
      </c>
      <c r="S680" s="27">
        <f>R680/Q680</f>
        <v/>
      </c>
      <c r="T680" t="inlineStr">
        <is>
          <t>檜原村は2045年までに人口が約34.1%減と急激な過疎・超高齢化が進行。若年労働世代の流出と自然減が重なり、賃貸事業としての持続性は極めて限定的。</t>
        </is>
      </c>
      <c r="U680" t="inlineStr">
        <is>
          <t>檜原村は人口密度17人/km²と過疎的水準で、民間賃貸の新規需要は薄い。実需に裏付けられた格安戸建ての指値取得のみが現実的。 借家の空室率は約0%と需給は比較的引き締まっている。</t>
        </is>
      </c>
      <c r="V680" t="inlineStr">
        <is>
          <t>檜原村（東京都）：荒川・多摩川の氾濫と東部低地の内水・高潮、臨海部の液状化、直下型地震の被害想定に最大級の留意。</t>
        </is>
      </c>
    </row>
    <row r="681">
      <c r="A681" t="inlineStr">
        <is>
          <t>東京都</t>
        </is>
      </c>
      <c r="B681" t="inlineStr">
        <is>
          <t>奥多摩町</t>
        </is>
      </c>
      <c r="C681" t="n">
        <v>2479</v>
      </c>
      <c r="D681" t="n">
        <v>4406</v>
      </c>
      <c r="E681" s="6" t="n">
        <v>18.5</v>
      </c>
      <c r="F681" s="7" t="n">
        <v>11.8</v>
      </c>
      <c r="G681" t="n">
        <v>4750</v>
      </c>
      <c r="H681" t="n">
        <v>4406</v>
      </c>
      <c r="I681" t="n">
        <v>4108</v>
      </c>
      <c r="J681" t="n">
        <v>3004</v>
      </c>
      <c r="K681" s="27">
        <f>(H681/D681-1)</f>
        <v/>
      </c>
      <c r="L681" s="27">
        <f>(I681/D681-1)</f>
        <v/>
      </c>
      <c r="M681" s="27">
        <f>(J681/D681-1)</f>
        <v/>
      </c>
      <c r="N681" t="n">
        <v>43.2</v>
      </c>
      <c r="O681" s="28">
        <f>(N681+F681)/2</f>
        <v/>
      </c>
      <c r="P681">
        <f>IF(O681="計算不能","計算不能",IF(O681&gt;=80,5,IF(O681&gt;=60,4,IF(O681&gt;=40,3,IF(O681&gt;=28,2,1)))))</f>
        <v/>
      </c>
      <c r="Q681" t="n">
        <v>1203</v>
      </c>
      <c r="R681" t="n">
        <v>0</v>
      </c>
      <c r="S681" s="27">
        <f>R681/Q681</f>
        <v/>
      </c>
      <c r="T681" t="inlineStr">
        <is>
          <t>奥多摩町は2045年までに人口が約31.8%減と急激な過疎・超高齢化が進行。若年労働世代の流出と自然減が重なり、賃貸事業としての持続性は極めて限定的。</t>
        </is>
      </c>
      <c r="U681" t="inlineStr">
        <is>
          <t>奥多摩町は人口密度18人/km²と過疎的水準で、民間賃貸の新規需要は薄い。実需に裏付けられた格安戸建ての指値取得のみが現実的。 借家の空室率は約0%と需給は比較的引き締まっている。</t>
        </is>
      </c>
      <c r="V681" t="inlineStr">
        <is>
          <t>奥多摩町（東京都）：荒川・多摩川の氾濫と東部低地の内水・高潮、臨海部の液状化、直下型地震の被害想定に最大級の留意。</t>
        </is>
      </c>
    </row>
    <row r="682">
      <c r="A682" t="inlineStr">
        <is>
          <t>東京都</t>
        </is>
      </c>
      <c r="B682" t="inlineStr">
        <is>
          <t>大島町</t>
        </is>
      </c>
      <c r="C682" t="n">
        <v>4252</v>
      </c>
      <c r="D682" t="n">
        <v>6622</v>
      </c>
      <c r="E682" s="6" t="n">
        <v>69.40000000000001</v>
      </c>
      <c r="F682" s="7" t="n">
        <v>16.9</v>
      </c>
      <c r="G682" t="n">
        <v>7102</v>
      </c>
      <c r="H682" t="n">
        <v>6622</v>
      </c>
      <c r="I682" t="n">
        <v>6249</v>
      </c>
      <c r="J682" t="n">
        <v>5320</v>
      </c>
      <c r="K682" s="27">
        <f>(H682/D682-1)</f>
        <v/>
      </c>
      <c r="L682" s="27">
        <f>(I682/D682-1)</f>
        <v/>
      </c>
      <c r="M682" s="27">
        <f>(J682/D682-1)</f>
        <v/>
      </c>
      <c r="N682" t="n">
        <v>48.6</v>
      </c>
      <c r="O682" s="28">
        <f>(N682+F682)/2</f>
        <v/>
      </c>
      <c r="P682">
        <f>IF(O682="計算不能","計算不能",IF(O682&gt;=80,5,IF(O682&gt;=60,4,IF(O682&gt;=40,3,IF(O682&gt;=28,2,1)))))</f>
        <v/>
      </c>
      <c r="Q682" t="n">
        <v>2064</v>
      </c>
      <c r="R682" t="n">
        <v>0</v>
      </c>
      <c r="S682" s="27">
        <f>R682/Q682</f>
        <v/>
      </c>
      <c r="T682" t="inlineStr">
        <is>
          <t>大島町は2045年までに人口が約19.7%減と明確な減少トレンド。高齢化の進行と世帯数の縮小により、中長期では賃貸需要の構造的縮小に警戒が必要。</t>
        </is>
      </c>
      <c r="U682" t="inlineStr">
        <is>
          <t>大島町は人口密度69人/km²と過疎的水準で、民間賃貸の新規需要は薄い。実需に裏付けられた格安戸建ての指値取得のみが現実的。 借家の空室率は約0%と需給は比較的引き締まっている。</t>
        </is>
      </c>
      <c r="V682" t="inlineStr">
        <is>
          <t>大島町（東京都）：荒川・多摩川の氾濫と東部低地の内水・高潮、臨海部の液状化、直下型地震の被害想定に最大級の留意。</t>
        </is>
      </c>
    </row>
    <row r="683">
      <c r="A683" t="inlineStr">
        <is>
          <t>東京都</t>
        </is>
      </c>
      <c r="B683" t="inlineStr">
        <is>
          <t>利島村</t>
        </is>
      </c>
      <c r="C683" t="n">
        <v>178</v>
      </c>
      <c r="D683" t="n">
        <v>298</v>
      </c>
      <c r="E683" s="6" t="n">
        <v>75.2</v>
      </c>
      <c r="F683" s="7" t="n">
        <v>17.5</v>
      </c>
      <c r="G683" t="n">
        <v>327</v>
      </c>
      <c r="H683" t="n">
        <v>298</v>
      </c>
      <c r="I683" t="n">
        <v>285</v>
      </c>
      <c r="J683" t="n">
        <v>264</v>
      </c>
      <c r="K683" s="27">
        <f>(H683/D683-1)</f>
        <v/>
      </c>
      <c r="L683" s="27">
        <f>(I683/D683-1)</f>
        <v/>
      </c>
      <c r="M683" s="27">
        <f>(J683/D683-1)</f>
        <v/>
      </c>
      <c r="N683" t="n">
        <v>49.3</v>
      </c>
      <c r="O683" s="28">
        <f>(N683+F683)/2</f>
        <v/>
      </c>
      <c r="P683">
        <f>IF(O683="計算不能","計算不能",IF(O683&gt;=80,5,IF(O683&gt;=60,4,IF(O683&gt;=40,3,IF(O683&gt;=28,2,1)))))</f>
        <v/>
      </c>
      <c r="Q683" t="n">
        <v>86</v>
      </c>
      <c r="R683" t="n">
        <v>0</v>
      </c>
      <c r="S683" s="27">
        <f>R683/Q683</f>
        <v/>
      </c>
      <c r="T683" t="inlineStr">
        <is>
          <t>利島村は2045年までに人口が約11.4%減と緩やかな減少局面。若年層の都市部流出と高齢化が進むが、当面の賃貸稼働は一定程度維持される見通し。</t>
        </is>
      </c>
      <c r="U683" t="inlineStr">
        <is>
          <t>利島村は人口密度75人/km²と過疎的水準で、民間賃貸の新規需要は薄い。実需に裏付けられた格安戸建ての指値取得のみが現実的。 借家の空室率は約0%と需給は比較的引き締まっている。</t>
        </is>
      </c>
      <c r="V683" t="inlineStr">
        <is>
          <t>利島村（東京都）：荒川・多摩川の氾濫と東部低地の内水・高潮、臨海部の液状化、直下型地震の被害想定に最大級の留意。</t>
        </is>
      </c>
    </row>
    <row r="684">
      <c r="A684" t="inlineStr">
        <is>
          <t>東京都</t>
        </is>
      </c>
      <c r="B684" t="inlineStr">
        <is>
          <t>新島村</t>
        </is>
      </c>
      <c r="C684" t="n">
        <v>1336</v>
      </c>
      <c r="D684" t="n">
        <v>2222</v>
      </c>
      <c r="E684" s="6" t="n">
        <v>78.7</v>
      </c>
      <c r="F684" s="7" t="n">
        <v>17.9</v>
      </c>
      <c r="G684" t="n">
        <v>2441</v>
      </c>
      <c r="H684" t="n">
        <v>2222</v>
      </c>
      <c r="I684" t="n">
        <v>2041</v>
      </c>
      <c r="J684" t="n">
        <v>1650</v>
      </c>
      <c r="K684" s="27">
        <f>(H684/D684-1)</f>
        <v/>
      </c>
      <c r="L684" s="27">
        <f>(I684/D684-1)</f>
        <v/>
      </c>
      <c r="M684" s="27">
        <f>(J684/D684-1)</f>
        <v/>
      </c>
      <c r="N684" t="n">
        <v>42.6</v>
      </c>
      <c r="O684" s="28">
        <f>(N684+F684)/2</f>
        <v/>
      </c>
      <c r="P684">
        <f>IF(O684="計算不能","計算不能",IF(O684&gt;=80,5,IF(O684&gt;=60,4,IF(O684&gt;=40,3,IF(O684&gt;=28,2,1)))))</f>
        <v/>
      </c>
      <c r="Q684" t="n">
        <v>648</v>
      </c>
      <c r="R684" t="n">
        <v>0</v>
      </c>
      <c r="S684" s="27">
        <f>R684/Q684</f>
        <v/>
      </c>
      <c r="T684" t="inlineStr">
        <is>
          <t>新島村は2045年までに人口が約25.7%減と明確な減少トレンド。高齢化の進行と世帯数の縮小により、中長期では賃貸需要の構造的縮小に警戒が必要。</t>
        </is>
      </c>
      <c r="U684" t="inlineStr">
        <is>
          <t>新島村は人口密度79人/km²と過疎的水準で、民間賃貸の新規需要は薄い。実需に裏付けられた格安戸建ての指値取得のみが現実的。 借家の空室率は約0%と需給は比較的引き締まっている。</t>
        </is>
      </c>
      <c r="V684" t="inlineStr">
        <is>
          <t>新島村（東京都）：荒川・多摩川の氾濫と東部低地の内水・高潮、臨海部の液状化、直下型地震の被害想定に最大級の留意。</t>
        </is>
      </c>
    </row>
    <row r="685">
      <c r="A685" t="inlineStr">
        <is>
          <t>東京都</t>
        </is>
      </c>
      <c r="B685" t="inlineStr">
        <is>
          <t>神津島村</t>
        </is>
      </c>
      <c r="C685" t="n">
        <v>911</v>
      </c>
      <c r="D685" t="n">
        <v>1764</v>
      </c>
      <c r="E685" s="6" t="n">
        <v>88.90000000000001</v>
      </c>
      <c r="F685" s="7" t="n">
        <v>18.9</v>
      </c>
      <c r="G685" t="n">
        <v>1855</v>
      </c>
      <c r="H685" t="n">
        <v>1764</v>
      </c>
      <c r="I685" t="n">
        <v>1690</v>
      </c>
      <c r="J685" t="n">
        <v>1520</v>
      </c>
      <c r="K685" s="27">
        <f>(H685/D685-1)</f>
        <v/>
      </c>
      <c r="L685" s="27">
        <f>(I685/D685-1)</f>
        <v/>
      </c>
      <c r="M685" s="27">
        <f>(J685/D685-1)</f>
        <v/>
      </c>
      <c r="N685" t="n">
        <v>55.8</v>
      </c>
      <c r="O685" s="28">
        <f>(N685+F685)/2</f>
        <v/>
      </c>
      <c r="P685">
        <f>IF(O685="計算不能","計算不能",IF(O685&gt;=80,5,IF(O685&gt;=60,4,IF(O685&gt;=40,3,IF(O685&gt;=28,2,1)))))</f>
        <v/>
      </c>
      <c r="Q685" t="n">
        <v>442</v>
      </c>
      <c r="R685" t="n">
        <v>0</v>
      </c>
      <c r="S685" s="27">
        <f>R685/Q685</f>
        <v/>
      </c>
      <c r="T685" t="inlineStr">
        <is>
          <t>神津島村は2045年までに人口が約13.8%減と緩やかな減少局面。若年層の都市部流出と高齢化が進むが、当面の賃貸稼働は一定程度維持される見通し。</t>
        </is>
      </c>
      <c r="U685" t="inlineStr">
        <is>
          <t>神津島村は人口密度89人/km²と過疎的水準で、民間賃貸の新規需要は薄い。実需に裏付けられた格安戸建ての指値取得のみが現実的。 借家の空室率は約0%と需給は比較的引き締まっている。</t>
        </is>
      </c>
      <c r="V685" t="inlineStr">
        <is>
          <t>神津島村（東京都）：荒川・多摩川の氾濫と東部低地の内水・高潮、臨海部の液状化、直下型地震の被害想定に最大級の留意。</t>
        </is>
      </c>
    </row>
    <row r="686">
      <c r="A686" t="inlineStr">
        <is>
          <t>東京都</t>
        </is>
      </c>
      <c r="B686" t="inlineStr">
        <is>
          <t>三宅村</t>
        </is>
      </c>
      <c r="C686" t="n">
        <v>1457</v>
      </c>
      <c r="D686" t="n">
        <v>2116</v>
      </c>
      <c r="E686" s="6" t="n">
        <v>35.8</v>
      </c>
      <c r="F686" s="7" t="n">
        <v>13.6</v>
      </c>
      <c r="G686" t="n">
        <v>2273</v>
      </c>
      <c r="H686" t="n">
        <v>2116</v>
      </c>
      <c r="I686" t="n">
        <v>1963</v>
      </c>
      <c r="J686" t="n">
        <v>1662</v>
      </c>
      <c r="K686" s="27">
        <f>(H686/D686-1)</f>
        <v/>
      </c>
      <c r="L686" s="27">
        <f>(I686/D686-1)</f>
        <v/>
      </c>
      <c r="M686" s="27">
        <f>(J686/D686-1)</f>
        <v/>
      </c>
      <c r="N686" t="n">
        <v>46.5</v>
      </c>
      <c r="O686" s="28">
        <f>(N686+F686)/2</f>
        <v/>
      </c>
      <c r="P686">
        <f>IF(O686="計算不能","計算不能",IF(O686&gt;=80,5,IF(O686&gt;=60,4,IF(O686&gt;=40,3,IF(O686&gt;=28,2,1)))))</f>
        <v/>
      </c>
      <c r="Q686" t="n">
        <v>707</v>
      </c>
      <c r="R686" t="n">
        <v>0</v>
      </c>
      <c r="S686" s="27">
        <f>R686/Q686</f>
        <v/>
      </c>
      <c r="T686" t="inlineStr">
        <is>
          <t>三宅村は2045年までに人口が約21.5%減と明確な減少トレンド。高齢化の進行と世帯数の縮小により、中長期では賃貸需要の構造的縮小に警戒が必要。</t>
        </is>
      </c>
      <c r="U686" t="inlineStr">
        <is>
          <t>三宅村は人口密度36人/km²と過疎的水準で、民間賃貸の新規需要は薄い。実需に裏付けられた格安戸建ての指値取得のみが現実的。 借家の空室率は約0%と需給は比較的引き締まっている。</t>
        </is>
      </c>
      <c r="V686" t="inlineStr">
        <is>
          <t>三宅村（東京都）：荒川・多摩川の氾濫と東部低地の内水・高潮、臨海部の液状化、直下型地震の被害想定に最大級の留意。</t>
        </is>
      </c>
    </row>
    <row r="687">
      <c r="A687" t="inlineStr">
        <is>
          <t>東京都</t>
        </is>
      </c>
      <c r="B687" t="inlineStr">
        <is>
          <t>御蔵島村</t>
        </is>
      </c>
      <c r="C687" t="n">
        <v>170</v>
      </c>
      <c r="D687" t="n">
        <v>317</v>
      </c>
      <c r="E687" s="6" t="n">
        <v>14.3</v>
      </c>
      <c r="F687" s="7" t="n">
        <v>11.4</v>
      </c>
      <c r="G687" t="n">
        <v>323</v>
      </c>
      <c r="H687" t="n">
        <v>317</v>
      </c>
      <c r="I687" t="n">
        <v>320</v>
      </c>
      <c r="J687" t="n">
        <v>331</v>
      </c>
      <c r="K687" s="27">
        <f>(H687/D687-1)</f>
        <v/>
      </c>
      <c r="L687" s="27">
        <f>(I687/D687-1)</f>
        <v/>
      </c>
      <c r="M687" s="27">
        <f>(J687/D687-1)</f>
        <v/>
      </c>
      <c r="N687" t="n">
        <v>74.09999999999999</v>
      </c>
      <c r="O687" s="28">
        <f>(N687+F687)/2</f>
        <v/>
      </c>
      <c r="P687">
        <f>IF(O687="計算不能","計算不能",IF(O687&gt;=80,5,IF(O687&gt;=60,4,IF(O687&gt;=40,3,IF(O687&gt;=28,2,1)))))</f>
        <v/>
      </c>
      <c r="Q687" t="n">
        <v>82</v>
      </c>
      <c r="R687" t="n">
        <v>0</v>
      </c>
      <c r="S687" s="27">
        <f>R687/Q687</f>
        <v/>
      </c>
      <c r="T687" t="inlineStr">
        <is>
          <t>御蔵島村は2025年から2045年にかけて人口が約4.4%増と全国的にも希少な人口増トレンド。都市機能の集積と職住近接需要を背景に、単身・若年ファミリー層の流入が継続し、賃貸母数の拡大が見込める。</t>
        </is>
      </c>
      <c r="U687" t="inlineStr">
        <is>
          <t>御蔵島村は人口密度14人/km²と過疎的水準で、民間賃貸の新規需要は薄い。実需に裏付けられた格安戸建ての指値取得のみが現実的。 借家の空室率は約0%と需給は比較的引き締まっている。</t>
        </is>
      </c>
      <c r="V687" t="inlineStr">
        <is>
          <t>御蔵島村（東京都）：荒川・多摩川の氾濫と東部低地の内水・高潮、臨海部の液状化、直下型地震の被害想定に最大級の留意。</t>
        </is>
      </c>
    </row>
    <row r="688">
      <c r="A688" t="inlineStr">
        <is>
          <t>東京都</t>
        </is>
      </c>
      <c r="B688" t="inlineStr">
        <is>
          <t>八丈町</t>
        </is>
      </c>
      <c r="C688" t="n">
        <v>4128</v>
      </c>
      <c r="D688" t="n">
        <v>6622</v>
      </c>
      <c r="E688" s="6" t="n">
        <v>89.59999999999999</v>
      </c>
      <c r="F688" s="7" t="n">
        <v>19</v>
      </c>
      <c r="G688" t="n">
        <v>7042</v>
      </c>
      <c r="H688" t="n">
        <v>6622</v>
      </c>
      <c r="I688" t="n">
        <v>6255</v>
      </c>
      <c r="J688" t="n">
        <v>5389</v>
      </c>
      <c r="K688" s="27">
        <f>(H688/D688-1)</f>
        <v/>
      </c>
      <c r="L688" s="27">
        <f>(I688/D688-1)</f>
        <v/>
      </c>
      <c r="M688" s="27">
        <f>(J688/D688-1)</f>
        <v/>
      </c>
      <c r="N688" t="n">
        <v>50.7</v>
      </c>
      <c r="O688" s="28">
        <f>(N688+F688)/2</f>
        <v/>
      </c>
      <c r="P688">
        <f>IF(O688="計算不能","計算不能",IF(O688&gt;=80,5,IF(O688&gt;=60,4,IF(O688&gt;=40,3,IF(O688&gt;=28,2,1)))))</f>
        <v/>
      </c>
      <c r="Q688" t="n">
        <v>2004</v>
      </c>
      <c r="R688" t="n">
        <v>0</v>
      </c>
      <c r="S688" s="27">
        <f>R688/Q688</f>
        <v/>
      </c>
      <c r="T688" t="inlineStr">
        <is>
          <t>八丈町は2045年までに人口が約18.6%減と明確な減少トレンド。高齢化の進行と世帯数の縮小により、中長期では賃貸需要の構造的縮小に警戒が必要。</t>
        </is>
      </c>
      <c r="U688" t="inlineStr">
        <is>
          <t>八丈町は人口密度90人/km²と過疎的水準で、民間賃貸の新規需要は薄い。実需に裏付けられた格安戸建ての指値取得のみが現実的。 借家の空室率は約0%と需給は比較的引き締まっている。</t>
        </is>
      </c>
      <c r="V688" t="inlineStr">
        <is>
          <t>八丈町（東京都）：荒川・多摩川の氾濫と東部低地の内水・高潮、臨海部の液状化、直下型地震の被害想定に最大級の留意。</t>
        </is>
      </c>
    </row>
    <row r="689">
      <c r="A689" t="inlineStr">
        <is>
          <t>東京都</t>
        </is>
      </c>
      <c r="B689" t="inlineStr">
        <is>
          <t>青ヶ島村</t>
        </is>
      </c>
      <c r="C689" t="n">
        <v>114</v>
      </c>
      <c r="D689" t="n">
        <v>156</v>
      </c>
      <c r="E689" s="6" t="n">
        <v>28.2</v>
      </c>
      <c r="F689" s="7" t="n">
        <v>12.8</v>
      </c>
      <c r="G689" t="n">
        <v>169</v>
      </c>
      <c r="H689" t="n">
        <v>156</v>
      </c>
      <c r="I689" t="n">
        <v>152</v>
      </c>
      <c r="J689" t="n">
        <v>144</v>
      </c>
      <c r="K689" s="27">
        <f>(H689/D689-1)</f>
        <v/>
      </c>
      <c r="L689" s="27">
        <f>(I689/D689-1)</f>
        <v/>
      </c>
      <c r="M689" s="27">
        <f>(J689/D689-1)</f>
        <v/>
      </c>
      <c r="N689" t="n">
        <v>54.4</v>
      </c>
      <c r="O689" s="28">
        <f>(N689+F689)/2</f>
        <v/>
      </c>
      <c r="P689">
        <f>IF(O689="計算不能","計算不能",IF(O689&gt;=80,5,IF(O689&gt;=60,4,IF(O689&gt;=40,3,IF(O689&gt;=28,2,1)))))</f>
        <v/>
      </c>
      <c r="Q689" t="n">
        <v>55</v>
      </c>
      <c r="R689" t="n">
        <v>0</v>
      </c>
      <c r="S689" s="27">
        <f>R689/Q689</f>
        <v/>
      </c>
      <c r="T689" t="inlineStr">
        <is>
          <t>青ヶ島村は2045年までに人口が約7.7%減と緩やかな減少局面。若年層の都市部流出と高齢化が進むが、当面の賃貸稼働は一定程度維持される見通し。</t>
        </is>
      </c>
      <c r="U689" t="inlineStr">
        <is>
          <t>青ヶ島村は人口密度28人/km²と過疎的水準で、民間賃貸の新規需要は薄い。実需に裏付けられた格安戸建ての指値取得のみが現実的。 借家の空室率は約0%と需給は比較的引き締まっている。</t>
        </is>
      </c>
      <c r="V689" t="inlineStr">
        <is>
          <t>青ヶ島村（東京都）：荒川・多摩川の氾濫と東部低地の内水・高潮、臨海部の液状化、直下型地震の被害想定に最大級の留意。</t>
        </is>
      </c>
    </row>
    <row r="690">
      <c r="A690" t="inlineStr">
        <is>
          <t>東京都</t>
        </is>
      </c>
      <c r="B690" t="inlineStr">
        <is>
          <t>小笠原村</t>
        </is>
      </c>
      <c r="C690" t="n">
        <v>1490</v>
      </c>
      <c r="D690" t="n">
        <v>2828</v>
      </c>
      <c r="E690" s="6" t="n">
        <v>24</v>
      </c>
      <c r="F690" s="7" t="n">
        <v>12.4</v>
      </c>
      <c r="G690" t="n">
        <v>2929</v>
      </c>
      <c r="H690" t="n">
        <v>2828</v>
      </c>
      <c r="I690" t="n">
        <v>2721</v>
      </c>
      <c r="J690" t="n">
        <v>2612</v>
      </c>
      <c r="K690" s="27">
        <f>(H690/D690-1)</f>
        <v/>
      </c>
      <c r="L690" s="27">
        <f>(I690/D690-1)</f>
        <v/>
      </c>
      <c r="M690" s="27">
        <f>(J690/D690-1)</f>
        <v/>
      </c>
      <c r="N690" t="n">
        <v>61.9</v>
      </c>
      <c r="O690" s="28">
        <f>(N690+F690)/2</f>
        <v/>
      </c>
      <c r="P690">
        <f>IF(O690="計算不能","計算不能",IF(O690&gt;=80,5,IF(O690&gt;=60,4,IF(O690&gt;=40,3,IF(O690&gt;=28,2,1)))))</f>
        <v/>
      </c>
      <c r="Q690" t="n">
        <v>723</v>
      </c>
      <c r="R690" t="n">
        <v>0</v>
      </c>
      <c r="S690" s="27">
        <f>R690/Q690</f>
        <v/>
      </c>
      <c r="T690" t="inlineStr">
        <is>
          <t>小笠原村は2045年までに人口が約7.6%減と緩やかな減少局面。若年層の都市部流出と高齢化が進むが、当面の賃貸稼働は一定程度維持される見通し。</t>
        </is>
      </c>
      <c r="U690" t="inlineStr">
        <is>
          <t>小笠原村は人口密度24人/km²と過疎的水準で、民間賃貸の新規需要は薄い。実需に裏付けられた格安戸建ての指値取得のみが現実的。 借家の空室率は約0%と需給は比較的引き締まっている。</t>
        </is>
      </c>
      <c r="V690" t="inlineStr">
        <is>
          <t>小笠原村（東京都）：荒川・多摩川の氾濫と東部低地の内水・高潮、臨海部の液状化、直下型地震の被害想定に最大級の留意。</t>
        </is>
      </c>
    </row>
    <row r="691">
      <c r="A691" t="inlineStr">
        <is>
          <t>神奈川県</t>
        </is>
      </c>
      <c r="B691" t="inlineStr">
        <is>
          <t>横浜市</t>
        </is>
      </c>
      <c r="C691" t="n">
        <v>1778000</v>
      </c>
      <c r="D691" t="n">
        <v>3786702</v>
      </c>
      <c r="E691" s="6" t="n">
        <v>8568.200000000001</v>
      </c>
      <c r="F691" s="7" t="n">
        <v>97.09999999999999</v>
      </c>
      <c r="G691" t="n">
        <v>3777491</v>
      </c>
      <c r="H691" t="n">
        <v>3786702</v>
      </c>
      <c r="I691" t="n">
        <v>3756159</v>
      </c>
      <c r="J691" t="n">
        <v>3603784</v>
      </c>
      <c r="K691" s="27">
        <f>(H691/D691-1)</f>
        <v/>
      </c>
      <c r="L691" s="27">
        <f>(I691/D691-1)</f>
        <v/>
      </c>
      <c r="M691" s="27">
        <f>(J691/D691-1)</f>
        <v/>
      </c>
      <c r="N691" t="n">
        <v>72.5</v>
      </c>
      <c r="O691" s="28">
        <f>(N691+F691)/2</f>
        <v/>
      </c>
      <c r="P691">
        <f>IF(O691="計算不能","計算不能",IF(O691&gt;=80,5,IF(O691&gt;=60,4,IF(O691&gt;=40,3,IF(O691&gt;=28,2,1)))))</f>
        <v/>
      </c>
      <c r="Q691" t="n">
        <v>653900</v>
      </c>
      <c r="R691" t="n">
        <v>105700</v>
      </c>
      <c r="S691" s="27">
        <f>R691/Q691</f>
        <v/>
      </c>
      <c r="T691" t="inlineStr">
        <is>
          <t>横浜市は2045年までの人口減少率が約4.8%と全国平均より緩やかで、概ね横ばいの安定推移。生産年齢人口の維持により、賃貸需要の急減リスクは相対的に低い。【最新動向】みなとみらい21は最終段階で就業人口14万人超、関内駅前北口（106m）・港町（170m）など大型再開発が2029年竣工に向け進行。若年単身者の社会増が下支えだが、2021年頃をピークに緩やかな人口減局面。</t>
        </is>
      </c>
      <c r="U691" t="inlineStr">
        <is>
          <t>横浜市は人口密度8,568人/km²の高密度市街地で、駅近ワンルームからファミリー向けまで極めて強い賃貸実需が存在。資産流動性・出口戦略の容易さも高い。 借家の空室率は約16%と需給は比較的引き締まっている。【最新動向】みなとみらい・関内・新横浜の職住近接需要は強く、駅近の賃貸実需は首都圏トップクラス。資産流動性・出口戦略の容易さも高い。</t>
        </is>
      </c>
      <c r="V691" t="inlineStr">
        <is>
          <t>横浜市（神奈川県）：多摩川・相模川水系の洪水、臨海部の液状化・高潮、三浦半島や山裾の崖崩れ・土砂災害に注意。</t>
        </is>
      </c>
    </row>
    <row r="692">
      <c r="A692" t="inlineStr">
        <is>
          <t>神奈川県</t>
        </is>
      </c>
      <c r="B692" t="inlineStr">
        <is>
          <t>川崎市</t>
        </is>
      </c>
      <c r="C692" t="n">
        <v>763200</v>
      </c>
      <c r="D692" t="n">
        <v>1535017</v>
      </c>
      <c r="E692" s="6" t="n">
        <v>10920.1</v>
      </c>
      <c r="F692" s="7" t="n">
        <v>100</v>
      </c>
      <c r="G692" t="n">
        <v>1538262</v>
      </c>
      <c r="H692" t="n">
        <v>1535017</v>
      </c>
      <c r="I692" t="n">
        <v>1567243</v>
      </c>
      <c r="J692" t="n">
        <v>1610179</v>
      </c>
      <c r="K692" s="27">
        <f>(H692/D692-1)</f>
        <v/>
      </c>
      <c r="L692" s="27">
        <f>(I692/D692-1)</f>
        <v/>
      </c>
      <c r="M692" s="27">
        <f>(J692/D692-1)</f>
        <v/>
      </c>
      <c r="N692" t="n">
        <v>78.5</v>
      </c>
      <c r="O692" s="28">
        <f>(N692+F692)/2</f>
        <v/>
      </c>
      <c r="P692">
        <f>IF(O692="計算不能","計算不能",IF(O692&gt;=80,5,IF(O692&gt;=60,4,IF(O692&gt;=40,3,IF(O692&gt;=28,2,1)))))</f>
        <v/>
      </c>
      <c r="Q692" t="n">
        <v>275931</v>
      </c>
      <c r="R692" t="n">
        <v>51000</v>
      </c>
      <c r="S692" s="27">
        <f>R692/Q692</f>
        <v/>
      </c>
      <c r="T692" t="inlineStr">
        <is>
          <t>川崎市は2025年から2045年にかけて人口が約4.9%増と全国的にも希少な人口増トレンド。都市機能の集積と職住近接需要を背景に、単身・若年ファミリー層の流入が継続し、賃貸母数の拡大が見込める。</t>
        </is>
      </c>
      <c r="U692" t="inlineStr">
        <is>
          <t>川崎市は人口密度10,920人/km²の高密度市街地で、駅近ワンルームからファミリー向けまで極めて強い賃貸実需が存在。資産流動性・出口戦略の容易さも高い。 借家の空室率は約18%とやや高めで、競合との差別化が必要。</t>
        </is>
      </c>
      <c r="V692" t="inlineStr">
        <is>
          <t>川崎市（神奈川県）：多摩川・相模川水系の洪水、臨海部の液状化・高潮、三浦半島や山裾の崖崩れ・土砂災害に注意。</t>
        </is>
      </c>
    </row>
    <row r="693">
      <c r="A693" t="inlineStr">
        <is>
          <t>神奈川県</t>
        </is>
      </c>
      <c r="B693" t="inlineStr">
        <is>
          <t>相模原市</t>
        </is>
      </c>
      <c r="C693" t="n">
        <v>340400</v>
      </c>
      <c r="D693" t="n">
        <v>719711</v>
      </c>
      <c r="E693" s="6" t="n">
        <v>2165</v>
      </c>
      <c r="F693" s="7" t="n">
        <v>71.7</v>
      </c>
      <c r="G693" t="n">
        <v>725493</v>
      </c>
      <c r="H693" t="n">
        <v>719711</v>
      </c>
      <c r="I693" t="n">
        <v>710265</v>
      </c>
      <c r="J693" t="n">
        <v>664872</v>
      </c>
      <c r="K693" s="27">
        <f>(H693/D693-1)</f>
        <v/>
      </c>
      <c r="L693" s="27">
        <f>(I693/D693-1)</f>
        <v/>
      </c>
      <c r="M693" s="27">
        <f>(J693/D693-1)</f>
        <v/>
      </c>
      <c r="N693" t="n">
        <v>68.7</v>
      </c>
      <c r="O693" s="28">
        <f>(N693+F693)/2</f>
        <v/>
      </c>
      <c r="P693">
        <f>IF(O693="計算不能","計算不能",IF(O693&gt;=80,5,IF(O693&gt;=60,4,IF(O693&gt;=40,3,IF(O693&gt;=28,2,1)))))</f>
        <v/>
      </c>
      <c r="Q693" t="n">
        <v>123070</v>
      </c>
      <c r="R693" t="n">
        <v>16900</v>
      </c>
      <c r="S693" s="27">
        <f>R693/Q693</f>
        <v/>
      </c>
      <c r="T693" t="inlineStr">
        <is>
          <t>相模原市は2045年までに人口が約7.6%減と緩やかな減少局面。若年層の都市部流出と高齢化が進むが、当面の賃貸稼働は一定程度維持される見通し。</t>
        </is>
      </c>
      <c r="U693" t="inlineStr">
        <is>
          <t>相模原市は人口密度2,165人/km²の都市部で、駅周辺や生活利便施設沿いに安定した賃貸需要がある。適切な家賃設定で高稼働を期待できる。 借家の空室率は約14%と需給は比較的引き締まっている。</t>
        </is>
      </c>
      <c r="V693" t="inlineStr">
        <is>
          <t>相模原市（神奈川県）：多摩川・相模川水系の洪水、臨海部の液状化・高潮、三浦半島や山裾の崖崩れ・土砂災害に注意。</t>
        </is>
      </c>
    </row>
    <row r="694">
      <c r="A694" t="inlineStr">
        <is>
          <t>神奈川県</t>
        </is>
      </c>
      <c r="B694" t="inlineStr">
        <is>
          <t>横須賀市</t>
        </is>
      </c>
      <c r="C694" t="n">
        <v>163830</v>
      </c>
      <c r="D694" t="n">
        <v>370433</v>
      </c>
      <c r="E694" s="6" t="n">
        <v>3620.8</v>
      </c>
      <c r="F694" s="7" t="n">
        <v>80</v>
      </c>
      <c r="G694" t="n">
        <v>388078</v>
      </c>
      <c r="H694" t="n">
        <v>370433</v>
      </c>
      <c r="I694" t="n">
        <v>350569</v>
      </c>
      <c r="J694" t="n">
        <v>290851</v>
      </c>
      <c r="K694" s="27">
        <f>(H694/D694-1)</f>
        <v/>
      </c>
      <c r="L694" s="27">
        <f>(I694/D694-1)</f>
        <v/>
      </c>
      <c r="M694" s="27">
        <f>(J694/D694-1)</f>
        <v/>
      </c>
      <c r="N694" t="n">
        <v>52.1</v>
      </c>
      <c r="O694" s="28">
        <f>(N694+F694)/2</f>
        <v/>
      </c>
      <c r="P694">
        <f>IF(O694="計算不能","計算不能",IF(O694&gt;=80,5,IF(O694&gt;=60,4,IF(O694&gt;=40,3,IF(O694&gt;=28,2,1)))))</f>
        <v/>
      </c>
      <c r="Q694" t="n">
        <v>59232</v>
      </c>
      <c r="R694" t="n">
        <v>15450</v>
      </c>
      <c r="S694" s="27">
        <f>R694/Q694</f>
        <v/>
      </c>
      <c r="T694" t="inlineStr">
        <is>
          <t>横須賀市は2045年までに人口が約21.5%減と明確な減少トレンド。高齢化の進行と世帯数の縮小により、中長期では賃貸需要の構造的縮小に警戒が必要。</t>
        </is>
      </c>
      <c r="U694" t="inlineStr">
        <is>
          <t>横須賀市は人口密度3,621人/km²の都市部で、駅周辺や生活利便施設沿いに安定した賃貸需要がある。適切な家賃設定で高稼働を期待できる。 借家の空室率は約26%と供給過多気味で、空室長期化リスクに要警戒。</t>
        </is>
      </c>
      <c r="V694" t="inlineStr">
        <is>
          <t>横須賀市（神奈川県）：多摩川・相模川水系の洪水、臨海部の液状化・高潮、三浦半島や山裾の崖崩れ・土砂災害に注意。</t>
        </is>
      </c>
    </row>
    <row r="695">
      <c r="A695" t="inlineStr">
        <is>
          <t>神奈川県</t>
        </is>
      </c>
      <c r="B695" t="inlineStr">
        <is>
          <t>平塚市</t>
        </is>
      </c>
      <c r="C695" t="n">
        <v>111830</v>
      </c>
      <c r="D695" t="n">
        <v>255442</v>
      </c>
      <c r="E695" s="6" t="n">
        <v>3803.2</v>
      </c>
      <c r="F695" s="7" t="n">
        <v>80</v>
      </c>
      <c r="G695" t="n">
        <v>258422</v>
      </c>
      <c r="H695" t="n">
        <v>255442</v>
      </c>
      <c r="I695" t="n">
        <v>249773</v>
      </c>
      <c r="J695" t="n">
        <v>227250</v>
      </c>
      <c r="K695" s="27">
        <f>(H695/D695-1)</f>
        <v/>
      </c>
      <c r="L695" s="27">
        <f>(I695/D695-1)</f>
        <v/>
      </c>
      <c r="M695" s="27">
        <f>(J695/D695-1)</f>
        <v/>
      </c>
      <c r="N695" t="n">
        <v>65.7</v>
      </c>
      <c r="O695" s="28">
        <f>(N695+F695)/2</f>
        <v/>
      </c>
      <c r="P695">
        <f>IF(O695="計算不能","計算不能",IF(O695&gt;=80,5,IF(O695&gt;=60,4,IF(O695&gt;=40,3,IF(O695&gt;=28,2,1)))))</f>
        <v/>
      </c>
      <c r="Q695" t="n">
        <v>40431</v>
      </c>
      <c r="R695" t="n">
        <v>9230</v>
      </c>
      <c r="S695" s="27">
        <f>R695/Q695</f>
        <v/>
      </c>
      <c r="T695" t="inlineStr">
        <is>
          <t>平塚市は2045年までに人口が約11.0%減と緩やかな減少局面。若年層の都市部流出と高齢化が進むが、当面の賃貸稼働は一定程度維持される見通し。</t>
        </is>
      </c>
      <c r="U695" t="inlineStr">
        <is>
          <t>平塚市は人口密度3,803人/km²の都市部で、駅周辺や生活利便施設沿いに安定した賃貸需要がある。適切な家賃設定で高稼働を期待できる。 借家の空室率は約23%とやや高めで、競合との差別化が必要。</t>
        </is>
      </c>
      <c r="V695" t="inlineStr">
        <is>
          <t>平塚市（神奈川県）：多摩川・相模川水系の洪水、臨海部の液状化・高潮、三浦半島や山裾の崖崩れ・土砂災害に注意。</t>
        </is>
      </c>
    </row>
    <row r="696">
      <c r="A696" t="inlineStr">
        <is>
          <t>神奈川県</t>
        </is>
      </c>
      <c r="B696" t="inlineStr">
        <is>
          <t>鎌倉市</t>
        </is>
      </c>
      <c r="C696" t="n">
        <v>76760</v>
      </c>
      <c r="D696" t="n">
        <v>170691</v>
      </c>
      <c r="E696" s="6" t="n">
        <v>4283.2</v>
      </c>
      <c r="F696" s="7" t="n">
        <v>80</v>
      </c>
      <c r="G696" t="n">
        <v>172710</v>
      </c>
      <c r="H696" t="n">
        <v>170691</v>
      </c>
      <c r="I696" t="n">
        <v>167601</v>
      </c>
      <c r="J696" t="n">
        <v>158830</v>
      </c>
      <c r="K696" s="27">
        <f>(H696/D696-1)</f>
        <v/>
      </c>
      <c r="L696" s="27">
        <f>(I696/D696-1)</f>
        <v/>
      </c>
      <c r="M696" s="27">
        <f>(J696/D696-1)</f>
        <v/>
      </c>
      <c r="N696" t="n">
        <v>68</v>
      </c>
      <c r="O696" s="28">
        <f>(N696+F696)/2</f>
        <v/>
      </c>
      <c r="P696">
        <f>IF(O696="計算不能","計算不能",IF(O696&gt;=80,5,IF(O696&gt;=60,4,IF(O696&gt;=40,3,IF(O696&gt;=28,2,1)))))</f>
        <v/>
      </c>
      <c r="Q696" t="n">
        <v>27752</v>
      </c>
      <c r="R696" t="n">
        <v>3970</v>
      </c>
      <c r="S696" s="27">
        <f>R696/Q696</f>
        <v/>
      </c>
      <c r="T696" t="inlineStr">
        <is>
          <t>鎌倉市は2045年までに人口が約6.9%減と緩やかな減少局面。若年層の都市部流出と高齢化が進むが、当面の賃貸稼働は一定程度維持される見通し。</t>
        </is>
      </c>
      <c r="U696" t="inlineStr">
        <is>
          <t>鎌倉市は人口密度4,283人/km²の都市部で、駅周辺や生活利便施設沿いに安定した賃貸需要がある。適切な家賃設定で高稼働を期待できる。 借家の空室率は約14%と需給は比較的引き締まっている。</t>
        </is>
      </c>
      <c r="V696" t="inlineStr">
        <is>
          <t>鎌倉市（神奈川県）：多摩川・相模川水系の洪水、臨海部の液状化・高潮、三浦半島や山裾の崖崩れ・土砂災害に注意。</t>
        </is>
      </c>
    </row>
    <row r="697">
      <c r="A697" t="inlineStr">
        <is>
          <t>神奈川県</t>
        </is>
      </c>
      <c r="B697" t="inlineStr">
        <is>
          <t>藤沢市</t>
        </is>
      </c>
      <c r="C697" t="n">
        <v>198940</v>
      </c>
      <c r="D697" t="n">
        <v>443102</v>
      </c>
      <c r="E697" s="6" t="n">
        <v>6381.5</v>
      </c>
      <c r="F697" s="7" t="n">
        <v>92.8</v>
      </c>
      <c r="G697" t="n">
        <v>436905</v>
      </c>
      <c r="H697" t="n">
        <v>443102</v>
      </c>
      <c r="I697" t="n">
        <v>444890</v>
      </c>
      <c r="J697" t="n">
        <v>437749</v>
      </c>
      <c r="K697" s="27">
        <f>(H697/D697-1)</f>
        <v/>
      </c>
      <c r="L697" s="27">
        <f>(I697/D697-1)</f>
        <v/>
      </c>
      <c r="M697" s="27">
        <f>(J697/D697-1)</f>
        <v/>
      </c>
      <c r="N697" t="n">
        <v>77.5</v>
      </c>
      <c r="O697" s="28">
        <f>(N697+F697)/2</f>
        <v/>
      </c>
      <c r="P697">
        <f>IF(O697="計算不能","計算不能",IF(O697&gt;=80,5,IF(O697&gt;=60,4,IF(O697&gt;=40,3,IF(O697&gt;=28,2,1)))))</f>
        <v/>
      </c>
      <c r="Q697" t="n">
        <v>71925</v>
      </c>
      <c r="R697" t="n">
        <v>10470</v>
      </c>
      <c r="S697" s="27">
        <f>R697/Q697</f>
        <v/>
      </c>
      <c r="T697" t="inlineStr">
        <is>
          <t>藤沢市は2045年までの人口減少率が約1.2%と全国平均より緩やかで、概ね横ばいの安定推移。生産年齢人口の維持により、賃貸需要の急減リスクは相対的に低い。</t>
        </is>
      </c>
      <c r="U697" t="inlineStr">
        <is>
          <t>藤沢市は人口密度6,382人/km²の高密度市街地で、駅近ワンルームからファミリー向けまで極めて強い賃貸実需が存在。資産流動性・出口戦略の容易さも高い。 借家の空室率は約15%と需給は比較的引き締まっている。</t>
        </is>
      </c>
      <c r="V697" t="inlineStr">
        <is>
          <t>藤沢市（神奈川県）：多摩川・相模川水系の洪水、臨海部の液状化・高潮、三浦半島や山裾の崖崩れ・土砂災害に注意。</t>
        </is>
      </c>
    </row>
    <row r="698">
      <c r="A698" t="inlineStr">
        <is>
          <t>神奈川県</t>
        </is>
      </c>
      <c r="B698" t="inlineStr">
        <is>
          <t>小田原市</t>
        </is>
      </c>
      <c r="C698" t="n">
        <v>83700</v>
      </c>
      <c r="D698" t="n">
        <v>183233</v>
      </c>
      <c r="E698" s="6" t="n">
        <v>1627.9</v>
      </c>
      <c r="F698" s="7" t="n">
        <v>66.3</v>
      </c>
      <c r="G698" t="n">
        <v>188856</v>
      </c>
      <c r="H698" t="n">
        <v>183233</v>
      </c>
      <c r="I698" t="n">
        <v>176703</v>
      </c>
      <c r="J698" t="n">
        <v>154947</v>
      </c>
      <c r="K698" s="27">
        <f>(H698/D698-1)</f>
        <v/>
      </c>
      <c r="L698" s="27">
        <f>(I698/D698-1)</f>
        <v/>
      </c>
      <c r="M698" s="27">
        <f>(J698/D698-1)</f>
        <v/>
      </c>
      <c r="N698" t="n">
        <v>59.1</v>
      </c>
      <c r="O698" s="28">
        <f>(N698+F698)/2</f>
        <v/>
      </c>
      <c r="P698">
        <f>IF(O698="計算不能","計算不能",IF(O698&gt;=80,5,IF(O698&gt;=60,4,IF(O698&gt;=40,3,IF(O698&gt;=28,2,1)))))</f>
        <v/>
      </c>
      <c r="Q698" t="n">
        <v>30261</v>
      </c>
      <c r="R698" t="n">
        <v>8410</v>
      </c>
      <c r="S698" s="27">
        <f>R698/Q698</f>
        <v/>
      </c>
      <c r="T698" t="inlineStr">
        <is>
          <t>小田原市は2045年までに人口が約15.4%減と明確な減少トレンド。高齢化の進行と世帯数の縮小により、中長期では賃貸需要の構造的縮小に警戒が必要。</t>
        </is>
      </c>
      <c r="U698" t="inlineStr">
        <is>
          <t>小田原市は人口密度1,628人/km²の都市部で、駅周辺や生活利便施設沿いに安定した賃貸需要がある。適切な家賃設定で高稼働を期待できる。 借家の空室率は約28%と供給過多気味で、空室長期化リスクに要警戒。</t>
        </is>
      </c>
      <c r="V698" t="inlineStr">
        <is>
          <t>小田原市（神奈川県）：多摩川・相模川水系の洪水、臨海部の液状化・高潮、三浦半島や山裾の崖崩れ・土砂災害に注意。</t>
        </is>
      </c>
    </row>
    <row r="699">
      <c r="A699" t="inlineStr">
        <is>
          <t>神奈川県</t>
        </is>
      </c>
      <c r="B699" t="inlineStr">
        <is>
          <t>茅ヶ崎市</t>
        </is>
      </c>
      <c r="C699" t="n">
        <v>105670</v>
      </c>
      <c r="D699" t="n">
        <v>242388</v>
      </c>
      <c r="E699" s="6" t="n">
        <v>6851.6</v>
      </c>
      <c r="F699" s="7" t="n">
        <v>93.7</v>
      </c>
      <c r="G699" t="n">
        <v>242389</v>
      </c>
      <c r="H699" t="n">
        <v>242388</v>
      </c>
      <c r="I699" t="n">
        <v>240143</v>
      </c>
      <c r="J699" t="n">
        <v>230872</v>
      </c>
      <c r="K699" s="27">
        <f>(H699/D699-1)</f>
        <v/>
      </c>
      <c r="L699" s="27">
        <f>(I699/D699-1)</f>
        <v/>
      </c>
      <c r="M699" s="27">
        <f>(J699/D699-1)</f>
        <v/>
      </c>
      <c r="N699" t="n">
        <v>72</v>
      </c>
      <c r="O699" s="28">
        <f>(N699+F699)/2</f>
        <v/>
      </c>
      <c r="P699">
        <f>IF(O699="計算不能","計算不能",IF(O699&gt;=80,5,IF(O699&gt;=60,4,IF(O699&gt;=40,3,IF(O699&gt;=28,2,1)))))</f>
        <v/>
      </c>
      <c r="Q699" t="n">
        <v>38204</v>
      </c>
      <c r="R699" t="n">
        <v>5940</v>
      </c>
      <c r="S699" s="27">
        <f>R699/Q699</f>
        <v/>
      </c>
      <c r="T699" t="inlineStr">
        <is>
          <t>茅ヶ崎市は2045年までの人口減少率が約4.8%と全国平均より緩やかで、概ね横ばいの安定推移。生産年齢人口の維持により、賃貸需要の急減リスクは相対的に低い。</t>
        </is>
      </c>
      <c r="U699" t="inlineStr">
        <is>
          <t>茅ヶ崎市は人口密度6,852人/km²の高密度市街地で、駅近ワンルームからファミリー向けまで極めて強い賃貸実需が存在。資産流動性・出口戦略の容易さも高い。 借家の空室率は約16%と需給は比較的引き締まっている。</t>
        </is>
      </c>
      <c r="V699" t="inlineStr">
        <is>
          <t>茅ヶ崎市（神奈川県）：多摩川・相模川水系の洪水、臨海部の液状化・高潮、三浦半島や山裾の崖崩れ・土砂災害に注意。</t>
        </is>
      </c>
    </row>
    <row r="700">
      <c r="A700" t="inlineStr">
        <is>
          <t>神奈川県</t>
        </is>
      </c>
      <c r="B700" t="inlineStr">
        <is>
          <t>逗子市</t>
        </is>
      </c>
      <c r="C700" t="n">
        <v>24640</v>
      </c>
      <c r="D700" t="n">
        <v>55671</v>
      </c>
      <c r="E700" s="6" t="n">
        <v>3198.1</v>
      </c>
      <c r="F700" s="7" t="n">
        <v>80</v>
      </c>
      <c r="G700" t="n">
        <v>57060</v>
      </c>
      <c r="H700" t="n">
        <v>55671</v>
      </c>
      <c r="I700" t="n">
        <v>53972</v>
      </c>
      <c r="J700" t="n">
        <v>50007</v>
      </c>
      <c r="K700" s="27">
        <f>(H700/D700-1)</f>
        <v/>
      </c>
      <c r="L700" s="27">
        <f>(I700/D700-1)</f>
        <v/>
      </c>
      <c r="M700" s="27">
        <f>(J700/D700-1)</f>
        <v/>
      </c>
      <c r="N700" t="n">
        <v>63.1</v>
      </c>
      <c r="O700" s="28">
        <f>(N700+F700)/2</f>
        <v/>
      </c>
      <c r="P700">
        <f>IF(O700="計算不能","計算不能",IF(O700&gt;=80,5,IF(O700&gt;=60,4,IF(O700&gt;=40,3,IF(O700&gt;=28,2,1)))))</f>
        <v/>
      </c>
      <c r="Q700" t="n">
        <v>8908</v>
      </c>
      <c r="R700" t="n">
        <v>1070</v>
      </c>
      <c r="S700" s="27">
        <f>R700/Q700</f>
        <v/>
      </c>
      <c r="T700" t="inlineStr">
        <is>
          <t>逗子市は2045年までに人口が約10.2%減と緩やかな減少局面。若年層の都市部流出と高齢化が進むが、当面の賃貸稼働は一定程度維持される見通し。</t>
        </is>
      </c>
      <c r="U700" t="inlineStr">
        <is>
          <t>逗子市は人口密度3,198人/km²の都市部で、駅周辺や生活利便施設沿いに安定した賃貸需要がある。適切な家賃設定で高稼働を期待できる。 借家の空室率は約12%と需給は比較的引き締まっている。</t>
        </is>
      </c>
      <c r="V700" t="inlineStr">
        <is>
          <t>逗子市（神奈川県）：多摩川・相模川水系の洪水、臨海部の液状化・高潮、三浦半島や山裾の崖崩れ・土砂災害に注意。</t>
        </is>
      </c>
    </row>
    <row r="701">
      <c r="A701" t="inlineStr">
        <is>
          <t>神奈川県</t>
        </is>
      </c>
      <c r="B701" t="inlineStr">
        <is>
          <t>三浦市</t>
        </is>
      </c>
      <c r="C701" t="n">
        <v>17350</v>
      </c>
      <c r="D701" t="n">
        <v>39131</v>
      </c>
      <c r="E701" s="6" t="n">
        <v>1205.8</v>
      </c>
      <c r="F701" s="7" t="n">
        <v>59.1</v>
      </c>
      <c r="G701" t="n">
        <v>42069</v>
      </c>
      <c r="H701" t="n">
        <v>39131</v>
      </c>
      <c r="I701" t="n">
        <v>35987</v>
      </c>
      <c r="J701" t="n">
        <v>26211</v>
      </c>
      <c r="K701" s="27">
        <f>(H701/D701-1)</f>
        <v/>
      </c>
      <c r="L701" s="27">
        <f>(I701/D701-1)</f>
        <v/>
      </c>
      <c r="M701" s="27">
        <f>(J701/D701-1)</f>
        <v/>
      </c>
      <c r="N701" t="n">
        <v>42.7</v>
      </c>
      <c r="O701" s="28">
        <f>(N701+F701)/2</f>
        <v/>
      </c>
      <c r="P701">
        <f>IF(O701="計算不能","計算不能",IF(O701&gt;=80,5,IF(O701&gt;=60,4,IF(O701&gt;=40,3,IF(O701&gt;=28,2,1)))))</f>
        <v/>
      </c>
      <c r="Q701" t="n">
        <v>6272</v>
      </c>
      <c r="R701" t="n">
        <v>1450</v>
      </c>
      <c r="S701" s="27">
        <f>R701/Q701</f>
        <v/>
      </c>
      <c r="T701" t="inlineStr">
        <is>
          <t>三浦市は2045年までに人口が約33.0%減と急激な過疎・超高齢化が進行。若年労働世代の流出と自然減が重なり、賃貸事業としての持続性は極めて限定的。</t>
        </is>
      </c>
      <c r="U701" t="inlineStr">
        <is>
          <t>三浦市は人口密度1,206人/km²で、主要道路沿いや中心市街地に一定の賃貸需要が局在。立地選別が稼働を左右する。 借家の空室率は約23%とやや高めで、競合との差別化が必要。</t>
        </is>
      </c>
      <c r="V701" t="inlineStr">
        <is>
          <t>三浦市（神奈川県）：多摩川・相模川水系の洪水、臨海部の液状化・高潮、三浦半島や山裾の崖崩れ・土砂災害に注意。</t>
        </is>
      </c>
    </row>
    <row r="702">
      <c r="A702" t="inlineStr">
        <is>
          <t>神奈川県</t>
        </is>
      </c>
      <c r="B702" t="inlineStr">
        <is>
          <t>秦野市</t>
        </is>
      </c>
      <c r="C702" t="n">
        <v>71110</v>
      </c>
      <c r="D702" t="n">
        <v>158559</v>
      </c>
      <c r="E702" s="6" t="n">
        <v>1560.4</v>
      </c>
      <c r="F702" s="7" t="n">
        <v>65.59999999999999</v>
      </c>
      <c r="G702" t="n">
        <v>162439</v>
      </c>
      <c r="H702" t="n">
        <v>158559</v>
      </c>
      <c r="I702" t="n">
        <v>153436</v>
      </c>
      <c r="J702" t="n">
        <v>132810</v>
      </c>
      <c r="K702" s="27">
        <f>(H702/D702-1)</f>
        <v/>
      </c>
      <c r="L702" s="27">
        <f>(I702/D702-1)</f>
        <v/>
      </c>
      <c r="M702" s="27">
        <f>(J702/D702-1)</f>
        <v/>
      </c>
      <c r="N702" t="n">
        <v>60.1</v>
      </c>
      <c r="O702" s="28">
        <f>(N702+F702)/2</f>
        <v/>
      </c>
      <c r="P702">
        <f>IF(O702="計算不能","計算不能",IF(O702&gt;=80,5,IF(O702&gt;=60,4,IF(O702&gt;=40,3,IF(O702&gt;=28,2,1)))))</f>
        <v/>
      </c>
      <c r="Q702" t="n">
        <v>25709</v>
      </c>
      <c r="R702" t="n">
        <v>9450</v>
      </c>
      <c r="S702" s="27">
        <f>R702/Q702</f>
        <v/>
      </c>
      <c r="T702" t="inlineStr">
        <is>
          <t>秦野市は2045年までに人口が約16.2%減と明確な減少トレンド。高齢化の進行と世帯数の縮小により、中長期では賃貸需要の構造的縮小に警戒が必要。</t>
        </is>
      </c>
      <c r="U702" t="inlineStr">
        <is>
          <t>秦野市は人口密度1,560人/km²の都市部で、駅周辺や生活利便施設沿いに安定した賃貸需要がある。適切な家賃設定で高稼働を期待できる。 借家の空室率は約37%と供給過多気味で、空室長期化リスクに要警戒。</t>
        </is>
      </c>
      <c r="V702" t="inlineStr">
        <is>
          <t>秦野市（神奈川県）：多摩川・相模川水系の洪水、臨海部の液状化・高潮、三浦半島や山裾の崖崩れ・土砂災害に注意。</t>
        </is>
      </c>
    </row>
    <row r="703">
      <c r="A703" t="inlineStr">
        <is>
          <t>神奈川県</t>
        </is>
      </c>
      <c r="B703" t="inlineStr">
        <is>
          <t>厚木市</t>
        </is>
      </c>
      <c r="C703" t="n">
        <v>103940</v>
      </c>
      <c r="D703" t="n">
        <v>221368</v>
      </c>
      <c r="E703" s="6" t="n">
        <v>2375.5</v>
      </c>
      <c r="F703" s="7" t="n">
        <v>73.8</v>
      </c>
      <c r="G703" t="n">
        <v>223705</v>
      </c>
      <c r="H703" t="n">
        <v>221368</v>
      </c>
      <c r="I703" t="n">
        <v>216520</v>
      </c>
      <c r="J703" t="n">
        <v>196081</v>
      </c>
      <c r="K703" s="27">
        <f>(H703/D703-1)</f>
        <v/>
      </c>
      <c r="L703" s="27">
        <f>(I703/D703-1)</f>
        <v/>
      </c>
      <c r="M703" s="27">
        <f>(J703/D703-1)</f>
        <v/>
      </c>
      <c r="N703" t="n">
        <v>65.7</v>
      </c>
      <c r="O703" s="28">
        <f>(N703+F703)/2</f>
        <v/>
      </c>
      <c r="P703">
        <f>IF(O703="計算不能","計算不能",IF(O703&gt;=80,5,IF(O703&gt;=60,4,IF(O703&gt;=40,3,IF(O703&gt;=28,2,1)))))</f>
        <v/>
      </c>
      <c r="Q703" t="n">
        <v>37579</v>
      </c>
      <c r="R703" t="n">
        <v>9110</v>
      </c>
      <c r="S703" s="27">
        <f>R703/Q703</f>
        <v/>
      </c>
      <c r="T703" t="inlineStr">
        <is>
          <t>厚木市は2045年までに人口が約11.4%減と緩やかな減少局面。若年層の都市部流出と高齢化が進むが、当面の賃貸稼働は一定程度維持される見通し。</t>
        </is>
      </c>
      <c r="U703" t="inlineStr">
        <is>
          <t>厚木市は人口密度2,376人/km²の都市部で、駅周辺や生活利便施設沿いに安定した賃貸需要がある。適切な家賃設定で高稼働を期待できる。 借家の空室率は約24%とやや高めで、競合との差別化が必要。</t>
        </is>
      </c>
      <c r="V703" t="inlineStr">
        <is>
          <t>厚木市（神奈川県）：多摩川・相模川水系の洪水、臨海部の液状化・高潮、三浦半島や山裾の崖崩れ・土砂災害に注意。</t>
        </is>
      </c>
    </row>
    <row r="704">
      <c r="A704" t="inlineStr">
        <is>
          <t>神奈川県</t>
        </is>
      </c>
      <c r="B704" t="inlineStr">
        <is>
          <t>大和市</t>
        </is>
      </c>
      <c r="C704" t="n">
        <v>115470</v>
      </c>
      <c r="D704" t="n">
        <v>243378</v>
      </c>
      <c r="E704" s="6" t="n">
        <v>9090.6</v>
      </c>
      <c r="F704" s="7" t="n">
        <v>98.2</v>
      </c>
      <c r="G704" t="n">
        <v>239169</v>
      </c>
      <c r="H704" t="n">
        <v>243378</v>
      </c>
      <c r="I704" t="n">
        <v>242798</v>
      </c>
      <c r="J704" t="n">
        <v>235020</v>
      </c>
      <c r="K704" s="27">
        <f>(H704/D704-1)</f>
        <v/>
      </c>
      <c r="L704" s="27">
        <f>(I704/D704-1)</f>
        <v/>
      </c>
      <c r="M704" s="27">
        <f>(J704/D704-1)</f>
        <v/>
      </c>
      <c r="N704" t="n">
        <v>76.59999999999999</v>
      </c>
      <c r="O704" s="28">
        <f>(N704+F704)/2</f>
        <v/>
      </c>
      <c r="P704">
        <f>IF(O704="計算不能","計算不能",IF(O704&gt;=80,5,IF(O704&gt;=60,4,IF(O704&gt;=40,3,IF(O704&gt;=28,2,1)))))</f>
        <v/>
      </c>
      <c r="Q704" t="n">
        <v>41747</v>
      </c>
      <c r="R704" t="n">
        <v>8190</v>
      </c>
      <c r="S704" s="27">
        <f>R704/Q704</f>
        <v/>
      </c>
      <c r="T704" t="inlineStr">
        <is>
          <t>大和市は2045年までの人口減少率が約3.4%と全国平均より緩やかで、概ね横ばいの安定推移。生産年齢人口の維持により、賃貸需要の急減リスクは相対的に低い。</t>
        </is>
      </c>
      <c r="U704" t="inlineStr">
        <is>
          <t>大和市は人口密度9,091人/km²の高密度市街地で、駅近ワンルームからファミリー向けまで極めて強い賃貸実需が存在。資産流動性・出口戦略の容易さも高い。 借家の空室率は約20%とやや高めで、競合との差別化が必要。</t>
        </is>
      </c>
      <c r="V704" t="inlineStr">
        <is>
          <t>大和市（神奈川県）：多摩川・相模川水系の洪水、臨海部の液状化・高潮、三浦半島や山裾の崖崩れ・土砂災害に注意。</t>
        </is>
      </c>
    </row>
    <row r="705">
      <c r="A705" t="inlineStr">
        <is>
          <t>神奈川県</t>
        </is>
      </c>
      <c r="B705" t="inlineStr">
        <is>
          <t>伊勢原市</t>
        </is>
      </c>
      <c r="C705" t="n">
        <v>51770</v>
      </c>
      <c r="D705" t="n">
        <v>100509</v>
      </c>
      <c r="E705" s="6" t="n">
        <v>1808.1</v>
      </c>
      <c r="F705" s="7" t="n">
        <v>68.09999999999999</v>
      </c>
      <c r="G705" t="n">
        <v>101780</v>
      </c>
      <c r="H705" t="n">
        <v>100509</v>
      </c>
      <c r="I705" t="n">
        <v>98528</v>
      </c>
      <c r="J705" t="n">
        <v>90187</v>
      </c>
      <c r="K705" s="27">
        <f>(H705/D705-1)</f>
        <v/>
      </c>
      <c r="L705" s="27">
        <f>(I705/D705-1)</f>
        <v/>
      </c>
      <c r="M705" s="27">
        <f>(J705/D705-1)</f>
        <v/>
      </c>
      <c r="N705" t="n">
        <v>66.09999999999999</v>
      </c>
      <c r="O705" s="28">
        <f>(N705+F705)/2</f>
        <v/>
      </c>
      <c r="P705">
        <f>IF(O705="計算不能","計算不能",IF(O705&gt;=80,5,IF(O705&gt;=60,4,IF(O705&gt;=40,3,IF(O705&gt;=28,2,1)))))</f>
        <v/>
      </c>
      <c r="Q705" t="n">
        <v>18717</v>
      </c>
      <c r="R705" t="n">
        <v>2450</v>
      </c>
      <c r="S705" s="27">
        <f>R705/Q705</f>
        <v/>
      </c>
      <c r="T705" t="inlineStr">
        <is>
          <t>伊勢原市は2045年までに人口が約10.3%減と緩やかな減少局面。若年層の都市部流出と高齢化が進むが、当面の賃貸稼働は一定程度維持される見通し。</t>
        </is>
      </c>
      <c r="U705" t="inlineStr">
        <is>
          <t>伊勢原市は人口密度1,808人/km²の都市部で、駅周辺や生活利便施設沿いに安定した賃貸需要がある。適切な家賃設定で高稼働を期待できる。 借家の空室率は約13%と需給は比較的引き締まっている。</t>
        </is>
      </c>
      <c r="V705" t="inlineStr">
        <is>
          <t>伊勢原市（神奈川県）：多摩川・相模川水系の洪水、臨海部の液状化・高潮、三浦半島や山裾の崖崩れ・土砂災害に注意。</t>
        </is>
      </c>
    </row>
    <row r="706">
      <c r="A706" t="inlineStr">
        <is>
          <t>神奈川県</t>
        </is>
      </c>
      <c r="B706" t="inlineStr">
        <is>
          <t>海老名市</t>
        </is>
      </c>
      <c r="C706" t="n">
        <v>60530</v>
      </c>
      <c r="D706" t="n">
        <v>142114</v>
      </c>
      <c r="E706" s="6" t="n">
        <v>5327.6</v>
      </c>
      <c r="F706" s="7" t="n">
        <v>90.7</v>
      </c>
      <c r="G706" t="n">
        <v>136516</v>
      </c>
      <c r="H706" t="n">
        <v>142114</v>
      </c>
      <c r="I706" t="n">
        <v>141416</v>
      </c>
      <c r="J706" t="n">
        <v>135578</v>
      </c>
      <c r="K706" s="27">
        <f>(H706/D706-1)</f>
        <v/>
      </c>
      <c r="L706" s="27">
        <f>(I706/D706-1)</f>
        <v/>
      </c>
      <c r="M706" s="27">
        <f>(J706/D706-1)</f>
        <v/>
      </c>
      <c r="N706" t="n">
        <v>80.40000000000001</v>
      </c>
      <c r="O706" s="28">
        <f>(N706+F706)/2</f>
        <v/>
      </c>
      <c r="P706">
        <f>IF(O706="計算不能","計算不能",IF(O706&gt;=80,5,IF(O706&gt;=60,4,IF(O706&gt;=40,3,IF(O706&gt;=28,2,1)))))</f>
        <v/>
      </c>
      <c r="Q706" t="n">
        <v>21884</v>
      </c>
      <c r="R706" t="n">
        <v>4640</v>
      </c>
      <c r="S706" s="27">
        <f>R706/Q706</f>
        <v/>
      </c>
      <c r="T706" t="inlineStr">
        <is>
          <t>海老名市は2045年までの人口減少率が約4.6%と全国平均より緩やかで、概ね横ばいの安定推移。生産年齢人口の維持により、賃貸需要の急減リスクは相対的に低い。</t>
        </is>
      </c>
      <c r="U706" t="inlineStr">
        <is>
          <t>海老名市は人口密度5,328人/km²の高密度市街地で、駅近ワンルームからファミリー向けまで極めて強い賃貸実需が存在。資産流動性・出口戦略の容易さも高い。 借家の空室率は約21%とやや高めで、競合との差別化が必要。</t>
        </is>
      </c>
      <c r="V706" t="inlineStr">
        <is>
          <t>海老名市（神奈川県）：多摩川・相模川水系の洪水、臨海部の液状化・高潮、三浦半島や山裾の崖崩れ・土砂災害に注意。</t>
        </is>
      </c>
    </row>
    <row r="707">
      <c r="A707" t="inlineStr">
        <is>
          <t>神奈川県</t>
        </is>
      </c>
      <c r="B707" t="inlineStr">
        <is>
          <t>座間市</t>
        </is>
      </c>
      <c r="C707" t="n">
        <v>60000</v>
      </c>
      <c r="D707" t="n">
        <v>131506</v>
      </c>
      <c r="E707" s="6" t="n">
        <v>7506.9</v>
      </c>
      <c r="F707" s="7" t="n">
        <v>95</v>
      </c>
      <c r="G707" t="n">
        <v>132325</v>
      </c>
      <c r="H707" t="n">
        <v>131506</v>
      </c>
      <c r="I707" t="n">
        <v>129740</v>
      </c>
      <c r="J707" t="n">
        <v>121976</v>
      </c>
      <c r="K707" s="27">
        <f>(H707/D707-1)</f>
        <v/>
      </c>
      <c r="L707" s="27">
        <f>(I707/D707-1)</f>
        <v/>
      </c>
      <c r="M707" s="27">
        <f>(J707/D707-1)</f>
        <v/>
      </c>
      <c r="N707" t="n">
        <v>69.2</v>
      </c>
      <c r="O707" s="28">
        <f>(N707+F707)/2</f>
        <v/>
      </c>
      <c r="P707">
        <f>IF(O707="計算不能","計算不能",IF(O707&gt;=80,5,IF(O707&gt;=60,4,IF(O707&gt;=40,3,IF(O707&gt;=28,2,1)))))</f>
        <v/>
      </c>
      <c r="Q707" t="n">
        <v>21692</v>
      </c>
      <c r="R707" t="n">
        <v>5020</v>
      </c>
      <c r="S707" s="27">
        <f>R707/Q707</f>
        <v/>
      </c>
      <c r="T707" t="inlineStr">
        <is>
          <t>座間市は2045年までに人口が約7.2%減と緩やかな減少局面。若年層の都市部流出と高齢化が進むが、当面の賃貸稼働は一定程度維持される見通し。</t>
        </is>
      </c>
      <c r="U707" t="inlineStr">
        <is>
          <t>座間市は人口密度7,507人/km²の高密度市街地で、駅近ワンルームからファミリー向けまで極めて強い賃貸実需が存在。資産流動性・出口戦略の容易さも高い。 借家の空室率は約23%とやや高めで、競合との差別化が必要。</t>
        </is>
      </c>
      <c r="V707" t="inlineStr">
        <is>
          <t>座間市（神奈川県）：多摩川・相模川水系の洪水、臨海部の液状化・高潮、三浦半島や山裾の崖崩れ・土砂災害に注意。</t>
        </is>
      </c>
    </row>
    <row r="708">
      <c r="A708" t="inlineStr">
        <is>
          <t>神奈川県</t>
        </is>
      </c>
      <c r="B708" t="inlineStr">
        <is>
          <t>南足柄市</t>
        </is>
      </c>
      <c r="C708" t="n">
        <v>16300</v>
      </c>
      <c r="D708" t="n">
        <v>38951</v>
      </c>
      <c r="E708" s="6" t="n">
        <v>507.2</v>
      </c>
      <c r="F708" s="7" t="n">
        <v>45.1</v>
      </c>
      <c r="G708" t="n">
        <v>40841</v>
      </c>
      <c r="H708" t="n">
        <v>38951</v>
      </c>
      <c r="I708" t="n">
        <v>36729</v>
      </c>
      <c r="J708" t="n">
        <v>29774</v>
      </c>
      <c r="K708" s="27">
        <f>(H708/D708-1)</f>
        <v/>
      </c>
      <c r="L708" s="27">
        <f>(I708/D708-1)</f>
        <v/>
      </c>
      <c r="M708" s="27">
        <f>(J708/D708-1)</f>
        <v/>
      </c>
      <c r="N708" t="n">
        <v>50.7</v>
      </c>
      <c r="O708" s="28">
        <f>(N708+F708)/2</f>
        <v/>
      </c>
      <c r="P708">
        <f>IF(O708="計算不能","計算不能",IF(O708&gt;=80,5,IF(O708&gt;=60,4,IF(O708&gt;=40,3,IF(O708&gt;=28,2,1)))))</f>
        <v/>
      </c>
      <c r="Q708" t="n">
        <v>5893</v>
      </c>
      <c r="R708" t="n">
        <v>1160</v>
      </c>
      <c r="S708" s="27">
        <f>R708/Q708</f>
        <v/>
      </c>
      <c r="T708" t="inlineStr">
        <is>
          <t>南足柄市は2045年までに人口が約23.6%減と明確な減少トレンド。高齢化の進行と世帯数の縮小により、中長期では賃貸需要の構造的縮小に警戒が必要。</t>
        </is>
      </c>
      <c r="U708" t="inlineStr">
        <is>
          <t>南足柄市は人口密度507人/km²で、主要道路沿いや中心市街地に一定の賃貸需要が局在。立地選別が稼働を左右する。 借家の空室率は約20%とやや高めで、競合との差別化が必要。</t>
        </is>
      </c>
      <c r="V708" t="inlineStr">
        <is>
          <t>南足柄市（神奈川県）：多摩川・相模川水系の洪水、臨海部の液状化・高潮、三浦半島や山裾の崖崩れ・土砂災害に注意。</t>
        </is>
      </c>
    </row>
    <row r="709">
      <c r="A709" t="inlineStr">
        <is>
          <t>神奈川県</t>
        </is>
      </c>
      <c r="B709" t="inlineStr">
        <is>
          <t>綾瀬市</t>
        </is>
      </c>
      <c r="C709" t="n">
        <v>35240</v>
      </c>
      <c r="D709" t="n">
        <v>82796</v>
      </c>
      <c r="E709" s="6" t="n">
        <v>3746.7</v>
      </c>
      <c r="F709" s="7" t="n">
        <v>80</v>
      </c>
      <c r="G709" t="n">
        <v>83913</v>
      </c>
      <c r="H709" t="n">
        <v>82796</v>
      </c>
      <c r="I709" t="n">
        <v>80997</v>
      </c>
      <c r="J709" t="n">
        <v>74724</v>
      </c>
      <c r="K709" s="27">
        <f>(H709/D709-1)</f>
        <v/>
      </c>
      <c r="L709" s="27">
        <f>(I709/D709-1)</f>
        <v/>
      </c>
      <c r="M709" s="27">
        <f>(J709/D709-1)</f>
        <v/>
      </c>
      <c r="N709" t="n">
        <v>66</v>
      </c>
      <c r="O709" s="28">
        <f>(N709+F709)/2</f>
        <v/>
      </c>
      <c r="P709">
        <f>IF(O709="計算不能","計算不能",IF(O709&gt;=80,5,IF(O709&gt;=60,4,IF(O709&gt;=40,3,IF(O709&gt;=28,2,1)))))</f>
        <v/>
      </c>
      <c r="Q709" t="n">
        <v>12740</v>
      </c>
      <c r="R709" t="n">
        <v>1820</v>
      </c>
      <c r="S709" s="27">
        <f>R709/Q709</f>
        <v/>
      </c>
      <c r="T709" t="inlineStr">
        <is>
          <t>綾瀬市は2045年までに人口が約9.7%減と緩やかな減少局面。若年層の都市部流出と高齢化が進むが、当面の賃貸稼働は一定程度維持される見通し。</t>
        </is>
      </c>
      <c r="U709" t="inlineStr">
        <is>
          <t>綾瀬市は人口密度3,747人/km²の都市部で、駅周辺や生活利便施設沿いに安定した賃貸需要がある。適切な家賃設定で高稼働を期待できる。 借家の空室率は約14%と需給は比較的引き締まっている。</t>
        </is>
      </c>
      <c r="V709" t="inlineStr">
        <is>
          <t>綾瀬市（神奈川県）：多摩川・相模川水系の洪水、臨海部の液状化・高潮、三浦半島や山裾の崖崩れ・土砂災害に注意。</t>
        </is>
      </c>
    </row>
    <row r="710">
      <c r="A710" t="inlineStr">
        <is>
          <t>神奈川県</t>
        </is>
      </c>
      <c r="B710" t="inlineStr">
        <is>
          <t>葉山町</t>
        </is>
      </c>
      <c r="C710" t="n">
        <v>12900</v>
      </c>
      <c r="D710" t="n">
        <v>30884</v>
      </c>
      <c r="E710" s="6" t="n">
        <v>1763.2</v>
      </c>
      <c r="F710" s="7" t="n">
        <v>67.59999999999999</v>
      </c>
      <c r="G710" t="n">
        <v>31665</v>
      </c>
      <c r="H710" t="n">
        <v>30884</v>
      </c>
      <c r="I710" t="n">
        <v>29800</v>
      </c>
      <c r="J710" t="n">
        <v>27516</v>
      </c>
      <c r="K710" s="27">
        <f>(H710/D710-1)</f>
        <v/>
      </c>
      <c r="L710" s="27">
        <f>(I710/D710-1)</f>
        <v/>
      </c>
      <c r="M710" s="27">
        <f>(J710/D710-1)</f>
        <v/>
      </c>
      <c r="N710" t="n">
        <v>62.4</v>
      </c>
      <c r="O710" s="28">
        <f>(N710+F710)/2</f>
        <v/>
      </c>
      <c r="P710">
        <f>IF(O710="計算不能","計算不能",IF(O710&gt;=80,5,IF(O710&gt;=60,4,IF(O710&gt;=40,3,IF(O710&gt;=28,2,1)))))</f>
        <v/>
      </c>
      <c r="Q710" t="n">
        <v>4663</v>
      </c>
      <c r="R710" t="n">
        <v>230</v>
      </c>
      <c r="S710" s="27">
        <f>R710/Q710</f>
        <v/>
      </c>
      <c r="T710" t="inlineStr">
        <is>
          <t>葉山町は2045年までに人口が約10.9%減と緩やかな減少局面。若年層の都市部流出と高齢化が進むが、当面の賃貸稼働は一定程度維持される見通し。</t>
        </is>
      </c>
      <c r="U710" t="inlineStr">
        <is>
          <t>葉山町は人口密度1,763人/km²の都市部で、駅周辺や生活利便施設沿いに安定した賃貸需要がある。適切な家賃設定で高稼働を期待できる。 借家の空室率は約5%と需給は比較的引き締まっている。</t>
        </is>
      </c>
      <c r="V710" t="inlineStr">
        <is>
          <t>葉山町（神奈川県）：多摩川・相模川水系の洪水、臨海部の液状化・高潮、三浦半島や山裾の崖崩れ・土砂災害に注意。</t>
        </is>
      </c>
    </row>
    <row r="711">
      <c r="A711" t="inlineStr">
        <is>
          <t>神奈川県</t>
        </is>
      </c>
      <c r="B711" t="inlineStr">
        <is>
          <t>寒川町</t>
        </is>
      </c>
      <c r="C711" t="n">
        <v>20660</v>
      </c>
      <c r="D711" t="n">
        <v>47862</v>
      </c>
      <c r="E711" s="6" t="n">
        <v>3603.1</v>
      </c>
      <c r="F711" s="7" t="n">
        <v>80</v>
      </c>
      <c r="G711" t="n">
        <v>48348</v>
      </c>
      <c r="H711" t="n">
        <v>47862</v>
      </c>
      <c r="I711" t="n">
        <v>46981</v>
      </c>
      <c r="J711" t="n">
        <v>43395</v>
      </c>
      <c r="K711" s="27">
        <f>(H711/D711-1)</f>
        <v/>
      </c>
      <c r="L711" s="27">
        <f>(I711/D711-1)</f>
        <v/>
      </c>
      <c r="M711" s="27">
        <f>(J711/D711-1)</f>
        <v/>
      </c>
      <c r="N711" t="n">
        <v>67.09999999999999</v>
      </c>
      <c r="O711" s="28">
        <f>(N711+F711)/2</f>
        <v/>
      </c>
      <c r="P711">
        <f>IF(O711="計算不能","計算不能",IF(O711&gt;=80,5,IF(O711&gt;=60,4,IF(O711&gt;=40,3,IF(O711&gt;=28,2,1)))))</f>
        <v/>
      </c>
      <c r="Q711" t="n">
        <v>7469</v>
      </c>
      <c r="R711" t="n">
        <v>970</v>
      </c>
      <c r="S711" s="27">
        <f>R711/Q711</f>
        <v/>
      </c>
      <c r="T711" t="inlineStr">
        <is>
          <t>寒川町は2045年までに人口が約9.3%減と緩やかな減少局面。若年層の都市部流出と高齢化が進むが、当面の賃貸稼働は一定程度維持される見通し。</t>
        </is>
      </c>
      <c r="U711" t="inlineStr">
        <is>
          <t>寒川町は人口密度3,603人/km²の都市部で、駅周辺や生活利便施設沿いに安定した賃貸需要がある。適切な家賃設定で高稼働を期待できる。 借家の空室率は約13%と需給は比較的引き締まっている。</t>
        </is>
      </c>
      <c r="V711" t="inlineStr">
        <is>
          <t>寒川町（神奈川県）：多摩川・相模川水系の洪水、臨海部の液状化・高潮、三浦半島や山裾の崖崩れ・土砂災害に注意。</t>
        </is>
      </c>
    </row>
    <row r="712">
      <c r="A712" t="inlineStr">
        <is>
          <t>神奈川県</t>
        </is>
      </c>
      <c r="B712" t="inlineStr">
        <is>
          <t>大磯町</t>
        </is>
      </c>
      <c r="C712" t="n">
        <v>13690</v>
      </c>
      <c r="D712" t="n">
        <v>30912</v>
      </c>
      <c r="E712" s="6" t="n">
        <v>1774.4</v>
      </c>
      <c r="F712" s="7" t="n">
        <v>67.7</v>
      </c>
      <c r="G712" t="n">
        <v>31634</v>
      </c>
      <c r="H712" t="n">
        <v>30912</v>
      </c>
      <c r="I712" t="n">
        <v>29920</v>
      </c>
      <c r="J712" t="n">
        <v>26938</v>
      </c>
      <c r="K712" s="27">
        <f>(H712/D712-1)</f>
        <v/>
      </c>
      <c r="L712" s="27">
        <f>(I712/D712-1)</f>
        <v/>
      </c>
      <c r="M712" s="27">
        <f>(J712/D712-1)</f>
        <v/>
      </c>
      <c r="N712" t="n">
        <v>62</v>
      </c>
      <c r="O712" s="28">
        <f>(N712+F712)/2</f>
        <v/>
      </c>
      <c r="P712">
        <f>IF(O712="計算不能","計算不能",IF(O712&gt;=80,5,IF(O712&gt;=60,4,IF(O712&gt;=40,3,IF(O712&gt;=28,2,1)))))</f>
        <v/>
      </c>
      <c r="Q712" t="n">
        <v>4949</v>
      </c>
      <c r="R712" t="n">
        <v>690</v>
      </c>
      <c r="S712" s="27">
        <f>R712/Q712</f>
        <v/>
      </c>
      <c r="T712" t="inlineStr">
        <is>
          <t>大磯町は2045年までに人口が約12.9%減と緩やかな減少局面。若年層の都市部流出と高齢化が進むが、当面の賃貸稼働は一定程度維持される見通し。</t>
        </is>
      </c>
      <c r="U712" t="inlineStr">
        <is>
          <t>大磯町は人口密度1,774人/km²の都市部で、駅周辺や生活利便施設沿いに安定した賃貸需要がある。適切な家賃設定で高稼働を期待できる。 借家の空室率は約14%と需給は比較的引き締まっている。</t>
        </is>
      </c>
      <c r="V712" t="inlineStr">
        <is>
          <t>大磯町（神奈川県）：多摩川・相模川水系の洪水、臨海部の液状化・高潮、三浦半島や山裾の崖崩れ・土砂災害に注意。</t>
        </is>
      </c>
    </row>
    <row r="713">
      <c r="A713" t="inlineStr">
        <is>
          <t>神奈川県</t>
        </is>
      </c>
      <c r="B713" t="inlineStr">
        <is>
          <t>二宮町</t>
        </is>
      </c>
      <c r="C713" t="n">
        <v>11480</v>
      </c>
      <c r="D713" t="n">
        <v>26350</v>
      </c>
      <c r="E713" s="6" t="n">
        <v>2912.9</v>
      </c>
      <c r="F713" s="7" t="n">
        <v>79.09999999999999</v>
      </c>
      <c r="G713" t="n">
        <v>27564</v>
      </c>
      <c r="H713" t="n">
        <v>26350</v>
      </c>
      <c r="I713" t="n">
        <v>24752</v>
      </c>
      <c r="J713" t="n">
        <v>20005</v>
      </c>
      <c r="K713" s="27">
        <f>(H713/D713-1)</f>
        <v/>
      </c>
      <c r="L713" s="27">
        <f>(I713/D713-1)</f>
        <v/>
      </c>
      <c r="M713" s="27">
        <f>(J713/D713-1)</f>
        <v/>
      </c>
      <c r="N713" t="n">
        <v>50.6</v>
      </c>
      <c r="O713" s="28">
        <f>(N713+F713)/2</f>
        <v/>
      </c>
      <c r="P713">
        <f>IF(O713="計算不能","計算不能",IF(O713&gt;=80,5,IF(O713&gt;=60,4,IF(O713&gt;=40,3,IF(O713&gt;=28,2,1)))))</f>
        <v/>
      </c>
      <c r="Q713" t="n">
        <v>4150</v>
      </c>
      <c r="R713" t="n">
        <v>570</v>
      </c>
      <c r="S713" s="27">
        <f>R713/Q713</f>
        <v/>
      </c>
      <c r="T713" t="inlineStr">
        <is>
          <t>二宮町は2045年までに人口が約24.1%減と明確な減少トレンド。高齢化の進行と世帯数の縮小により、中長期では賃貸需要の構造的縮小に警戒が必要。</t>
        </is>
      </c>
      <c r="U713" t="inlineStr">
        <is>
          <t>二宮町は人口密度2,913人/km²の都市部で、駅周辺や生活利便施設沿いに安定した賃貸需要がある。適切な家賃設定で高稼働を期待できる。 借家の空室率は約14%と需給は比較的引き締まっている。</t>
        </is>
      </c>
      <c r="V713" t="inlineStr">
        <is>
          <t>二宮町（神奈川県）：多摩川・相模川水系の洪水、臨海部の液状化・高潮、三浦半島や山裾の崖崩れ・土砂災害に注意。</t>
        </is>
      </c>
    </row>
    <row r="714">
      <c r="A714" t="inlineStr">
        <is>
          <t>神奈川県</t>
        </is>
      </c>
      <c r="B714" t="inlineStr">
        <is>
          <t>中井町</t>
        </is>
      </c>
      <c r="C714" t="n">
        <v>3871</v>
      </c>
      <c r="D714" t="n">
        <v>8816</v>
      </c>
      <c r="E714" s="6" t="n">
        <v>434.9</v>
      </c>
      <c r="F714" s="7" t="n">
        <v>41.7</v>
      </c>
      <c r="G714" t="n">
        <v>9300</v>
      </c>
      <c r="H714" t="n">
        <v>8816</v>
      </c>
      <c r="I714" t="n">
        <v>8287</v>
      </c>
      <c r="J714" t="n">
        <v>6529</v>
      </c>
      <c r="K714" s="27">
        <f>(H714/D714-1)</f>
        <v/>
      </c>
      <c r="L714" s="27">
        <f>(I714/D714-1)</f>
        <v/>
      </c>
      <c r="M714" s="27">
        <f>(J714/D714-1)</f>
        <v/>
      </c>
      <c r="N714" t="n">
        <v>48.3</v>
      </c>
      <c r="O714" s="28">
        <f>(N714+F714)/2</f>
        <v/>
      </c>
      <c r="P714">
        <f>IF(O714="計算不能","計算不能",IF(O714&gt;=80,5,IF(O714&gt;=60,4,IF(O714&gt;=40,3,IF(O714&gt;=28,2,1)))))</f>
        <v/>
      </c>
      <c r="Q714" t="n">
        <v>1399</v>
      </c>
      <c r="R714" t="n">
        <v>0</v>
      </c>
      <c r="S714" s="27">
        <f>R714/Q714</f>
        <v/>
      </c>
      <c r="T714" t="inlineStr">
        <is>
          <t>中井町は2045年までに人口が約25.9%減と明確な減少トレンド。高齢化の進行と世帯数の縮小により、中長期では賃貸需要の構造的縮小に警戒が必要。</t>
        </is>
      </c>
      <c r="U714" t="inlineStr">
        <is>
          <t>中井町は人口密度435人/km²と低密度で、賃貸需要は限定的。持ち家比率が高く、駐車場完備の戸建て賃貸が有利。 借家の空室率は約0%と需給は比較的引き締まっている。</t>
        </is>
      </c>
      <c r="V714" t="inlineStr">
        <is>
          <t>中井町（神奈川県）：多摩川・相模川水系の洪水、臨海部の液状化・高潮、三浦半島や山裾の崖崩れ・土砂災害に注意。</t>
        </is>
      </c>
    </row>
    <row r="715">
      <c r="A715" t="inlineStr">
        <is>
          <t>神奈川県</t>
        </is>
      </c>
      <c r="B715" t="inlineStr">
        <is>
          <t>大井町</t>
        </is>
      </c>
      <c r="C715" t="n">
        <v>6960</v>
      </c>
      <c r="D715" t="n">
        <v>16901</v>
      </c>
      <c r="E715" s="6" t="n">
        <v>1195.1</v>
      </c>
      <c r="F715" s="7" t="n">
        <v>58.9</v>
      </c>
      <c r="G715" t="n">
        <v>17129</v>
      </c>
      <c r="H715" t="n">
        <v>16901</v>
      </c>
      <c r="I715" t="n">
        <v>16272</v>
      </c>
      <c r="J715" t="n">
        <v>14062</v>
      </c>
      <c r="K715" s="27">
        <f>(H715/D715-1)</f>
        <v/>
      </c>
      <c r="L715" s="27">
        <f>(I715/D715-1)</f>
        <v/>
      </c>
      <c r="M715" s="27">
        <f>(J715/D715-1)</f>
        <v/>
      </c>
      <c r="N715" t="n">
        <v>61.5</v>
      </c>
      <c r="O715" s="28">
        <f>(N715+F715)/2</f>
        <v/>
      </c>
      <c r="P715">
        <f>IF(O715="計算不能","計算不能",IF(O715&gt;=80,5,IF(O715&gt;=60,4,IF(O715&gt;=40,3,IF(O715&gt;=28,2,1)))))</f>
        <v/>
      </c>
      <c r="Q715" t="n">
        <v>2516</v>
      </c>
      <c r="R715" t="n">
        <v>360</v>
      </c>
      <c r="S715" s="27">
        <f>R715/Q715</f>
        <v/>
      </c>
      <c r="T715" t="inlineStr">
        <is>
          <t>大井町は2045年までに人口が約16.8%減と明確な減少トレンド。高齢化の進行と世帯数の縮小により、中長期では賃貸需要の構造的縮小に警戒が必要。</t>
        </is>
      </c>
      <c r="U715" t="inlineStr">
        <is>
          <t>大井町は人口密度1,195人/km²で、主要道路沿いや中心市街地に一定の賃貸需要が局在。立地選別が稼働を左右する。 借家の空室率は約14%と需給は比較的引き締まっている。</t>
        </is>
      </c>
      <c r="V715" t="inlineStr">
        <is>
          <t>大井町（神奈川県）：多摩川・相模川水系の洪水、臨海部の液状化・高潮、三浦半島や山裾の崖崩れ・土砂災害に注意。</t>
        </is>
      </c>
    </row>
    <row r="716">
      <c r="A716" t="inlineStr">
        <is>
          <t>神奈川県</t>
        </is>
      </c>
      <c r="B716" t="inlineStr">
        <is>
          <t>松田町</t>
        </is>
      </c>
      <c r="C716" t="n">
        <v>4855</v>
      </c>
      <c r="D716" t="n">
        <v>10326</v>
      </c>
      <c r="E716" s="6" t="n">
        <v>266.4</v>
      </c>
      <c r="F716" s="7" t="n">
        <v>33.3</v>
      </c>
      <c r="G716" t="n">
        <v>10836</v>
      </c>
      <c r="H716" t="n">
        <v>10326</v>
      </c>
      <c r="I716" t="n">
        <v>9765</v>
      </c>
      <c r="J716" t="n">
        <v>7965</v>
      </c>
      <c r="K716" s="27">
        <f>(H716/D716-1)</f>
        <v/>
      </c>
      <c r="L716" s="27">
        <f>(I716/D716-1)</f>
        <v/>
      </c>
      <c r="M716" s="27">
        <f>(J716/D716-1)</f>
        <v/>
      </c>
      <c r="N716" t="n">
        <v>51.1</v>
      </c>
      <c r="O716" s="28">
        <f>(N716+F716)/2</f>
        <v/>
      </c>
      <c r="P716">
        <f>IF(O716="計算不能","計算不能",IF(O716&gt;=80,5,IF(O716&gt;=60,4,IF(O716&gt;=40,3,IF(O716&gt;=28,2,1)))))</f>
        <v/>
      </c>
      <c r="Q716" t="n">
        <v>1755</v>
      </c>
      <c r="R716" t="n">
        <v>0</v>
      </c>
      <c r="S716" s="27">
        <f>R716/Q716</f>
        <v/>
      </c>
      <c r="T716" t="inlineStr">
        <is>
          <t>松田町は2045年までに人口が約22.9%減と明確な減少トレンド。高齢化の進行と世帯数の縮小により、中長期では賃貸需要の構造的縮小に警戒が必要。</t>
        </is>
      </c>
      <c r="U716" t="inlineStr">
        <is>
          <t>松田町は人口密度266人/km²と低密度で、賃貸需要は限定的。持ち家比率が高く、駐車場完備の戸建て賃貸が有利。 借家の空室率は約0%と需給は比較的引き締まっている。</t>
        </is>
      </c>
      <c r="V716" t="inlineStr">
        <is>
          <t>松田町（神奈川県）：多摩川・相模川水系の洪水、臨海部の液状化・高潮、三浦半島や山裾の崖崩れ・土砂災害に注意。</t>
        </is>
      </c>
    </row>
    <row r="717">
      <c r="A717" t="inlineStr">
        <is>
          <t>神奈川県</t>
        </is>
      </c>
      <c r="B717" t="inlineStr">
        <is>
          <t>山北町</t>
        </is>
      </c>
      <c r="C717" t="n">
        <v>4249</v>
      </c>
      <c r="D717" t="n">
        <v>8889</v>
      </c>
      <c r="E717" s="6" t="n">
        <v>39.4</v>
      </c>
      <c r="F717" s="7" t="n">
        <v>13.9</v>
      </c>
      <c r="G717" t="n">
        <v>9761</v>
      </c>
      <c r="H717" t="n">
        <v>8889</v>
      </c>
      <c r="I717" t="n">
        <v>8033</v>
      </c>
      <c r="J717" t="n">
        <v>5506</v>
      </c>
      <c r="K717" s="27">
        <f>(H717/D717-1)</f>
        <v/>
      </c>
      <c r="L717" s="27">
        <f>(I717/D717-1)</f>
        <v/>
      </c>
      <c r="M717" s="27">
        <f>(J717/D717-1)</f>
        <v/>
      </c>
      <c r="N717" t="n">
        <v>39.3</v>
      </c>
      <c r="O717" s="28">
        <f>(N717+F717)/2</f>
        <v/>
      </c>
      <c r="P717">
        <f>IF(O717="計算不能","計算不能",IF(O717&gt;=80,5,IF(O717&gt;=60,4,IF(O717&gt;=40,3,IF(O717&gt;=28,2,1)))))</f>
        <v/>
      </c>
      <c r="Q717" t="n">
        <v>1536</v>
      </c>
      <c r="R717" t="n">
        <v>0</v>
      </c>
      <c r="S717" s="27">
        <f>R717/Q717</f>
        <v/>
      </c>
      <c r="T717" t="inlineStr">
        <is>
          <t>山北町は2045年までに人口が約38.1%減と急激な過疎・超高齢化が進行。若年労働世代の流出と自然減が重なり、賃貸事業としての持続性は極めて限定的。</t>
        </is>
      </c>
      <c r="U717" t="inlineStr">
        <is>
          <t>山北町は人口密度39人/km²と過疎的水準で、民間賃貸の新規需要は薄い。実需に裏付けられた格安戸建ての指値取得のみが現実的。 借家の空室率は約0%と需給は比較的引き締まっている。</t>
        </is>
      </c>
      <c r="V717" t="inlineStr">
        <is>
          <t>山北町（神奈川県）：多摩川・相模川水系の洪水、臨海部の液状化・高潮、三浦半島や山裾の崖崩れ・土砂災害に注意。</t>
        </is>
      </c>
    </row>
    <row r="718">
      <c r="A718" t="inlineStr">
        <is>
          <t>神奈川県</t>
        </is>
      </c>
      <c r="B718" t="inlineStr">
        <is>
          <t>開成町</t>
        </is>
      </c>
      <c r="C718" t="n">
        <v>7390</v>
      </c>
      <c r="D718" t="n">
        <v>18989</v>
      </c>
      <c r="E718" s="6" t="n">
        <v>2839.2</v>
      </c>
      <c r="F718" s="7" t="n">
        <v>78.40000000000001</v>
      </c>
      <c r="G718" t="n">
        <v>18329</v>
      </c>
      <c r="H718" t="n">
        <v>18989</v>
      </c>
      <c r="I718" t="n">
        <v>19146</v>
      </c>
      <c r="J718" t="n">
        <v>19009</v>
      </c>
      <c r="K718" s="27">
        <f>(H718/D718-1)</f>
        <v/>
      </c>
      <c r="L718" s="27">
        <f>(I718/D718-1)</f>
        <v/>
      </c>
      <c r="M718" s="27">
        <f>(J718/D718-1)</f>
        <v/>
      </c>
      <c r="N718" t="n">
        <v>82.90000000000001</v>
      </c>
      <c r="O718" s="28">
        <f>(N718+F718)/2</f>
        <v/>
      </c>
      <c r="P718">
        <f>IF(O718="計算不能","計算不能",IF(O718&gt;=80,5,IF(O718&gt;=60,4,IF(O718&gt;=40,3,IF(O718&gt;=28,2,1)))))</f>
        <v/>
      </c>
      <c r="Q718" t="n">
        <v>2671</v>
      </c>
      <c r="R718" t="n">
        <v>220</v>
      </c>
      <c r="S718" s="27">
        <f>R718/Q718</f>
        <v/>
      </c>
      <c r="T718" t="inlineStr">
        <is>
          <t>開成町は2045年までの人口減少率が約0.1%と全国平均より緩やかで、概ね横ばいの安定推移。生産年齢人口の維持により、賃貸需要の急減リスクは相対的に低い。</t>
        </is>
      </c>
      <c r="U718" t="inlineStr">
        <is>
          <t>開成町は人口密度2,839人/km²の都市部で、駅周辺や生活利便施設沿いに安定した賃貸需要がある。適切な家賃設定で高稼働を期待できる。 借家の空室率は約8%と需給は比較的引き締まっている。</t>
        </is>
      </c>
      <c r="V718" t="inlineStr">
        <is>
          <t>開成町（神奈川県）：多摩川・相模川水系の洪水、臨海部の液状化・高潮、三浦半島や山裾の崖崩れ・土砂災害に注意。</t>
        </is>
      </c>
    </row>
    <row r="719">
      <c r="A719" t="inlineStr">
        <is>
          <t>神奈川県</t>
        </is>
      </c>
      <c r="B719" t="inlineStr">
        <is>
          <t>箱根町</t>
        </is>
      </c>
      <c r="C719" t="n">
        <v>6973</v>
      </c>
      <c r="D719" t="n">
        <v>10510</v>
      </c>
      <c r="E719" s="6" t="n">
        <v>110.6</v>
      </c>
      <c r="F719" s="7" t="n">
        <v>21.1</v>
      </c>
      <c r="G719" t="n">
        <v>11293</v>
      </c>
      <c r="H719" t="n">
        <v>10510</v>
      </c>
      <c r="I719" t="n">
        <v>9650</v>
      </c>
      <c r="J719" t="n">
        <v>7222</v>
      </c>
      <c r="K719" s="27">
        <f>(H719/D719-1)</f>
        <v/>
      </c>
      <c r="L719" s="27">
        <f>(I719/D719-1)</f>
        <v/>
      </c>
      <c r="M719" s="27">
        <f>(J719/D719-1)</f>
        <v/>
      </c>
      <c r="N719" t="n">
        <v>43.1</v>
      </c>
      <c r="O719" s="28">
        <f>(N719+F719)/2</f>
        <v/>
      </c>
      <c r="P719">
        <f>IF(O719="計算不能","計算不能",IF(O719&gt;=80,5,IF(O719&gt;=60,4,IF(O719&gt;=40,3,IF(O719&gt;=28,2,1)))))</f>
        <v/>
      </c>
      <c r="Q719" t="n">
        <v>2521</v>
      </c>
      <c r="R719" t="n">
        <v>0</v>
      </c>
      <c r="S719" s="27">
        <f>R719/Q719</f>
        <v/>
      </c>
      <c r="T719" t="inlineStr">
        <is>
          <t>箱根町は2045年までに人口が約31.3%減と急激な過疎・超高齢化が進行。若年労働世代の流出と自然減が重なり、賃貸事業としての持続性は極めて限定的。</t>
        </is>
      </c>
      <c r="U719" t="inlineStr">
        <is>
          <t>箱根町は人口密度111人/km²と過疎的水準で、民間賃貸の新規需要は薄い。実需に裏付けられた格安戸建ての指値取得のみが現実的。 借家の空室率は約0%と需給は比較的引き締まっている。</t>
        </is>
      </c>
      <c r="V719" t="inlineStr">
        <is>
          <t>箱根町（神奈川県）：多摩川・相模川水系の洪水、臨海部の液状化・高潮、三浦半島や山裾の崖崩れ・土砂災害に注意。</t>
        </is>
      </c>
    </row>
    <row r="720">
      <c r="A720" t="inlineStr">
        <is>
          <t>神奈川県</t>
        </is>
      </c>
      <c r="B720" t="inlineStr">
        <is>
          <t>真鶴町</t>
        </is>
      </c>
      <c r="C720" t="n">
        <v>3379</v>
      </c>
      <c r="D720" t="n">
        <v>6152</v>
      </c>
      <c r="E720" s="6" t="n">
        <v>847</v>
      </c>
      <c r="F720" s="7" t="n">
        <v>51.9</v>
      </c>
      <c r="G720" t="n">
        <v>6722</v>
      </c>
      <c r="H720" t="n">
        <v>6152</v>
      </c>
      <c r="I720" t="n">
        <v>5576</v>
      </c>
      <c r="J720" t="n">
        <v>3871</v>
      </c>
      <c r="K720" s="27">
        <f>(H720/D720-1)</f>
        <v/>
      </c>
      <c r="L720" s="27">
        <f>(I720/D720-1)</f>
        <v/>
      </c>
      <c r="M720" s="27">
        <f>(J720/D720-1)</f>
        <v/>
      </c>
      <c r="N720" t="n">
        <v>40</v>
      </c>
      <c r="O720" s="28">
        <f>(N720+F720)/2</f>
        <v/>
      </c>
      <c r="P720">
        <f>IF(O720="計算不能","計算不能",IF(O720&gt;=80,5,IF(O720&gt;=60,4,IF(O720&gt;=40,3,IF(O720&gt;=28,2,1)))))</f>
        <v/>
      </c>
      <c r="Q720" t="n">
        <v>1221</v>
      </c>
      <c r="R720" t="n">
        <v>0</v>
      </c>
      <c r="S720" s="27">
        <f>R720/Q720</f>
        <v/>
      </c>
      <c r="T720" t="inlineStr">
        <is>
          <t>真鶴町は2045年までに人口が約37.1%減と急激な過疎・超高齢化が進行。若年労働世代の流出と自然減が重なり、賃貸事業としての持続性は極めて限定的。</t>
        </is>
      </c>
      <c r="U720" t="inlineStr">
        <is>
          <t>真鶴町は人口密度847人/km²で、主要道路沿いや中心市街地に一定の賃貸需要が局在。立地選別が稼働を左右する。 借家の空室率は約0%と需給は比較的引き締まっている。</t>
        </is>
      </c>
      <c r="V720" t="inlineStr">
        <is>
          <t>真鶴町（神奈川県）：多摩川・相模川水系の洪水、臨海部の液状化・高潮、三浦半島や山裾の崖崩れ・土砂災害に注意。</t>
        </is>
      </c>
    </row>
    <row r="721">
      <c r="A721" t="inlineStr">
        <is>
          <t>神奈川県</t>
        </is>
      </c>
      <c r="B721" t="inlineStr">
        <is>
          <t>湯河原町</t>
        </is>
      </c>
      <c r="C721" t="n">
        <v>11200</v>
      </c>
      <c r="D721" t="n">
        <v>21999</v>
      </c>
      <c r="E721" s="6" t="n">
        <v>528.9</v>
      </c>
      <c r="F721" s="7" t="n">
        <v>45.6</v>
      </c>
      <c r="G721" t="n">
        <v>23426</v>
      </c>
      <c r="H721" t="n">
        <v>21999</v>
      </c>
      <c r="I721" t="n">
        <v>20566</v>
      </c>
      <c r="J721" t="n">
        <v>16061</v>
      </c>
      <c r="K721" s="27">
        <f>(H721/D721-1)</f>
        <v/>
      </c>
      <c r="L721" s="27">
        <f>(I721/D721-1)</f>
        <v/>
      </c>
      <c r="M721" s="27">
        <f>(J721/D721-1)</f>
        <v/>
      </c>
      <c r="N721" t="n">
        <v>45.9</v>
      </c>
      <c r="O721" s="28">
        <f>(N721+F721)/2</f>
        <v/>
      </c>
      <c r="P721">
        <f>IF(O721="計算不能","計算不能",IF(O721&gt;=80,5,IF(O721&gt;=60,4,IF(O721&gt;=40,3,IF(O721&gt;=28,2,1)))))</f>
        <v/>
      </c>
      <c r="Q721" t="n">
        <v>4049</v>
      </c>
      <c r="R721" t="n">
        <v>1810</v>
      </c>
      <c r="S721" s="27">
        <f>R721/Q721</f>
        <v/>
      </c>
      <c r="T721" t="inlineStr">
        <is>
          <t>湯河原町は2045年までに人口が約27.0%減と明確な減少トレンド。高齢化の進行と世帯数の縮小により、中長期では賃貸需要の構造的縮小に警戒が必要。</t>
        </is>
      </c>
      <c r="U721" t="inlineStr">
        <is>
          <t>湯河原町は人口密度529人/km²で、主要道路沿いや中心市街地に一定の賃貸需要が局在。立地選別が稼働を左右する。 借家の空室率は約45%と供給過多気味で、空室長期化リスクに要警戒。</t>
        </is>
      </c>
      <c r="V721" t="inlineStr">
        <is>
          <t>湯河原町（神奈川県）：多摩川・相模川水系の洪水、臨海部の液状化・高潮、三浦半島や山裾の崖崩れ・土砂災害に注意。</t>
        </is>
      </c>
    </row>
    <row r="722">
      <c r="A722" t="inlineStr">
        <is>
          <t>神奈川県</t>
        </is>
      </c>
      <c r="B722" t="inlineStr">
        <is>
          <t>愛川町</t>
        </is>
      </c>
      <c r="C722" t="n">
        <v>17290</v>
      </c>
      <c r="D722" t="n">
        <v>38558</v>
      </c>
      <c r="E722" s="6" t="n">
        <v>1141</v>
      </c>
      <c r="F722" s="7" t="n">
        <v>57.8</v>
      </c>
      <c r="G722" t="n">
        <v>39869</v>
      </c>
      <c r="H722" t="n">
        <v>38558</v>
      </c>
      <c r="I722" t="n">
        <v>36914</v>
      </c>
      <c r="J722" t="n">
        <v>30708</v>
      </c>
      <c r="K722" s="27">
        <f>(H722/D722-1)</f>
        <v/>
      </c>
      <c r="L722" s="27">
        <f>(I722/D722-1)</f>
        <v/>
      </c>
      <c r="M722" s="27">
        <f>(J722/D722-1)</f>
        <v/>
      </c>
      <c r="N722" t="n">
        <v>55.7</v>
      </c>
      <c r="O722" s="28">
        <f>(N722+F722)/2</f>
        <v/>
      </c>
      <c r="P722">
        <f>IF(O722="計算不能","計算不能",IF(O722&gt;=80,5,IF(O722&gt;=60,4,IF(O722&gt;=40,3,IF(O722&gt;=28,2,1)))))</f>
        <v/>
      </c>
      <c r="Q722" t="n">
        <v>6251</v>
      </c>
      <c r="R722" t="n">
        <v>840</v>
      </c>
      <c r="S722" s="27">
        <f>R722/Q722</f>
        <v/>
      </c>
      <c r="T722" t="inlineStr">
        <is>
          <t>愛川町は2045年までに人口が約20.4%減と明確な減少トレンド。高齢化の進行と世帯数の縮小により、中長期では賃貸需要の構造的縮小に警戒が必要。</t>
        </is>
      </c>
      <c r="U722" t="inlineStr">
        <is>
          <t>愛川町は人口密度1,141人/km²で、主要道路沿いや中心市街地に一定の賃貸需要が局在。立地選別が稼働を左右する。 借家の空室率は約13%と需給は比較的引き締まっている。</t>
        </is>
      </c>
      <c r="V722" t="inlineStr">
        <is>
          <t>愛川町（神奈川県）：多摩川・相模川水系の洪水、臨海部の液状化・高潮、三浦半島や山裾の崖崩れ・土砂災害に注意。</t>
        </is>
      </c>
    </row>
    <row r="723">
      <c r="A723" t="inlineStr">
        <is>
          <t>神奈川県</t>
        </is>
      </c>
      <c r="B723" t="inlineStr">
        <is>
          <t>清川村</t>
        </is>
      </c>
      <c r="C723" t="n">
        <v>1271</v>
      </c>
      <c r="D723" t="n">
        <v>2877</v>
      </c>
      <c r="E723" s="6" t="n">
        <v>39.6</v>
      </c>
      <c r="F723" s="7" t="n">
        <v>14</v>
      </c>
      <c r="G723" t="n">
        <v>3038</v>
      </c>
      <c r="H723" t="n">
        <v>2877</v>
      </c>
      <c r="I723" t="n">
        <v>2676</v>
      </c>
      <c r="J723" t="n">
        <v>2086</v>
      </c>
      <c r="K723" s="27">
        <f>(H723/D723-1)</f>
        <v/>
      </c>
      <c r="L723" s="27">
        <f>(I723/D723-1)</f>
        <v/>
      </c>
      <c r="M723" s="27">
        <f>(J723/D723-1)</f>
        <v/>
      </c>
      <c r="N723" t="n">
        <v>46.8</v>
      </c>
      <c r="O723" s="28">
        <f>(N723+F723)/2</f>
        <v/>
      </c>
      <c r="P723">
        <f>IF(O723="計算不能","計算不能",IF(O723&gt;=80,5,IF(O723&gt;=60,4,IF(O723&gt;=40,3,IF(O723&gt;=28,2,1)))))</f>
        <v/>
      </c>
      <c r="Q723" t="n">
        <v>459</v>
      </c>
      <c r="R723" t="n">
        <v>0</v>
      </c>
      <c r="S723" s="27">
        <f>R723/Q723</f>
        <v/>
      </c>
      <c r="T723" t="inlineStr">
        <is>
          <t>清川村は2045年までに人口が約27.5%減と明確な減少トレンド。高齢化の進行と世帯数の縮小により、中長期では賃貸需要の構造的縮小に警戒が必要。</t>
        </is>
      </c>
      <c r="U723" t="inlineStr">
        <is>
          <t>清川村は人口密度40人/km²と過疎的水準で、民間賃貸の新規需要は薄い。実需に裏付けられた格安戸建ての指値取得のみが現実的。 借家の空室率は約0%と需給は比較的引き締まっている。</t>
        </is>
      </c>
      <c r="V723" t="inlineStr">
        <is>
          <t>清川村（神奈川県）：多摩川・相模川水系の洪水、臨海部の液状化・高潮、三浦半島や山裾の崖崩れ・土砂災害に注意。</t>
        </is>
      </c>
    </row>
    <row r="724">
      <c r="A724" t="inlineStr">
        <is>
          <t>新潟県</t>
        </is>
      </c>
      <c r="B724" t="inlineStr">
        <is>
          <t>新潟市</t>
        </is>
      </c>
      <c r="C724" t="n">
        <v>332300</v>
      </c>
      <c r="D724" t="n">
        <v>763812</v>
      </c>
      <c r="E724" s="6" t="n">
        <v>1046.3</v>
      </c>
      <c r="F724" s="7" t="n">
        <v>55.9</v>
      </c>
      <c r="G724" t="n">
        <v>789275</v>
      </c>
      <c r="H724" t="n">
        <v>763812</v>
      </c>
      <c r="I724" t="n">
        <v>738295</v>
      </c>
      <c r="J724" t="n">
        <v>648435</v>
      </c>
      <c r="K724" s="27">
        <f>(H724/D724-1)</f>
        <v/>
      </c>
      <c r="L724" s="27">
        <f>(I724/D724-1)</f>
        <v/>
      </c>
      <c r="M724" s="27">
        <f>(J724/D724-1)</f>
        <v/>
      </c>
      <c r="N724" t="n">
        <v>59</v>
      </c>
      <c r="O724" s="28">
        <f>(N724+F724)/2</f>
        <v/>
      </c>
      <c r="P724">
        <f>IF(O724="計算不能","計算不能",IF(O724&gt;=80,5,IF(O724&gt;=60,4,IF(O724&gt;=40,3,IF(O724&gt;=28,2,1)))))</f>
        <v/>
      </c>
      <c r="Q724" t="n">
        <v>96800</v>
      </c>
      <c r="R724" t="n">
        <v>25900</v>
      </c>
      <c r="S724" s="27">
        <f>R724/Q724</f>
        <v/>
      </c>
      <c r="T724" t="inlineStr">
        <is>
          <t>新潟市は2045年までに人口が約15.1%減と明確な減少トレンド。高齢化の進行と世帯数の縮小により、中長期では賃貸需要の構造的縮小に警戒が必要。</t>
        </is>
      </c>
      <c r="U724" t="inlineStr">
        <is>
          <t>新潟市は人口密度1,046人/km²で、主要道路沿いや中心市街地に一定の賃貸需要が局在。立地選別が稼働を左右する。 借家の空室率は約27%と供給過多気味で、空室長期化リスクに要警戒。</t>
        </is>
      </c>
      <c r="V724" t="inlineStr">
        <is>
          <t>新潟市（新潟県）：信濃川・阿賀野川水系の氾濫、日本海沿岸の津波、豪雪・なだれ、中越の地震・地すべりに留意。</t>
        </is>
      </c>
    </row>
    <row r="725">
      <c r="A725" t="inlineStr">
        <is>
          <t>新潟県</t>
        </is>
      </c>
      <c r="B725" t="inlineStr">
        <is>
          <t>長岡市</t>
        </is>
      </c>
      <c r="C725" t="n">
        <v>104300</v>
      </c>
      <c r="D725" t="n">
        <v>256456</v>
      </c>
      <c r="E725" s="6" t="n">
        <v>281.9</v>
      </c>
      <c r="F725" s="7" t="n">
        <v>34.1</v>
      </c>
      <c r="G725" t="n">
        <v>266936</v>
      </c>
      <c r="H725" t="n">
        <v>256456</v>
      </c>
      <c r="I725" t="n">
        <v>245260</v>
      </c>
      <c r="J725" t="n">
        <v>209566</v>
      </c>
      <c r="K725" s="27">
        <f>(H725/D725-1)</f>
        <v/>
      </c>
      <c r="L725" s="27">
        <f>(I725/D725-1)</f>
        <v/>
      </c>
      <c r="M725" s="27">
        <f>(J725/D725-1)</f>
        <v/>
      </c>
      <c r="N725" t="n">
        <v>55.4</v>
      </c>
      <c r="O725" s="28">
        <f>(N725+F725)/2</f>
        <v/>
      </c>
      <c r="P725">
        <f>IF(O725="計算不能","計算不能",IF(O725&gt;=80,5,IF(O725&gt;=60,4,IF(O725&gt;=40,3,IF(O725&gt;=28,2,1)))))</f>
        <v/>
      </c>
      <c r="Q725" t="n">
        <v>23885</v>
      </c>
      <c r="R725" t="n">
        <v>7840</v>
      </c>
      <c r="S725" s="27">
        <f>R725/Q725</f>
        <v/>
      </c>
      <c r="T725" t="inlineStr">
        <is>
          <t>長岡市は2045年までに人口が約18.3%減と明確な減少トレンド。高齢化の進行と世帯数の縮小により、中長期では賃貸需要の構造的縮小に警戒が必要。</t>
        </is>
      </c>
      <c r="U725" t="inlineStr">
        <is>
          <t>長岡市は人口密度282人/km²と低密度で、賃貸需要は限定的。持ち家比率が高く、駐車場完備の戸建て賃貸が有利。 借家の空室率は約33%と供給過多気味で、空室長期化リスクに要警戒。</t>
        </is>
      </c>
      <c r="V725" t="inlineStr">
        <is>
          <t>長岡市（新潟県）：信濃川・阿賀野川水系の氾濫、日本海沿岸の津波、豪雪・なだれ、中越の地震・地すべりに留意。</t>
        </is>
      </c>
    </row>
    <row r="726">
      <c r="A726" t="inlineStr">
        <is>
          <t>新潟県</t>
        </is>
      </c>
      <c r="B726" t="inlineStr">
        <is>
          <t>三条市</t>
        </is>
      </c>
      <c r="C726" t="n">
        <v>33920</v>
      </c>
      <c r="D726" t="n">
        <v>89768</v>
      </c>
      <c r="E726" s="6" t="n">
        <v>204.8</v>
      </c>
      <c r="F726" s="7" t="n">
        <v>30.2</v>
      </c>
      <c r="G726" t="n">
        <v>94642</v>
      </c>
      <c r="H726" t="n">
        <v>89768</v>
      </c>
      <c r="I726" t="n">
        <v>84538</v>
      </c>
      <c r="J726" t="n">
        <v>68383</v>
      </c>
      <c r="K726" s="27">
        <f>(H726/D726-1)</f>
        <v/>
      </c>
      <c r="L726" s="27">
        <f>(I726/D726-1)</f>
        <v/>
      </c>
      <c r="M726" s="27">
        <f>(J726/D726-1)</f>
        <v/>
      </c>
      <c r="N726" t="n">
        <v>49.5</v>
      </c>
      <c r="O726" s="28">
        <f>(N726+F726)/2</f>
        <v/>
      </c>
      <c r="P726">
        <f>IF(O726="計算不能","計算不能",IF(O726&gt;=80,5,IF(O726&gt;=60,4,IF(O726&gt;=40,3,IF(O726&gt;=28,2,1)))))</f>
        <v/>
      </c>
      <c r="Q726" t="n">
        <v>7767</v>
      </c>
      <c r="R726" t="n">
        <v>1290</v>
      </c>
      <c r="S726" s="27">
        <f>R726/Q726</f>
        <v/>
      </c>
      <c r="T726" t="inlineStr">
        <is>
          <t>三条市は2045年までに人口が約23.8%減と明確な減少トレンド。高齢化の進行と世帯数の縮小により、中長期では賃貸需要の構造的縮小に警戒が必要。</t>
        </is>
      </c>
      <c r="U726" t="inlineStr">
        <is>
          <t>三条市は人口密度205人/km²と低密度で、賃貸需要は限定的。持ち家比率が高く、駐車場完備の戸建て賃貸が有利。 借家の空室率は約17%と需給は比較的引き締まっている。</t>
        </is>
      </c>
      <c r="V726" t="inlineStr">
        <is>
          <t>三条市（新潟県）：信濃川・阿賀野川水系の氾濫、日本海沿岸の津波、豪雪・なだれ、中越の地震・地すべりに留意。</t>
        </is>
      </c>
    </row>
    <row r="727">
      <c r="A727" t="inlineStr">
        <is>
          <t>新潟県</t>
        </is>
      </c>
      <c r="B727" t="inlineStr">
        <is>
          <t>柏崎市</t>
        </is>
      </c>
      <c r="C727" t="n">
        <v>32770</v>
      </c>
      <c r="D727" t="n">
        <v>75111</v>
      </c>
      <c r="E727" s="6" t="n">
        <v>169.1</v>
      </c>
      <c r="F727" s="7" t="n">
        <v>26.9</v>
      </c>
      <c r="G727" t="n">
        <v>81526</v>
      </c>
      <c r="H727" t="n">
        <v>75111</v>
      </c>
      <c r="I727" t="n">
        <v>70306</v>
      </c>
      <c r="J727" t="n">
        <v>55923</v>
      </c>
      <c r="K727" s="27">
        <f>(H727/D727-1)</f>
        <v/>
      </c>
      <c r="L727" s="27">
        <f>(I727/D727-1)</f>
        <v/>
      </c>
      <c r="M727" s="27">
        <f>(J727/D727-1)</f>
        <v/>
      </c>
      <c r="N727" t="n">
        <v>44.2</v>
      </c>
      <c r="O727" s="28">
        <f>(N727+F727)/2</f>
        <v/>
      </c>
      <c r="P727">
        <f>IF(O727="計算不能","計算不能",IF(O727&gt;=80,5,IF(O727&gt;=60,4,IF(O727&gt;=40,3,IF(O727&gt;=28,2,1)))))</f>
        <v/>
      </c>
      <c r="Q727" t="n">
        <v>7504</v>
      </c>
      <c r="R727" t="n">
        <v>3540</v>
      </c>
      <c r="S727" s="27">
        <f>R727/Q727</f>
        <v/>
      </c>
      <c r="T727" t="inlineStr">
        <is>
          <t>柏崎市は2045年までに人口が約25.5%減と明確な減少トレンド。高齢化の進行と世帯数の縮小により、中長期では賃貸需要の構造的縮小に警戒が必要。</t>
        </is>
      </c>
      <c r="U727" t="inlineStr">
        <is>
          <t>柏崎市は人口密度169人/km²と過疎的水準で、民間賃貸の新規需要は薄い。実需に裏付けられた格安戸建ての指値取得のみが現実的。 借家の空室率は約47%と供給過多気味で、空室長期化リスクに要警戒。</t>
        </is>
      </c>
      <c r="V727" t="inlineStr">
        <is>
          <t>柏崎市（新潟県）：信濃川・阿賀野川水系の氾濫、日本海沿岸の津波、豪雪・なだれ、中越の地震・地すべりに留意。</t>
        </is>
      </c>
    </row>
    <row r="728">
      <c r="A728" t="inlineStr">
        <is>
          <t>新潟県</t>
        </is>
      </c>
      <c r="B728" t="inlineStr">
        <is>
          <t>新発田市</t>
        </is>
      </c>
      <c r="C728" t="n">
        <v>35040</v>
      </c>
      <c r="D728" t="n">
        <v>89876</v>
      </c>
      <c r="E728" s="6" t="n">
        <v>168.1</v>
      </c>
      <c r="F728" s="7" t="n">
        <v>26.8</v>
      </c>
      <c r="G728" t="n">
        <v>94927</v>
      </c>
      <c r="H728" t="n">
        <v>89876</v>
      </c>
      <c r="I728" t="n">
        <v>85041</v>
      </c>
      <c r="J728" t="n">
        <v>70048</v>
      </c>
      <c r="K728" s="27">
        <f>(H728/D728-1)</f>
        <v/>
      </c>
      <c r="L728" s="27">
        <f>(I728/D728-1)</f>
        <v/>
      </c>
      <c r="M728" s="27">
        <f>(J728/D728-1)</f>
        <v/>
      </c>
      <c r="N728" t="n">
        <v>50.3</v>
      </c>
      <c r="O728" s="28">
        <f>(N728+F728)/2</f>
        <v/>
      </c>
      <c r="P728">
        <f>IF(O728="計算不能","計算不能",IF(O728&gt;=80,5,IF(O728&gt;=60,4,IF(O728&gt;=40,3,IF(O728&gt;=28,2,1)))))</f>
        <v/>
      </c>
      <c r="Q728" t="n">
        <v>8024</v>
      </c>
      <c r="R728" t="n">
        <v>1640</v>
      </c>
      <c r="S728" s="27">
        <f>R728/Q728</f>
        <v/>
      </c>
      <c r="T728" t="inlineStr">
        <is>
          <t>新発田市は2045年までに人口が約22.1%減と明確な減少トレンド。高齢化の進行と世帯数の縮小により、中長期では賃貸需要の構造的縮小に警戒が必要。</t>
        </is>
      </c>
      <c r="U728" t="inlineStr">
        <is>
          <t>新発田市は人口密度168人/km²と過疎的水準で、民間賃貸の新規需要は薄い。実需に裏付けられた格安戸建ての指値取得のみが現実的。 借家の空室率は約20%とやや高めで、競合との差別化が必要。</t>
        </is>
      </c>
      <c r="V728" t="inlineStr">
        <is>
          <t>新発田市（新潟県）：信濃川・阿賀野川水系の氾濫、日本海沿岸の津波、豪雪・なだれ、中越の地震・地すべりに留意。</t>
        </is>
      </c>
    </row>
    <row r="729">
      <c r="A729" t="inlineStr">
        <is>
          <t>新潟県</t>
        </is>
      </c>
      <c r="B729" t="inlineStr">
        <is>
          <t>小千谷市</t>
        </is>
      </c>
      <c r="C729" t="n">
        <v>12030</v>
      </c>
      <c r="D729" t="n">
        <v>31863</v>
      </c>
      <c r="E729" s="6" t="n">
        <v>202.5</v>
      </c>
      <c r="F729" s="7" t="n">
        <v>30.1</v>
      </c>
      <c r="G729" t="n">
        <v>34096</v>
      </c>
      <c r="H729" t="n">
        <v>31863</v>
      </c>
      <c r="I729" t="n">
        <v>29546</v>
      </c>
      <c r="J729" t="n">
        <v>22843</v>
      </c>
      <c r="K729" s="27">
        <f>(H729/D729-1)</f>
        <v/>
      </c>
      <c r="L729" s="27">
        <f>(I729/D729-1)</f>
        <v/>
      </c>
      <c r="M729" s="27">
        <f>(J729/D729-1)</f>
        <v/>
      </c>
      <c r="N729" t="n">
        <v>44.5</v>
      </c>
      <c r="O729" s="28">
        <f>(N729+F729)/2</f>
        <v/>
      </c>
      <c r="P729">
        <f>IF(O729="計算不能","計算不能",IF(O729&gt;=80,5,IF(O729&gt;=60,4,IF(O729&gt;=40,3,IF(O729&gt;=28,2,1)))))</f>
        <v/>
      </c>
      <c r="Q729" t="n">
        <v>2754</v>
      </c>
      <c r="R729" t="n">
        <v>550</v>
      </c>
      <c r="S729" s="27">
        <f>R729/Q729</f>
        <v/>
      </c>
      <c r="T729" t="inlineStr">
        <is>
          <t>小千谷市は2045年までに人口が約28.3%減と明確な減少トレンド。高齢化の進行と世帯数の縮小により、中長期では賃貸需要の構造的縮小に警戒が必要。</t>
        </is>
      </c>
      <c r="U729" t="inlineStr">
        <is>
          <t>小千谷市は人口密度202人/km²と低密度で、賃貸需要は限定的。持ち家比率が高く、駐車場完備の戸建て賃貸が有利。 借家の空室率は約20%とやや高めで、競合との差別化が必要。</t>
        </is>
      </c>
      <c r="V729" t="inlineStr">
        <is>
          <t>小千谷市（新潟県）：信濃川・阿賀野川水系の氾濫、日本海沿岸の津波、豪雪・なだれ、中越の地震・地すべりに留意。</t>
        </is>
      </c>
    </row>
    <row r="730">
      <c r="A730" t="inlineStr">
        <is>
          <t>新潟県</t>
        </is>
      </c>
      <c r="B730" t="inlineStr">
        <is>
          <t>加茂市</t>
        </is>
      </c>
      <c r="C730" t="n">
        <v>9300</v>
      </c>
      <c r="D730" t="n">
        <v>22921</v>
      </c>
      <c r="E730" s="6" t="n">
        <v>171.9</v>
      </c>
      <c r="F730" s="7" t="n">
        <v>27.2</v>
      </c>
      <c r="G730" t="n">
        <v>25441</v>
      </c>
      <c r="H730" t="n">
        <v>22921</v>
      </c>
      <c r="I730" t="n">
        <v>20829</v>
      </c>
      <c r="J730" t="n">
        <v>14815</v>
      </c>
      <c r="K730" s="27">
        <f>(H730/D730-1)</f>
        <v/>
      </c>
      <c r="L730" s="27">
        <f>(I730/D730-1)</f>
        <v/>
      </c>
      <c r="M730" s="27">
        <f>(J730/D730-1)</f>
        <v/>
      </c>
      <c r="N730" t="n">
        <v>39.3</v>
      </c>
      <c r="O730" s="28">
        <f>(N730+F730)/2</f>
        <v/>
      </c>
      <c r="P730">
        <f>IF(O730="計算不能","計算不能",IF(O730&gt;=80,5,IF(O730&gt;=60,4,IF(O730&gt;=40,3,IF(O730&gt;=28,2,1)))))</f>
        <v/>
      </c>
      <c r="Q730" t="n">
        <v>2129</v>
      </c>
      <c r="R730" t="n">
        <v>640</v>
      </c>
      <c r="S730" s="27">
        <f>R730/Q730</f>
        <v/>
      </c>
      <c r="T730" t="inlineStr">
        <is>
          <t>加茂市は2045年までに人口が約35.4%減と急激な過疎・超高齢化が進行。若年労働世代の流出と自然減が重なり、賃貸事業としての持続性は極めて限定的。</t>
        </is>
      </c>
      <c r="U730" t="inlineStr">
        <is>
          <t>加茂市は人口密度172人/km²と過疎的水準で、民間賃貸の新規需要は薄い。実需に裏付けられた格安戸建ての指値取得のみが現実的。 借家の空室率は約30%と供給過多気味で、空室長期化リスクに要警戒。</t>
        </is>
      </c>
      <c r="V730" t="inlineStr">
        <is>
          <t>加茂市（新潟県）：信濃川・阿賀野川水系の氾濫、日本海沿岸の津波、豪雪・なだれ、中越の地震・地すべりに留意。</t>
        </is>
      </c>
    </row>
    <row r="731">
      <c r="A731" t="inlineStr">
        <is>
          <t>新潟県</t>
        </is>
      </c>
      <c r="B731" t="inlineStr">
        <is>
          <t>十日町市</t>
        </is>
      </c>
      <c r="C731" t="n">
        <v>17010</v>
      </c>
      <c r="D731" t="n">
        <v>44799</v>
      </c>
      <c r="E731" s="6" t="n">
        <v>75.40000000000001</v>
      </c>
      <c r="F731" s="7" t="n">
        <v>17.5</v>
      </c>
      <c r="G731" t="n">
        <v>49820</v>
      </c>
      <c r="H731" t="n">
        <v>44799</v>
      </c>
      <c r="I731" t="n">
        <v>40416</v>
      </c>
      <c r="J731" t="n">
        <v>29262</v>
      </c>
      <c r="K731" s="27">
        <f>(H731/D731-1)</f>
        <v/>
      </c>
      <c r="L731" s="27">
        <f>(I731/D731-1)</f>
        <v/>
      </c>
      <c r="M731" s="27">
        <f>(J731/D731-1)</f>
        <v/>
      </c>
      <c r="N731" t="n">
        <v>39</v>
      </c>
      <c r="O731" s="28">
        <f>(N731+F731)/2</f>
        <v/>
      </c>
      <c r="P731">
        <f>IF(O731="計算不能","計算不能",IF(O731&gt;=80,5,IF(O731&gt;=60,4,IF(O731&gt;=40,3,IF(O731&gt;=28,2,1)))))</f>
        <v/>
      </c>
      <c r="Q731" t="n">
        <v>3895</v>
      </c>
      <c r="R731" t="n">
        <v>280</v>
      </c>
      <c r="S731" s="27">
        <f>R731/Q731</f>
        <v/>
      </c>
      <c r="T731" t="inlineStr">
        <is>
          <t>十日町市は2045年までに人口が約34.7%減と急激な過疎・超高齢化が進行。若年労働世代の流出と自然減が重なり、賃貸事業としての持続性は極めて限定的。</t>
        </is>
      </c>
      <c r="U731" t="inlineStr">
        <is>
          <t>十日町市は人口密度75人/km²と過疎的水準で、民間賃貸の新規需要は薄い。実需に裏付けられた格安戸建ての指値取得のみが現実的。 借家の空室率は約7%と需給は比較的引き締まっている。</t>
        </is>
      </c>
      <c r="V731" t="inlineStr">
        <is>
          <t>十日町市（新潟県）：信濃川・阿賀野川水系の氾濫、日本海沿岸の津波、豪雪・なだれ、中越の地震・地すべりに留意。</t>
        </is>
      </c>
    </row>
    <row r="732">
      <c r="A732" t="inlineStr">
        <is>
          <t>新潟県</t>
        </is>
      </c>
      <c r="B732" t="inlineStr">
        <is>
          <t>見附市</t>
        </is>
      </c>
      <c r="C732" t="n">
        <v>13800</v>
      </c>
      <c r="D732" t="n">
        <v>37527</v>
      </c>
      <c r="E732" s="6" t="n">
        <v>471</v>
      </c>
      <c r="F732" s="7" t="n">
        <v>43.5</v>
      </c>
      <c r="G732" t="n">
        <v>39237</v>
      </c>
      <c r="H732" t="n">
        <v>37527</v>
      </c>
      <c r="I732" t="n">
        <v>35528</v>
      </c>
      <c r="J732" t="n">
        <v>29088</v>
      </c>
      <c r="K732" s="27">
        <f>(H732/D732-1)</f>
        <v/>
      </c>
      <c r="L732" s="27">
        <f>(I732/D732-1)</f>
        <v/>
      </c>
      <c r="M732" s="27">
        <f>(J732/D732-1)</f>
        <v/>
      </c>
      <c r="N732" t="n">
        <v>52</v>
      </c>
      <c r="O732" s="28">
        <f>(N732+F732)/2</f>
        <v/>
      </c>
      <c r="P732">
        <f>IF(O732="計算不能","計算不能",IF(O732&gt;=80,5,IF(O732&gt;=60,4,IF(O732&gt;=40,3,IF(O732&gt;=28,2,1)))))</f>
        <v/>
      </c>
      <c r="Q732" t="n">
        <v>3160</v>
      </c>
      <c r="R732" t="n">
        <v>640</v>
      </c>
      <c r="S732" s="27">
        <f>R732/Q732</f>
        <v/>
      </c>
      <c r="T732" t="inlineStr">
        <is>
          <t>見附市は2045年までに人口が約22.5%減と明確な減少トレンド。高齢化の進行と世帯数の縮小により、中長期では賃貸需要の構造的縮小に警戒が必要。</t>
        </is>
      </c>
      <c r="U732" t="inlineStr">
        <is>
          <t>見附市は人口密度471人/km²と低密度で、賃貸需要は限定的。持ち家比率が高く、駐車場完備の戸建て賃貸が有利。 借家の空室率は約20%とやや高めで、競合との差別化が必要。</t>
        </is>
      </c>
      <c r="V732" t="inlineStr">
        <is>
          <t>見附市（新潟県）：信濃川・阿賀野川水系の氾濫、日本海沿岸の津波、豪雪・なだれ、中越の地震・地すべりに留意。</t>
        </is>
      </c>
    </row>
    <row r="733">
      <c r="A733" t="inlineStr">
        <is>
          <t>新潟県</t>
        </is>
      </c>
      <c r="B733" t="inlineStr">
        <is>
          <t>村上市</t>
        </is>
      </c>
      <c r="C733" t="n">
        <v>21280</v>
      </c>
      <c r="D733" t="n">
        <v>51987</v>
      </c>
      <c r="E733" s="6" t="n">
        <v>43.8</v>
      </c>
      <c r="F733" s="7" t="n">
        <v>14.4</v>
      </c>
      <c r="G733" t="n">
        <v>57418</v>
      </c>
      <c r="H733" t="n">
        <v>51987</v>
      </c>
      <c r="I733" t="n">
        <v>47270</v>
      </c>
      <c r="J733" t="n">
        <v>34422</v>
      </c>
      <c r="K733" s="27">
        <f>(H733/D733-1)</f>
        <v/>
      </c>
      <c r="L733" s="27">
        <f>(I733/D733-1)</f>
        <v/>
      </c>
      <c r="M733" s="27">
        <f>(J733/D733-1)</f>
        <v/>
      </c>
      <c r="N733" t="n">
        <v>40</v>
      </c>
      <c r="O733" s="28">
        <f>(N733+F733)/2</f>
        <v/>
      </c>
      <c r="P733">
        <f>IF(O733="計算不能","計算不能",IF(O733&gt;=80,5,IF(O733&gt;=60,4,IF(O733&gt;=40,3,IF(O733&gt;=28,2,1)))))</f>
        <v/>
      </c>
      <c r="Q733" t="n">
        <v>4873</v>
      </c>
      <c r="R733" t="n">
        <v>1050</v>
      </c>
      <c r="S733" s="27">
        <f>R733/Q733</f>
        <v/>
      </c>
      <c r="T733" t="inlineStr">
        <is>
          <t>村上市は2045年までに人口が約33.8%減と急激な過疎・超高齢化が進行。若年労働世代の流出と自然減が重なり、賃貸事業としての持続性は極めて限定的。</t>
        </is>
      </c>
      <c r="U733" t="inlineStr">
        <is>
          <t>村上市は人口密度44人/km²と過疎的水準で、民間賃貸の新規需要は薄い。実需に裏付けられた格安戸建ての指値取得のみが現実的。 借家の空室率は約22%とやや高めで、競合との差別化が必要。</t>
        </is>
      </c>
      <c r="V733" t="inlineStr">
        <is>
          <t>村上市（新潟県）：信濃川・阿賀野川水系の氾濫、日本海沿岸の津波、豪雪・なだれ、中越の地震・地すべりに留意。</t>
        </is>
      </c>
    </row>
    <row r="734">
      <c r="A734" t="inlineStr">
        <is>
          <t>新潟県</t>
        </is>
      </c>
      <c r="B734" t="inlineStr">
        <is>
          <t>燕市</t>
        </is>
      </c>
      <c r="C734" t="n">
        <v>28980</v>
      </c>
      <c r="D734" t="n">
        <v>73937</v>
      </c>
      <c r="E734" s="6" t="n">
        <v>665.3</v>
      </c>
      <c r="F734" s="7" t="n">
        <v>48.3</v>
      </c>
      <c r="G734" t="n">
        <v>77201</v>
      </c>
      <c r="H734" t="n">
        <v>73937</v>
      </c>
      <c r="I734" t="n">
        <v>70263</v>
      </c>
      <c r="J734" t="n">
        <v>58260</v>
      </c>
      <c r="K734" s="27">
        <f>(H734/D734-1)</f>
        <v/>
      </c>
      <c r="L734" s="27">
        <f>(I734/D734-1)</f>
        <v/>
      </c>
      <c r="M734" s="27">
        <f>(J734/D734-1)</f>
        <v/>
      </c>
      <c r="N734" t="n">
        <v>53.1</v>
      </c>
      <c r="O734" s="28">
        <f>(N734+F734)/2</f>
        <v/>
      </c>
      <c r="P734">
        <f>IF(O734="計算不能","計算不能",IF(O734&gt;=80,5,IF(O734&gt;=60,4,IF(O734&gt;=40,3,IF(O734&gt;=28,2,1)))))</f>
        <v/>
      </c>
      <c r="Q734" t="n">
        <v>6636</v>
      </c>
      <c r="R734" t="n">
        <v>1350</v>
      </c>
      <c r="S734" s="27">
        <f>R734/Q734</f>
        <v/>
      </c>
      <c r="T734" t="inlineStr">
        <is>
          <t>燕市は2045年までに人口が約21.2%減と明確な減少トレンド。高齢化の進行と世帯数の縮小により、中長期では賃貸需要の構造的縮小に警戒が必要。</t>
        </is>
      </c>
      <c r="U734" t="inlineStr">
        <is>
          <t>燕市は人口密度665人/km²で、主要道路沿いや中心市街地に一定の賃貸需要が局在。立地選別が稼働を左右する。 借家の空室率は約20%とやや高めで、競合との差別化が必要。</t>
        </is>
      </c>
      <c r="V734" t="inlineStr">
        <is>
          <t>燕市（新潟県）：信濃川・阿賀野川水系の氾濫、日本海沿岸の津波、豪雪・なだれ、中越の地震・地すべりに留意。</t>
        </is>
      </c>
    </row>
    <row r="735">
      <c r="A735" t="inlineStr">
        <is>
          <t>新潟県</t>
        </is>
      </c>
      <c r="B735" t="inlineStr">
        <is>
          <t>糸魚川市</t>
        </is>
      </c>
      <c r="C735" t="n">
        <v>15600</v>
      </c>
      <c r="D735" t="n">
        <v>36875</v>
      </c>
      <c r="E735" s="6" t="n">
        <v>48.9</v>
      </c>
      <c r="F735" s="7" t="n">
        <v>14.9</v>
      </c>
      <c r="G735" t="n">
        <v>40765</v>
      </c>
      <c r="H735" t="n">
        <v>36875</v>
      </c>
      <c r="I735" t="n">
        <v>33577</v>
      </c>
      <c r="J735" t="n">
        <v>24906</v>
      </c>
      <c r="K735" s="27">
        <f>(H735/D735-1)</f>
        <v/>
      </c>
      <c r="L735" s="27">
        <f>(I735/D735-1)</f>
        <v/>
      </c>
      <c r="M735" s="27">
        <f>(J735/D735-1)</f>
        <v/>
      </c>
      <c r="N735" t="n">
        <v>40.3</v>
      </c>
      <c r="O735" s="28">
        <f>(N735+F735)/2</f>
        <v/>
      </c>
      <c r="P735">
        <f>IF(O735="計算不能","計算不能",IF(O735&gt;=80,5,IF(O735&gt;=60,4,IF(O735&gt;=40,3,IF(O735&gt;=28,2,1)))))</f>
        <v/>
      </c>
      <c r="Q735" t="n">
        <v>3572</v>
      </c>
      <c r="R735" t="n">
        <v>920</v>
      </c>
      <c r="S735" s="27">
        <f>R735/Q735</f>
        <v/>
      </c>
      <c r="T735" t="inlineStr">
        <is>
          <t>糸魚川市は2045年までに人口が約32.5%減と急激な過疎・超高齢化が進行。若年労働世代の流出と自然減が重なり、賃貸事業としての持続性は極めて限定的。</t>
        </is>
      </c>
      <c r="U735" t="inlineStr">
        <is>
          <t>糸魚川市は人口密度49人/km²と過疎的水準で、民間賃貸の新規需要は薄い。実需に裏付けられた格安戸建ての指値取得のみが現実的。 借家の空室率は約26%と供給過多気味で、空室長期化リスクに要警戒。</t>
        </is>
      </c>
      <c r="V735" t="inlineStr">
        <is>
          <t>糸魚川市（新潟県）：信濃川・阿賀野川水系の氾濫、日本海沿岸の津波、豪雪・なだれ、中越の地震・地すべりに留意。</t>
        </is>
      </c>
    </row>
    <row r="736">
      <c r="A736" t="inlineStr">
        <is>
          <t>新潟県</t>
        </is>
      </c>
      <c r="B736" t="inlineStr">
        <is>
          <t>妙高市</t>
        </is>
      </c>
      <c r="C736" t="n">
        <v>10630</v>
      </c>
      <c r="D736" t="n">
        <v>27826</v>
      </c>
      <c r="E736" s="6" t="n">
        <v>62.7</v>
      </c>
      <c r="F736" s="7" t="n">
        <v>16.3</v>
      </c>
      <c r="G736" t="n">
        <v>30383</v>
      </c>
      <c r="H736" t="n">
        <v>27826</v>
      </c>
      <c r="I736" t="n">
        <v>25304</v>
      </c>
      <c r="J736" t="n">
        <v>18326</v>
      </c>
      <c r="K736" s="27">
        <f>(H736/D736-1)</f>
        <v/>
      </c>
      <c r="L736" s="27">
        <f>(I736/D736-1)</f>
        <v/>
      </c>
      <c r="M736" s="27">
        <f>(J736/D736-1)</f>
        <v/>
      </c>
      <c r="N736" t="n">
        <v>40.9</v>
      </c>
      <c r="O736" s="28">
        <f>(N736+F736)/2</f>
        <v/>
      </c>
      <c r="P736">
        <f>IF(O736="計算不能","計算不能",IF(O736&gt;=80,5,IF(O736&gt;=60,4,IF(O736&gt;=40,3,IF(O736&gt;=28,2,1)))))</f>
        <v/>
      </c>
      <c r="Q736" t="n">
        <v>2434</v>
      </c>
      <c r="R736" t="n">
        <v>370</v>
      </c>
      <c r="S736" s="27">
        <f>R736/Q736</f>
        <v/>
      </c>
      <c r="T736" t="inlineStr">
        <is>
          <t>妙高市は2045年までに人口が約34.1%減と急激な過疎・超高齢化が進行。若年労働世代の流出と自然減が重なり、賃貸事業としての持続性は極めて限定的。</t>
        </is>
      </c>
      <c r="U736" t="inlineStr">
        <is>
          <t>妙高市は人口密度63人/km²と過疎的水準で、民間賃貸の新規需要は薄い。実需に裏付けられた格安戸建ての指値取得のみが現実的。 借家の空室率は約15%と需給は比較的引き締まっている。</t>
        </is>
      </c>
      <c r="V736" t="inlineStr">
        <is>
          <t>妙高市（新潟県）：信濃川・阿賀野川水系の氾濫、日本海沿岸の津波、豪雪・なだれ、中越の地震・地すべりに留意。</t>
        </is>
      </c>
    </row>
    <row r="737">
      <c r="A737" t="inlineStr">
        <is>
          <t>新潟県</t>
        </is>
      </c>
      <c r="B737" t="inlineStr">
        <is>
          <t>五泉市</t>
        </is>
      </c>
      <c r="C737" t="n">
        <v>16950</v>
      </c>
      <c r="D737" t="n">
        <v>43471</v>
      </c>
      <c r="E737" s="6" t="n">
        <v>123.7</v>
      </c>
      <c r="F737" s="7" t="n">
        <v>22.4</v>
      </c>
      <c r="G737" t="n">
        <v>47625</v>
      </c>
      <c r="H737" t="n">
        <v>43471</v>
      </c>
      <c r="I737" t="n">
        <v>40036</v>
      </c>
      <c r="J737" t="n">
        <v>29904</v>
      </c>
      <c r="K737" s="27">
        <f>(H737/D737-1)</f>
        <v/>
      </c>
      <c r="L737" s="27">
        <f>(I737/D737-1)</f>
        <v/>
      </c>
      <c r="M737" s="27">
        <f>(J737/D737-1)</f>
        <v/>
      </c>
      <c r="N737" t="n">
        <v>41.6</v>
      </c>
      <c r="O737" s="28">
        <f>(N737+F737)/2</f>
        <v/>
      </c>
      <c r="P737">
        <f>IF(O737="計算不能","計算不能",IF(O737&gt;=80,5,IF(O737&gt;=60,4,IF(O737&gt;=40,3,IF(O737&gt;=28,2,1)))))</f>
        <v/>
      </c>
      <c r="Q737" t="n">
        <v>3881</v>
      </c>
      <c r="R737" t="n">
        <v>500</v>
      </c>
      <c r="S737" s="27">
        <f>R737/Q737</f>
        <v/>
      </c>
      <c r="T737" t="inlineStr">
        <is>
          <t>五泉市は2045年までに人口が約31.2%減と急激な過疎・超高齢化が進行。若年労働世代の流出と自然減が重なり、賃貸事業としての持続性は極めて限定的。</t>
        </is>
      </c>
      <c r="U737" t="inlineStr">
        <is>
          <t>五泉市は人口密度124人/km²と過疎的水準で、民間賃貸の新規需要は薄い。実需に裏付けられた格安戸建ての指値取得のみが現実的。 借家の空室率は約13%と需給は比較的引き締まっている。</t>
        </is>
      </c>
      <c r="V737" t="inlineStr">
        <is>
          <t>五泉市（新潟県）：信濃川・阿賀野川水系の氾濫、日本海沿岸の津波、豪雪・なだれ、中越の地震・地すべりに留意。</t>
        </is>
      </c>
    </row>
    <row r="738">
      <c r="A738" t="inlineStr">
        <is>
          <t>新潟県</t>
        </is>
      </c>
      <c r="B738" t="inlineStr">
        <is>
          <t>上越市</t>
        </is>
      </c>
      <c r="C738" t="n">
        <v>71410</v>
      </c>
      <c r="D738" t="n">
        <v>176550</v>
      </c>
      <c r="E738" s="6" t="n">
        <v>181.4</v>
      </c>
      <c r="F738" s="7" t="n">
        <v>28.1</v>
      </c>
      <c r="G738" t="n">
        <v>188047</v>
      </c>
      <c r="H738" t="n">
        <v>176550</v>
      </c>
      <c r="I738" t="n">
        <v>166710</v>
      </c>
      <c r="J738" t="n">
        <v>137456</v>
      </c>
      <c r="K738" s="27">
        <f>(H738/D738-1)</f>
        <v/>
      </c>
      <c r="L738" s="27">
        <f>(I738/D738-1)</f>
        <v/>
      </c>
      <c r="M738" s="27">
        <f>(J738/D738-1)</f>
        <v/>
      </c>
      <c r="N738" t="n">
        <v>48.7</v>
      </c>
      <c r="O738" s="28">
        <f>(N738+F738)/2</f>
        <v/>
      </c>
      <c r="P738">
        <f>IF(O738="計算不能","計算不能",IF(O738&gt;=80,5,IF(O738&gt;=60,4,IF(O738&gt;=40,3,IF(O738&gt;=28,2,1)))))</f>
        <v/>
      </c>
      <c r="Q738" t="n">
        <v>16353</v>
      </c>
      <c r="R738" t="n">
        <v>4040</v>
      </c>
      <c r="S738" s="27">
        <f>R738/Q738</f>
        <v/>
      </c>
      <c r="T738" t="inlineStr">
        <is>
          <t>上越市は2045年までに人口が約22.1%減と明確な減少トレンド。高齢化の進行と世帯数の縮小により、中長期では賃貸需要の構造的縮小に警戒が必要。</t>
        </is>
      </c>
      <c r="U738" t="inlineStr">
        <is>
          <t>上越市は人口密度181人/km²と過疎的水準で、民間賃貸の新規需要は薄い。実需に裏付けられた格安戸建ての指値取得のみが現実的。 借家の空室率は約25%とやや高めで、競合との差別化が必要。</t>
        </is>
      </c>
      <c r="V738" t="inlineStr">
        <is>
          <t>上越市（新潟県）：信濃川・阿賀野川水系の氾濫、日本海沿岸の津波、豪雪・なだれ、中越の地震・地すべりに留意。</t>
        </is>
      </c>
    </row>
    <row r="739">
      <c r="A739" t="inlineStr">
        <is>
          <t>新潟県</t>
        </is>
      </c>
      <c r="B739" t="inlineStr">
        <is>
          <t>阿賀野市</t>
        </is>
      </c>
      <c r="C739" t="n">
        <v>13440</v>
      </c>
      <c r="D739" t="n">
        <v>38158</v>
      </c>
      <c r="E739" s="6" t="n">
        <v>194.8</v>
      </c>
      <c r="F739" s="7" t="n">
        <v>29.5</v>
      </c>
      <c r="G739" t="n">
        <v>40696</v>
      </c>
      <c r="H739" t="n">
        <v>38158</v>
      </c>
      <c r="I739" t="n">
        <v>35509</v>
      </c>
      <c r="J739" t="n">
        <v>27531</v>
      </c>
      <c r="K739" s="27">
        <f>(H739/D739-1)</f>
        <v/>
      </c>
      <c r="L739" s="27">
        <f>(I739/D739-1)</f>
        <v/>
      </c>
      <c r="M739" s="27">
        <f>(J739/D739-1)</f>
        <v/>
      </c>
      <c r="N739" t="n">
        <v>45</v>
      </c>
      <c r="O739" s="28">
        <f>(N739+F739)/2</f>
        <v/>
      </c>
      <c r="P739">
        <f>IF(O739="計算不能","計算不能",IF(O739&gt;=80,5,IF(O739&gt;=60,4,IF(O739&gt;=40,3,IF(O739&gt;=28,2,1)))))</f>
        <v/>
      </c>
      <c r="Q739" t="n">
        <v>3077</v>
      </c>
      <c r="R739" t="n">
        <v>410</v>
      </c>
      <c r="S739" s="27">
        <f>R739/Q739</f>
        <v/>
      </c>
      <c r="T739" t="inlineStr">
        <is>
          <t>阿賀野市は2045年までに人口が約27.8%減と明確な減少トレンド。高齢化の進行と世帯数の縮小により、中長期では賃貸需要の構造的縮小に警戒が必要。</t>
        </is>
      </c>
      <c r="U739" t="inlineStr">
        <is>
          <t>阿賀野市は人口密度195人/km²と過疎的水準で、民間賃貸の新規需要は薄い。実需に裏付けられた格安戸建ての指値取得のみが現実的。 借家の空室率は約13%と需給は比較的引き締まっている。</t>
        </is>
      </c>
      <c r="V739" t="inlineStr">
        <is>
          <t>阿賀野市（新潟県）：信濃川・阿賀野川水系の氾濫、日本海沿岸の津波、豪雪・なだれ、中越の地震・地すべりに留意。</t>
        </is>
      </c>
    </row>
    <row r="740">
      <c r="A740" t="inlineStr">
        <is>
          <t>新潟県</t>
        </is>
      </c>
      <c r="B740" t="inlineStr">
        <is>
          <t>佐渡市</t>
        </is>
      </c>
      <c r="C740" t="n">
        <v>19870</v>
      </c>
      <c r="D740" t="n">
        <v>45785</v>
      </c>
      <c r="E740" s="6" t="n">
        <v>53.1</v>
      </c>
      <c r="F740" s="7" t="n">
        <v>15.3</v>
      </c>
      <c r="G740" t="n">
        <v>51492</v>
      </c>
      <c r="H740" t="n">
        <v>45785</v>
      </c>
      <c r="I740" t="n">
        <v>41095</v>
      </c>
      <c r="J740" t="n">
        <v>29324</v>
      </c>
      <c r="K740" s="27">
        <f>(H740/D740-1)</f>
        <v/>
      </c>
      <c r="L740" s="27">
        <f>(I740/D740-1)</f>
        <v/>
      </c>
      <c r="M740" s="27">
        <f>(J740/D740-1)</f>
        <v/>
      </c>
      <c r="N740" t="n">
        <v>37.7</v>
      </c>
      <c r="O740" s="28">
        <f>(N740+F740)/2</f>
        <v/>
      </c>
      <c r="P740">
        <f>IF(O740="計算不能","計算不能",IF(O740&gt;=80,5,IF(O740&gt;=60,4,IF(O740&gt;=40,3,IF(O740&gt;=28,2,1)))))</f>
        <v/>
      </c>
      <c r="Q740" t="n">
        <v>4550</v>
      </c>
      <c r="R740" t="n">
        <v>720</v>
      </c>
      <c r="S740" s="27">
        <f>R740/Q740</f>
        <v/>
      </c>
      <c r="T740" t="inlineStr">
        <is>
          <t>佐渡市は2045年までに人口が約36.0%減と急激な過疎・超高齢化が進行。若年労働世代の流出と自然減が重なり、賃貸事業としての持続性は極めて限定的。</t>
        </is>
      </c>
      <c r="U740" t="inlineStr">
        <is>
          <t>佐渡市は人口密度53人/km²と過疎的水準で、民間賃貸の新規需要は薄い。実需に裏付けられた格安戸建ての指値取得のみが現実的。 借家の空室率は約16%と需給は比較的引き締まっている。</t>
        </is>
      </c>
      <c r="V740" t="inlineStr">
        <is>
          <t>佐渡市（新潟県）：信濃川・阿賀野川水系の氾濫、日本海沿岸の津波、豪雪・なだれ、中越の地震・地すべりに留意。</t>
        </is>
      </c>
    </row>
    <row r="741">
      <c r="A741" t="inlineStr">
        <is>
          <t>新潟県</t>
        </is>
      </c>
      <c r="B741" t="inlineStr">
        <is>
          <t>魚沼市</t>
        </is>
      </c>
      <c r="C741" t="n">
        <v>12250</v>
      </c>
      <c r="D741" t="n">
        <v>31261</v>
      </c>
      <c r="E741" s="6" t="n">
        <v>32.8</v>
      </c>
      <c r="F741" s="7" t="n">
        <v>13.3</v>
      </c>
      <c r="G741" t="n">
        <v>34483</v>
      </c>
      <c r="H741" t="n">
        <v>31261</v>
      </c>
      <c r="I741" t="n">
        <v>28510</v>
      </c>
      <c r="J741" t="n">
        <v>20833</v>
      </c>
      <c r="K741" s="27">
        <f>(H741/D741-1)</f>
        <v/>
      </c>
      <c r="L741" s="27">
        <f>(I741/D741-1)</f>
        <v/>
      </c>
      <c r="M741" s="27">
        <f>(J741/D741-1)</f>
        <v/>
      </c>
      <c r="N741" t="n">
        <v>40.3</v>
      </c>
      <c r="O741" s="28">
        <f>(N741+F741)/2</f>
        <v/>
      </c>
      <c r="P741">
        <f>IF(O741="計算不能","計算不能",IF(O741&gt;=80,5,IF(O741&gt;=60,4,IF(O741&gt;=40,3,IF(O741&gt;=28,2,1)))))</f>
        <v/>
      </c>
      <c r="Q741" t="n">
        <v>2805</v>
      </c>
      <c r="R741" t="n">
        <v>660</v>
      </c>
      <c r="S741" s="27">
        <f>R741/Q741</f>
        <v/>
      </c>
      <c r="T741" t="inlineStr">
        <is>
          <t>魚沼市は2045年までに人口が約33.4%減と急激な過疎・超高齢化が進行。若年労働世代の流出と自然減が重なり、賃貸事業としての持続性は極めて限定的。</t>
        </is>
      </c>
      <c r="U741" t="inlineStr">
        <is>
          <t>魚沼市は人口密度33人/km²と過疎的水準で、民間賃貸の新規需要は薄い。実需に裏付けられた格安戸建ての指値取得のみが現実的。 借家の空室率は約24%とやや高めで、競合との差別化が必要。</t>
        </is>
      </c>
      <c r="V741" t="inlineStr">
        <is>
          <t>魚沼市（新潟県）：信濃川・阿賀野川水系の氾濫、日本海沿岸の津波、豪雪・なだれ、中越の地震・地すべりに留意。</t>
        </is>
      </c>
    </row>
    <row r="742">
      <c r="A742" t="inlineStr">
        <is>
          <t>新潟県</t>
        </is>
      </c>
      <c r="B742" t="inlineStr">
        <is>
          <t>南魚沼市</t>
        </is>
      </c>
      <c r="C742" t="n">
        <v>19510</v>
      </c>
      <c r="D742" t="n">
        <v>51615</v>
      </c>
      <c r="E742" s="6" t="n">
        <v>87.59999999999999</v>
      </c>
      <c r="F742" s="7" t="n">
        <v>18.8</v>
      </c>
      <c r="G742" t="n">
        <v>54851</v>
      </c>
      <c r="H742" t="n">
        <v>51615</v>
      </c>
      <c r="I742" t="n">
        <v>48366</v>
      </c>
      <c r="J742" t="n">
        <v>38856</v>
      </c>
      <c r="K742" s="27">
        <f>(H742/D742-1)</f>
        <v/>
      </c>
      <c r="L742" s="27">
        <f>(I742/D742-1)</f>
        <v/>
      </c>
      <c r="M742" s="27">
        <f>(J742/D742-1)</f>
        <v/>
      </c>
      <c r="N742" t="n">
        <v>47.4</v>
      </c>
      <c r="O742" s="28">
        <f>(N742+F742)/2</f>
        <v/>
      </c>
      <c r="P742">
        <f>IF(O742="計算不能","計算不能",IF(O742&gt;=80,5,IF(O742&gt;=60,4,IF(O742&gt;=40,3,IF(O742&gt;=28,2,1)))))</f>
        <v/>
      </c>
      <c r="Q742" t="n">
        <v>4467</v>
      </c>
      <c r="R742" t="n">
        <v>900</v>
      </c>
      <c r="S742" s="27">
        <f>R742/Q742</f>
        <v/>
      </c>
      <c r="T742" t="inlineStr">
        <is>
          <t>南魚沼市は2045年までに人口が約24.7%減と明確な減少トレンド。高齢化の進行と世帯数の縮小により、中長期では賃貸需要の構造的縮小に警戒が必要。</t>
        </is>
      </c>
      <c r="U742" t="inlineStr">
        <is>
          <t>南魚沼市は人口密度88人/km²と過疎的水準で、民間賃貸の新規需要は薄い。実需に裏付けられた格安戸建ての指値取得のみが現実的。 借家の空室率は約20%とやや高めで、競合との差別化が必要。</t>
        </is>
      </c>
      <c r="V742" t="inlineStr">
        <is>
          <t>南魚沼市（新潟県）：信濃川・阿賀野川水系の氾濫、日本海沿岸の津波、豪雪・なだれ、中越の地震・地すべりに留意。</t>
        </is>
      </c>
    </row>
    <row r="743">
      <c r="A743" t="inlineStr">
        <is>
          <t>新潟県</t>
        </is>
      </c>
      <c r="B743" t="inlineStr">
        <is>
          <t>胎内市</t>
        </is>
      </c>
      <c r="C743" t="n">
        <v>9880</v>
      </c>
      <c r="D743" t="n">
        <v>26359</v>
      </c>
      <c r="E743" s="6" t="n">
        <v>99.09999999999999</v>
      </c>
      <c r="F743" s="7" t="n">
        <v>19.9</v>
      </c>
      <c r="G743" t="n">
        <v>28509</v>
      </c>
      <c r="H743" t="n">
        <v>26359</v>
      </c>
      <c r="I743" t="n">
        <v>24473</v>
      </c>
      <c r="J743" t="n">
        <v>19004</v>
      </c>
      <c r="K743" s="27">
        <f>(H743/D743-1)</f>
        <v/>
      </c>
      <c r="L743" s="27">
        <f>(I743/D743-1)</f>
        <v/>
      </c>
      <c r="M743" s="27">
        <f>(J743/D743-1)</f>
        <v/>
      </c>
      <c r="N743" t="n">
        <v>43.7</v>
      </c>
      <c r="O743" s="28">
        <f>(N743+F743)/2</f>
        <v/>
      </c>
      <c r="P743">
        <f>IF(O743="計算不能","計算不能",IF(O743&gt;=80,5,IF(O743&gt;=60,4,IF(O743&gt;=40,3,IF(O743&gt;=28,2,1)))))</f>
        <v/>
      </c>
      <c r="Q743" t="n">
        <v>2262</v>
      </c>
      <c r="R743" t="n">
        <v>660</v>
      </c>
      <c r="S743" s="27">
        <f>R743/Q743</f>
        <v/>
      </c>
      <c r="T743" t="inlineStr">
        <is>
          <t>胎内市は2045年までに人口が約27.9%減と明確な減少トレンド。高齢化の進行と世帯数の縮小により、中長期では賃貸需要の構造的縮小に警戒が必要。</t>
        </is>
      </c>
      <c r="U743" t="inlineStr">
        <is>
          <t>胎内市は人口密度99人/km²と過疎的水準で、民間賃貸の新規需要は薄い。実需に裏付けられた格安戸建ての指値取得のみが現実的。 借家の空室率は約29%と供給過多気味で、空室長期化リスクに要警戒。</t>
        </is>
      </c>
      <c r="V743" t="inlineStr">
        <is>
          <t>胎内市（新潟県）：信濃川・阿賀野川水系の氾濫、日本海沿岸の津波、豪雪・なだれ、中越の地震・地すべりに留意。</t>
        </is>
      </c>
    </row>
    <row r="744">
      <c r="A744" t="inlineStr">
        <is>
          <t>新潟県</t>
        </is>
      </c>
      <c r="B744" t="inlineStr">
        <is>
          <t>聖籠町</t>
        </is>
      </c>
      <c r="C744" t="n">
        <v>5111</v>
      </c>
      <c r="D744" t="n">
        <v>13887</v>
      </c>
      <c r="E744" s="6" t="n">
        <v>374.7</v>
      </c>
      <c r="F744" s="7" t="n">
        <v>38.7</v>
      </c>
      <c r="G744" t="n">
        <v>14259</v>
      </c>
      <c r="H744" t="n">
        <v>13887</v>
      </c>
      <c r="I744" t="n">
        <v>13740</v>
      </c>
      <c r="J744" t="n">
        <v>12860</v>
      </c>
      <c r="K744" s="27">
        <f>(H744/D744-1)</f>
        <v/>
      </c>
      <c r="L744" s="27">
        <f>(I744/D744-1)</f>
        <v/>
      </c>
      <c r="M744" s="27">
        <f>(J744/D744-1)</f>
        <v/>
      </c>
      <c r="N744" t="n">
        <v>65.5</v>
      </c>
      <c r="O744" s="28">
        <f>(N744+F744)/2</f>
        <v/>
      </c>
      <c r="P744">
        <f>IF(O744="計算不能","計算不能",IF(O744&gt;=80,5,IF(O744&gt;=60,4,IF(O744&gt;=40,3,IF(O744&gt;=28,2,1)))))</f>
        <v/>
      </c>
      <c r="Q744" t="n">
        <v>1170</v>
      </c>
      <c r="R744" t="n">
        <v>0</v>
      </c>
      <c r="S744" s="27">
        <f>R744/Q744</f>
        <v/>
      </c>
      <c r="T744" t="inlineStr">
        <is>
          <t>聖籠町は2045年までに人口が約7.4%減と緩やかな減少局面。若年層の都市部流出と高齢化が進むが、当面の賃貸稼働は一定程度維持される見通し。</t>
        </is>
      </c>
      <c r="U744" t="inlineStr">
        <is>
          <t>聖籠町は人口密度375人/km²と低密度で、賃貸需要は限定的。持ち家比率が高く、駐車場完備の戸建て賃貸が有利。 借家の空室率は約0%と需給は比較的引き締まっている。</t>
        </is>
      </c>
      <c r="V744" t="inlineStr">
        <is>
          <t>聖籠町（新潟県）：信濃川・阿賀野川水系の氾濫、日本海沿岸の津波、豪雪・なだれ、中越の地震・地すべりに留意。</t>
        </is>
      </c>
    </row>
    <row r="745">
      <c r="A745" t="inlineStr">
        <is>
          <t>新潟県</t>
        </is>
      </c>
      <c r="B745" t="inlineStr">
        <is>
          <t>弥彦村</t>
        </is>
      </c>
      <c r="C745" t="n">
        <v>2820</v>
      </c>
      <c r="D745" t="n">
        <v>7296</v>
      </c>
      <c r="E745" s="6" t="n">
        <v>282.9</v>
      </c>
      <c r="F745" s="7" t="n">
        <v>34.1</v>
      </c>
      <c r="G745" t="n">
        <v>7705</v>
      </c>
      <c r="H745" t="n">
        <v>7296</v>
      </c>
      <c r="I745" t="n">
        <v>6861</v>
      </c>
      <c r="J745" t="n">
        <v>5498</v>
      </c>
      <c r="K745" s="27">
        <f>(H745/D745-1)</f>
        <v/>
      </c>
      <c r="L745" s="27">
        <f>(I745/D745-1)</f>
        <v/>
      </c>
      <c r="M745" s="27">
        <f>(J745/D745-1)</f>
        <v/>
      </c>
      <c r="N745" t="n">
        <v>48.8</v>
      </c>
      <c r="O745" s="28">
        <f>(N745+F745)/2</f>
        <v/>
      </c>
      <c r="P745">
        <f>IF(O745="計算不能","計算不能",IF(O745&gt;=80,5,IF(O745&gt;=60,4,IF(O745&gt;=40,3,IF(O745&gt;=28,2,1)))))</f>
        <v/>
      </c>
      <c r="Q745" t="n">
        <v>645</v>
      </c>
      <c r="R745" t="n">
        <v>0</v>
      </c>
      <c r="S745" s="27">
        <f>R745/Q745</f>
        <v/>
      </c>
      <c r="T745" t="inlineStr">
        <is>
          <t>弥彦村は2045年までに人口が約24.6%減と明確な減少トレンド。高齢化の進行と世帯数の縮小により、中長期では賃貸需要の構造的縮小に警戒が必要。</t>
        </is>
      </c>
      <c r="U745" t="inlineStr">
        <is>
          <t>弥彦村は人口密度283人/km²と低密度で、賃貸需要は限定的。持ち家比率が高く、駐車場完備の戸建て賃貸が有利。 借家の空室率は約0%と需給は比較的引き締まっている。</t>
        </is>
      </c>
      <c r="V745" t="inlineStr">
        <is>
          <t>弥彦村（新潟県）：信濃川・阿賀野川水系の氾濫、日本海沿岸の津波、豪雪・なだれ、中越の地震・地すべりに留意。</t>
        </is>
      </c>
    </row>
    <row r="746">
      <c r="A746" t="inlineStr">
        <is>
          <t>新潟県</t>
        </is>
      </c>
      <c r="B746" t="inlineStr">
        <is>
          <t>田上町</t>
        </is>
      </c>
      <c r="C746" t="n">
        <v>4232</v>
      </c>
      <c r="D746" t="n">
        <v>10374</v>
      </c>
      <c r="E746" s="6" t="n">
        <v>324.7</v>
      </c>
      <c r="F746" s="7" t="n">
        <v>36.2</v>
      </c>
      <c r="G746" t="n">
        <v>11227</v>
      </c>
      <c r="H746" t="n">
        <v>10374</v>
      </c>
      <c r="I746" t="n">
        <v>9492</v>
      </c>
      <c r="J746" t="n">
        <v>6790</v>
      </c>
      <c r="K746" s="27">
        <f>(H746/D746-1)</f>
        <v/>
      </c>
      <c r="L746" s="27">
        <f>(I746/D746-1)</f>
        <v/>
      </c>
      <c r="M746" s="27">
        <f>(J746/D746-1)</f>
        <v/>
      </c>
      <c r="N746" t="n">
        <v>41.7</v>
      </c>
      <c r="O746" s="28">
        <f>(N746+F746)/2</f>
        <v/>
      </c>
      <c r="P746">
        <f>IF(O746="計算不能","計算不能",IF(O746&gt;=80,5,IF(O746&gt;=60,4,IF(O746&gt;=40,3,IF(O746&gt;=28,2,1)))))</f>
        <v/>
      </c>
      <c r="Q746" t="n">
        <v>969</v>
      </c>
      <c r="R746" t="n">
        <v>0</v>
      </c>
      <c r="S746" s="27">
        <f>R746/Q746</f>
        <v/>
      </c>
      <c r="T746" t="inlineStr">
        <is>
          <t>田上町は2045年までに人口が約34.5%減と急激な過疎・超高齢化が進行。若年労働世代の流出と自然減が重なり、賃貸事業としての持続性は極めて限定的。</t>
        </is>
      </c>
      <c r="U746" t="inlineStr">
        <is>
          <t>田上町は人口密度325人/km²と低密度で、賃貸需要は限定的。持ち家比率が高く、駐車場完備の戸建て賃貸が有利。 借家の空室率は約0%と需給は比較的引き締まっている。</t>
        </is>
      </c>
      <c r="V746" t="inlineStr">
        <is>
          <t>田上町（新潟県）：信濃川・阿賀野川水系の氾濫、日本海沿岸の津波、豪雪・なだれ、中越の地震・地すべりに留意。</t>
        </is>
      </c>
    </row>
    <row r="747">
      <c r="A747" t="inlineStr">
        <is>
          <t>新潟県</t>
        </is>
      </c>
      <c r="B747" t="inlineStr">
        <is>
          <t>阿賀町</t>
        </is>
      </c>
      <c r="C747" t="n">
        <v>4167</v>
      </c>
      <c r="D747" t="n">
        <v>8620</v>
      </c>
      <c r="E747" s="6" t="n">
        <v>8.699999999999999</v>
      </c>
      <c r="F747" s="7" t="n">
        <v>10.9</v>
      </c>
      <c r="G747" t="n">
        <v>9965</v>
      </c>
      <c r="H747" t="n">
        <v>8620</v>
      </c>
      <c r="I747" t="n">
        <v>7398</v>
      </c>
      <c r="J747" t="n">
        <v>4546</v>
      </c>
      <c r="K747" s="27">
        <f>(H747/D747-1)</f>
        <v/>
      </c>
      <c r="L747" s="27">
        <f>(I747/D747-1)</f>
        <v/>
      </c>
      <c r="M747" s="27">
        <f>(J747/D747-1)</f>
        <v/>
      </c>
      <c r="N747" t="n">
        <v>32</v>
      </c>
      <c r="O747" s="28">
        <f>(N747+F747)/2</f>
        <v/>
      </c>
      <c r="P747">
        <f>IF(O747="計算不能","計算不能",IF(O747&gt;=80,5,IF(O747&gt;=60,4,IF(O747&gt;=40,3,IF(O747&gt;=28,2,1)))))</f>
        <v/>
      </c>
      <c r="Q747" t="n">
        <v>954</v>
      </c>
      <c r="R747" t="n">
        <v>0</v>
      </c>
      <c r="S747" s="27">
        <f>R747/Q747</f>
        <v/>
      </c>
      <c r="T747" t="inlineStr">
        <is>
          <t>阿賀町は2045年までに人口が約47.3%減と急激な過疎・超高齢化が進行。若年労働世代の流出と自然減が重なり、賃貸事業としての持続性は極めて限定的。</t>
        </is>
      </c>
      <c r="U747" t="inlineStr">
        <is>
          <t>阿賀町は人口密度9人/km²と過疎的水準で、民間賃貸の新規需要は薄い。実需に裏付けられた格安戸建ての指値取得のみが現実的。 借家の空室率は約0%と需給は比較的引き締まっている。</t>
        </is>
      </c>
      <c r="V747" t="inlineStr">
        <is>
          <t>阿賀町（新潟県）：信濃川・阿賀野川水系の氾濫、日本海沿岸の津波、豪雪・なだれ、中越の地震・地すべりに留意。</t>
        </is>
      </c>
    </row>
    <row r="748">
      <c r="A748" t="inlineStr">
        <is>
          <t>新潟県</t>
        </is>
      </c>
      <c r="B748" t="inlineStr">
        <is>
          <t>出雲崎町</t>
        </is>
      </c>
      <c r="C748" t="n">
        <v>1643</v>
      </c>
      <c r="D748" t="n">
        <v>3746</v>
      </c>
      <c r="E748" s="6" t="n">
        <v>81.09999999999999</v>
      </c>
      <c r="F748" s="7" t="n">
        <v>18.1</v>
      </c>
      <c r="G748" t="n">
        <v>4113</v>
      </c>
      <c r="H748" t="n">
        <v>3746</v>
      </c>
      <c r="I748" t="n">
        <v>3406</v>
      </c>
      <c r="J748" t="n">
        <v>2448</v>
      </c>
      <c r="K748" s="27">
        <f>(H748/D748-1)</f>
        <v/>
      </c>
      <c r="L748" s="27">
        <f>(I748/D748-1)</f>
        <v/>
      </c>
      <c r="M748" s="27">
        <f>(J748/D748-1)</f>
        <v/>
      </c>
      <c r="N748" t="n">
        <v>40.3</v>
      </c>
      <c r="O748" s="28">
        <f>(N748+F748)/2</f>
        <v/>
      </c>
      <c r="P748">
        <f>IF(O748="計算不能","計算不能",IF(O748&gt;=80,5,IF(O748&gt;=60,4,IF(O748&gt;=40,3,IF(O748&gt;=28,2,1)))))</f>
        <v/>
      </c>
      <c r="Q748" t="n">
        <v>376</v>
      </c>
      <c r="R748" t="n">
        <v>0</v>
      </c>
      <c r="S748" s="27">
        <f>R748/Q748</f>
        <v/>
      </c>
      <c r="T748" t="inlineStr">
        <is>
          <t>出雲崎町は2045年までに人口が約34.7%減と急激な過疎・超高齢化が進行。若年労働世代の流出と自然減が重なり、賃貸事業としての持続性は極めて限定的。</t>
        </is>
      </c>
      <c r="U748" t="inlineStr">
        <is>
          <t>出雲崎町は人口密度81人/km²と過疎的水準で、民間賃貸の新規需要は薄い。実需に裏付けられた格安戸建ての指値取得のみが現実的。 借家の空室率は約0%と需給は比較的引き締まっている。</t>
        </is>
      </c>
      <c r="V748" t="inlineStr">
        <is>
          <t>出雲崎町（新潟県）：信濃川・阿賀野川水系の氾濫、日本海沿岸の津波、豪雪・なだれ、中越の地震・地すべりに留意。</t>
        </is>
      </c>
    </row>
    <row r="749">
      <c r="A749" t="inlineStr">
        <is>
          <t>新潟県</t>
        </is>
      </c>
      <c r="B749" t="inlineStr">
        <is>
          <t>湯沢町</t>
        </is>
      </c>
      <c r="C749" t="n">
        <v>4540</v>
      </c>
      <c r="D749" t="n">
        <v>7424</v>
      </c>
      <c r="E749" s="6" t="n">
        <v>21</v>
      </c>
      <c r="F749" s="7" t="n">
        <v>12.1</v>
      </c>
      <c r="G749" t="n">
        <v>7767</v>
      </c>
      <c r="H749" t="n">
        <v>7424</v>
      </c>
      <c r="I749" t="n">
        <v>7038</v>
      </c>
      <c r="J749" t="n">
        <v>5816</v>
      </c>
      <c r="K749" s="27">
        <f>(H749/D749-1)</f>
        <v/>
      </c>
      <c r="L749" s="27">
        <f>(I749/D749-1)</f>
        <v/>
      </c>
      <c r="M749" s="27">
        <f>(J749/D749-1)</f>
        <v/>
      </c>
      <c r="N749" t="n">
        <v>52.3</v>
      </c>
      <c r="O749" s="28">
        <f>(N749+F749)/2</f>
        <v/>
      </c>
      <c r="P749">
        <f>IF(O749="計算不能","計算不能",IF(O749&gt;=80,5,IF(O749&gt;=60,4,IF(O749&gt;=40,3,IF(O749&gt;=28,2,1)))))</f>
        <v/>
      </c>
      <c r="Q749" t="n">
        <v>1039</v>
      </c>
      <c r="R749" t="n">
        <v>0</v>
      </c>
      <c r="S749" s="27">
        <f>R749/Q749</f>
        <v/>
      </c>
      <c r="T749" t="inlineStr">
        <is>
          <t>湯沢町は2045年までに人口が約21.7%減と明確な減少トレンド。高齢化の進行と世帯数の縮小により、中長期では賃貸需要の構造的縮小に警戒が必要。</t>
        </is>
      </c>
      <c r="U749" t="inlineStr">
        <is>
          <t>湯沢町は人口密度21人/km²と過疎的水準で、民間賃貸の新規需要は薄い。実需に裏付けられた格安戸建ての指値取得のみが現実的。 借家の空室率は約0%と需給は比較的引き締まっている。</t>
        </is>
      </c>
      <c r="V749" t="inlineStr">
        <is>
          <t>湯沢町（新潟県）：信濃川・阿賀野川水系の氾濫、日本海沿岸の津波、豪雪・なだれ、中越の地震・地すべりに留意。</t>
        </is>
      </c>
    </row>
    <row r="750">
      <c r="A750" t="inlineStr">
        <is>
          <t>新潟県</t>
        </is>
      </c>
      <c r="B750" t="inlineStr">
        <is>
          <t>津南町</t>
        </is>
      </c>
      <c r="C750" t="n">
        <v>3406</v>
      </c>
      <c r="D750" t="n">
        <v>8096</v>
      </c>
      <c r="E750" s="6" t="n">
        <v>46.8</v>
      </c>
      <c r="F750" s="7" t="n">
        <v>14.7</v>
      </c>
      <c r="G750" t="n">
        <v>8989</v>
      </c>
      <c r="H750" t="n">
        <v>8096</v>
      </c>
      <c r="I750" t="n">
        <v>7300</v>
      </c>
      <c r="J750" t="n">
        <v>5314</v>
      </c>
      <c r="K750" s="27">
        <f>(H750/D750-1)</f>
        <v/>
      </c>
      <c r="L750" s="27">
        <f>(I750/D750-1)</f>
        <v/>
      </c>
      <c r="M750" s="27">
        <f>(J750/D750-1)</f>
        <v/>
      </c>
      <c r="N750" t="n">
        <v>39.2</v>
      </c>
      <c r="O750" s="28">
        <f>(N750+F750)/2</f>
        <v/>
      </c>
      <c r="P750">
        <f>IF(O750="計算不能","計算不能",IF(O750&gt;=80,5,IF(O750&gt;=60,4,IF(O750&gt;=40,3,IF(O750&gt;=28,2,1)))))</f>
        <v/>
      </c>
      <c r="Q750" t="n">
        <v>779</v>
      </c>
      <c r="R750" t="n">
        <v>0</v>
      </c>
      <c r="S750" s="27">
        <f>R750/Q750</f>
        <v/>
      </c>
      <c r="T750" t="inlineStr">
        <is>
          <t>津南町は2045年までに人口が約34.4%減と急激な過疎・超高齢化が進行。若年労働世代の流出と自然減が重なり、賃貸事業としての持続性は極めて限定的。</t>
        </is>
      </c>
      <c r="U750" t="inlineStr">
        <is>
          <t>津南町は人口密度47人/km²と過疎的水準で、民間賃貸の新規需要は薄い。実需に裏付けられた格安戸建ての指値取得のみが現実的。 借家の空室率は約0%と需給は比較的引き締まっている。</t>
        </is>
      </c>
      <c r="V750" t="inlineStr">
        <is>
          <t>津南町（新潟県）：信濃川・阿賀野川水系の氾濫、日本海沿岸の津波、豪雪・なだれ、中越の地震・地すべりに留意。</t>
        </is>
      </c>
    </row>
    <row r="751">
      <c r="A751" t="inlineStr">
        <is>
          <t>新潟県</t>
        </is>
      </c>
      <c r="B751" t="inlineStr">
        <is>
          <t>刈羽村</t>
        </is>
      </c>
      <c r="C751" t="n">
        <v>1637</v>
      </c>
      <c r="D751" t="n">
        <v>4185</v>
      </c>
      <c r="E751" s="6" t="n">
        <v>164.2</v>
      </c>
      <c r="F751" s="7" t="n">
        <v>26.4</v>
      </c>
      <c r="G751" t="n">
        <v>4380</v>
      </c>
      <c r="H751" t="n">
        <v>4185</v>
      </c>
      <c r="I751" t="n">
        <v>4060</v>
      </c>
      <c r="J751" t="n">
        <v>3661</v>
      </c>
      <c r="K751" s="27">
        <f>(H751/D751-1)</f>
        <v/>
      </c>
      <c r="L751" s="27">
        <f>(I751/D751-1)</f>
        <v/>
      </c>
      <c r="M751" s="27">
        <f>(J751/D751-1)</f>
        <v/>
      </c>
      <c r="N751" t="n">
        <v>58.1</v>
      </c>
      <c r="O751" s="28">
        <f>(N751+F751)/2</f>
        <v/>
      </c>
      <c r="P751">
        <f>IF(O751="計算不能","計算不能",IF(O751&gt;=80,5,IF(O751&gt;=60,4,IF(O751&gt;=40,3,IF(O751&gt;=28,2,1)))))</f>
        <v/>
      </c>
      <c r="Q751" t="n">
        <v>374</v>
      </c>
      <c r="R751" t="n">
        <v>0</v>
      </c>
      <c r="S751" s="27">
        <f>R751/Q751</f>
        <v/>
      </c>
      <c r="T751" t="inlineStr">
        <is>
          <t>刈羽村は2045年までに人口が約12.5%減と緩やかな減少局面。若年層の都市部流出と高齢化が進むが、当面の賃貸稼働は一定程度維持される見通し。</t>
        </is>
      </c>
      <c r="U751" t="inlineStr">
        <is>
          <t>刈羽村は人口密度164人/km²と過疎的水準で、民間賃貸の新規需要は薄い。実需に裏付けられた格安戸建ての指値取得のみが現実的。 借家の空室率は約0%と需給は比較的引き締まっている。</t>
        </is>
      </c>
      <c r="V751" t="inlineStr">
        <is>
          <t>刈羽村（新潟県）：信濃川・阿賀野川水系の氾濫、日本海沿岸の津波、豪雪・なだれ、中越の地震・地すべりに留意。</t>
        </is>
      </c>
    </row>
    <row r="752">
      <c r="A752" t="inlineStr">
        <is>
          <t>新潟県</t>
        </is>
      </c>
      <c r="B752" t="inlineStr">
        <is>
          <t>関川村</t>
        </is>
      </c>
      <c r="C752" t="n">
        <v>1818</v>
      </c>
      <c r="D752" t="n">
        <v>4541</v>
      </c>
      <c r="E752" s="6" t="n">
        <v>14.4</v>
      </c>
      <c r="F752" s="7" t="n">
        <v>11.4</v>
      </c>
      <c r="G752" t="n">
        <v>5144</v>
      </c>
      <c r="H752" t="n">
        <v>4541</v>
      </c>
      <c r="I752" t="n">
        <v>4024</v>
      </c>
      <c r="J752" t="n">
        <v>2684</v>
      </c>
      <c r="K752" s="27">
        <f>(H752/D752-1)</f>
        <v/>
      </c>
      <c r="L752" s="27">
        <f>(I752/D752-1)</f>
        <v/>
      </c>
      <c r="M752" s="27">
        <f>(J752/D752-1)</f>
        <v/>
      </c>
      <c r="N752" t="n">
        <v>35.7</v>
      </c>
      <c r="O752" s="28">
        <f>(N752+F752)/2</f>
        <v/>
      </c>
      <c r="P752">
        <f>IF(O752="計算不能","計算不能",IF(O752&gt;=80,5,IF(O752&gt;=60,4,IF(O752&gt;=40,3,IF(O752&gt;=28,2,1)))))</f>
        <v/>
      </c>
      <c r="Q752" t="n">
        <v>416</v>
      </c>
      <c r="R752" t="n">
        <v>0</v>
      </c>
      <c r="S752" s="27">
        <f>R752/Q752</f>
        <v/>
      </c>
      <c r="T752" t="inlineStr">
        <is>
          <t>関川村は2045年までに人口が約40.9%減と急激な過疎・超高齢化が進行。若年労働世代の流出と自然減が重なり、賃貸事業としての持続性は極めて限定的。</t>
        </is>
      </c>
      <c r="U752" t="inlineStr">
        <is>
          <t>関川村は人口密度14人/km²と過疎的水準で、民間賃貸の新規需要は薄い。実需に裏付けられた格安戸建ての指値取得のみが現実的。 借家の空室率は約0%と需給は比較的引き締まっている。</t>
        </is>
      </c>
      <c r="V752" t="inlineStr">
        <is>
          <t>関川村（新潟県）：信濃川・阿賀野川水系の氾濫、日本海沿岸の津波、豪雪・なだれ、中越の地震・地すべりに留意。</t>
        </is>
      </c>
    </row>
    <row r="753">
      <c r="A753" t="inlineStr">
        <is>
          <t>新潟県</t>
        </is>
      </c>
      <c r="B753" t="inlineStr">
        <is>
          <t>粟島浦村</t>
        </is>
      </c>
      <c r="C753" t="n">
        <v>167</v>
      </c>
      <c r="D753" t="n">
        <v>303</v>
      </c>
      <c r="E753" s="6" t="n">
        <v>30.8</v>
      </c>
      <c r="F753" s="7" t="n">
        <v>13.1</v>
      </c>
      <c r="G753" t="n">
        <v>353</v>
      </c>
      <c r="H753" t="n">
        <v>303</v>
      </c>
      <c r="I753" t="n">
        <v>275</v>
      </c>
      <c r="J753" t="n">
        <v>202</v>
      </c>
      <c r="K753" s="27">
        <f>(H753/D753-1)</f>
        <v/>
      </c>
      <c r="L753" s="27">
        <f>(I753/D753-1)</f>
        <v/>
      </c>
      <c r="M753" s="27">
        <f>(J753/D753-1)</f>
        <v/>
      </c>
      <c r="N753" t="n">
        <v>35.9</v>
      </c>
      <c r="O753" s="28">
        <f>(N753+F753)/2</f>
        <v/>
      </c>
      <c r="P753">
        <f>IF(O753="計算不能","計算不能",IF(O753&gt;=80,5,IF(O753&gt;=60,4,IF(O753&gt;=40,3,IF(O753&gt;=28,2,1)))))</f>
        <v/>
      </c>
      <c r="Q753" t="n">
        <v>38</v>
      </c>
      <c r="R753" t="n">
        <v>0</v>
      </c>
      <c r="S753" s="27">
        <f>R753/Q753</f>
        <v/>
      </c>
      <c r="T753" t="inlineStr">
        <is>
          <t>粟島浦村は2045年までに人口が約33.3%減と急激な過疎・超高齢化が進行。若年労働世代の流出と自然減が重なり、賃貸事業としての持続性は極めて限定的。</t>
        </is>
      </c>
      <c r="U753" t="inlineStr">
        <is>
          <t>粟島浦村は人口密度31人/km²と過疎的水準で、民間賃貸の新規需要は薄い。実需に裏付けられた格安戸建ての指値取得のみが現実的。 借家の空室率は約0%と需給は比較的引き締まっている。</t>
        </is>
      </c>
      <c r="V753" t="inlineStr">
        <is>
          <t>粟島浦村（新潟県）：信濃川・阿賀野川水系の氾濫、日本海沿岸の津波、豪雪・なだれ、中越の地震・地すべりに留意。</t>
        </is>
      </c>
    </row>
    <row r="754">
      <c r="A754" t="inlineStr">
        <is>
          <t>富山県</t>
        </is>
      </c>
      <c r="B754" t="inlineStr">
        <is>
          <t>富山市</t>
        </is>
      </c>
      <c r="C754" t="n">
        <v>173890</v>
      </c>
      <c r="D754" t="n">
        <v>398075</v>
      </c>
      <c r="E754" s="6" t="n">
        <v>323.9</v>
      </c>
      <c r="F754" s="7" t="n">
        <v>36.2</v>
      </c>
      <c r="G754" t="n">
        <v>413938</v>
      </c>
      <c r="H754" t="n">
        <v>398075</v>
      </c>
      <c r="I754" t="n">
        <v>387415</v>
      </c>
      <c r="J754" t="n">
        <v>350742</v>
      </c>
      <c r="K754" s="27">
        <f>(H754/D754-1)</f>
        <v/>
      </c>
      <c r="L754" s="27">
        <f>(I754/D754-1)</f>
        <v/>
      </c>
      <c r="M754" s="27">
        <f>(J754/D754-1)</f>
        <v/>
      </c>
      <c r="N754" t="n">
        <v>59.8</v>
      </c>
      <c r="O754" s="28">
        <f>(N754+F754)/2</f>
        <v/>
      </c>
      <c r="P754">
        <f>IF(O754="計算不能","計算不能",IF(O754&gt;=80,5,IF(O754&gt;=60,4,IF(O754&gt;=40,3,IF(O754&gt;=28,2,1)))))</f>
        <v/>
      </c>
      <c r="Q754" t="n">
        <v>39063</v>
      </c>
      <c r="R754" t="n">
        <v>14460</v>
      </c>
      <c r="S754" s="27">
        <f>R754/Q754</f>
        <v/>
      </c>
      <c r="T754" t="inlineStr">
        <is>
          <t>富山市は2045年までに人口が約11.9%減と緩やかな減少局面。若年層の都市部流出と高齢化が進むが、当面の賃貸稼働は一定程度維持される見通し。</t>
        </is>
      </c>
      <c r="U754" t="inlineStr">
        <is>
          <t>富山市は人口密度324人/km²と低密度で、賃貸需要は限定的。持ち家比率が高く、駐車場完備の戸建て賃貸が有利。 借家の空室率は約37%と供給過多気味で、空室長期化リスクに要警戒。</t>
        </is>
      </c>
      <c r="V754" t="inlineStr">
        <is>
          <t>富山市（富山県）：神通川・常願寺川の急流河川氾濫、豪雪、立山連峰山麓の土砂災害、富山湾の寄り回り波に注意。</t>
        </is>
      </c>
    </row>
    <row r="755">
      <c r="A755" t="inlineStr">
        <is>
          <t>富山県</t>
        </is>
      </c>
      <c r="B755" t="inlineStr">
        <is>
          <t>高岡市</t>
        </is>
      </c>
      <c r="C755" t="n">
        <v>64300</v>
      </c>
      <c r="D755" t="n">
        <v>159568</v>
      </c>
      <c r="E755" s="6" t="n">
        <v>756.5</v>
      </c>
      <c r="F755" s="7" t="n">
        <v>50.1</v>
      </c>
      <c r="G755" t="n">
        <v>166393</v>
      </c>
      <c r="H755" t="n">
        <v>159568</v>
      </c>
      <c r="I755" t="n">
        <v>151998</v>
      </c>
      <c r="J755" t="n">
        <v>127318</v>
      </c>
      <c r="K755" s="27">
        <f>(H755/D755-1)</f>
        <v/>
      </c>
      <c r="L755" s="27">
        <f>(I755/D755-1)</f>
        <v/>
      </c>
      <c r="M755" s="27">
        <f>(J755/D755-1)</f>
        <v/>
      </c>
      <c r="N755" t="n">
        <v>53.9</v>
      </c>
      <c r="O755" s="28">
        <f>(N755+F755)/2</f>
        <v/>
      </c>
      <c r="P755">
        <f>IF(O755="計算不能","計算不能",IF(O755&gt;=80,5,IF(O755&gt;=60,4,IF(O755&gt;=40,3,IF(O755&gt;=28,2,1)))))</f>
        <v/>
      </c>
      <c r="Q755" t="n">
        <v>14444</v>
      </c>
      <c r="R755" t="n">
        <v>4190</v>
      </c>
      <c r="S755" s="27">
        <f>R755/Q755</f>
        <v/>
      </c>
      <c r="T755" t="inlineStr">
        <is>
          <t>高岡市は2045年までに人口が約20.2%減と明確な減少トレンド。高齢化の進行と世帯数の縮小により、中長期では賃貸需要の構造的縮小に警戒が必要。</t>
        </is>
      </c>
      <c r="U755" t="inlineStr">
        <is>
          <t>高岡市は人口密度756人/km²で、主要道路沿いや中心市街地に一定の賃貸需要が局在。立地選別が稼働を左右する。 借家の空室率は約29%と供給過多気味で、空室長期化リスクに要警戒。</t>
        </is>
      </c>
      <c r="V755" t="inlineStr">
        <is>
          <t>高岡市（富山県）：神通川・常願寺川の急流河川氾濫、豪雪、立山連峰山麓の土砂災害、富山湾の寄り回り波に注意。</t>
        </is>
      </c>
    </row>
    <row r="756">
      <c r="A756" t="inlineStr">
        <is>
          <t>富山県</t>
        </is>
      </c>
      <c r="B756" t="inlineStr">
        <is>
          <t>魚津市</t>
        </is>
      </c>
      <c r="C756" t="n">
        <v>15840</v>
      </c>
      <c r="D756" t="n">
        <v>38207</v>
      </c>
      <c r="E756" s="6" t="n">
        <v>186.9</v>
      </c>
      <c r="F756" s="7" t="n">
        <v>28.7</v>
      </c>
      <c r="G756" t="n">
        <v>40535</v>
      </c>
      <c r="H756" t="n">
        <v>38207</v>
      </c>
      <c r="I756" t="n">
        <v>35873</v>
      </c>
      <c r="J756" t="n">
        <v>28699</v>
      </c>
      <c r="K756" s="27">
        <f>(H756/D756-1)</f>
        <v/>
      </c>
      <c r="L756" s="27">
        <f>(I756/D756-1)</f>
        <v/>
      </c>
      <c r="M756" s="27">
        <f>(J756/D756-1)</f>
        <v/>
      </c>
      <c r="N756" t="n">
        <v>47.8</v>
      </c>
      <c r="O756" s="28">
        <f>(N756+F756)/2</f>
        <v/>
      </c>
      <c r="P756">
        <f>IF(O756="計算不能","計算不能",IF(O756&gt;=80,5,IF(O756&gt;=60,4,IF(O756&gt;=40,3,IF(O756&gt;=28,2,1)))))</f>
        <v/>
      </c>
      <c r="Q756" t="n">
        <v>3558</v>
      </c>
      <c r="R756" t="n">
        <v>1160</v>
      </c>
      <c r="S756" s="27">
        <f>R756/Q756</f>
        <v/>
      </c>
      <c r="T756" t="inlineStr">
        <is>
          <t>魚津市は2045年までに人口が約24.9%減と明確な減少トレンド。高齢化の進行と世帯数の縮小により、中長期では賃貸需要の構造的縮小に警戒が必要。</t>
        </is>
      </c>
      <c r="U756" t="inlineStr">
        <is>
          <t>魚津市は人口密度187人/km²と過疎的水準で、民間賃貸の新規需要は薄い。実需に裏付けられた格安戸建ての指値取得のみが現実的。 借家の空室率は約33%と供給過多気味で、空室長期化リスクに要警戒。</t>
        </is>
      </c>
      <c r="V756" t="inlineStr">
        <is>
          <t>魚津市（富山県）：神通川・常願寺川の急流河川氾濫、豪雪、立山連峰山麓の土砂災害、富山湾の寄り回り波に注意。</t>
        </is>
      </c>
    </row>
    <row r="757">
      <c r="A757" t="inlineStr">
        <is>
          <t>富山県</t>
        </is>
      </c>
      <c r="B757" t="inlineStr">
        <is>
          <t>氷見市</t>
        </is>
      </c>
      <c r="C757" t="n">
        <v>15560</v>
      </c>
      <c r="D757" t="n">
        <v>39249</v>
      </c>
      <c r="E757" s="6" t="n">
        <v>169.8</v>
      </c>
      <c r="F757" s="7" t="n">
        <v>27</v>
      </c>
      <c r="G757" t="n">
        <v>43950</v>
      </c>
      <c r="H757" t="n">
        <v>39249</v>
      </c>
      <c r="I757" t="n">
        <v>35522</v>
      </c>
      <c r="J757" t="n">
        <v>25012</v>
      </c>
      <c r="K757" s="27">
        <f>(H757/D757-1)</f>
        <v/>
      </c>
      <c r="L757" s="27">
        <f>(I757/D757-1)</f>
        <v/>
      </c>
      <c r="M757" s="27">
        <f>(J757/D757-1)</f>
        <v/>
      </c>
      <c r="N757" t="n">
        <v>38.2</v>
      </c>
      <c r="O757" s="28">
        <f>(N757+F757)/2</f>
        <v/>
      </c>
      <c r="P757">
        <f>IF(O757="計算不能","計算不能",IF(O757&gt;=80,5,IF(O757&gt;=60,4,IF(O757&gt;=40,3,IF(O757&gt;=28,2,1)))))</f>
        <v/>
      </c>
      <c r="Q757" t="n">
        <v>3495</v>
      </c>
      <c r="R757" t="n">
        <v>350</v>
      </c>
      <c r="S757" s="27">
        <f>R757/Q757</f>
        <v/>
      </c>
      <c r="T757" t="inlineStr">
        <is>
          <t>氷見市は2045年までに人口が約36.3%減と急激な過疎・超高齢化が進行。若年労働世代の流出と自然減が重なり、賃貸事業としての持続性は極めて限定的。</t>
        </is>
      </c>
      <c r="U757" t="inlineStr">
        <is>
          <t>氷見市は人口密度170人/km²と過疎的水準で、民間賃貸の新規需要は薄い。実需に裏付けられた格安戸建ての指値取得のみが現実的。 借家の空室率は約10%と需給は比較的引き締まっている。</t>
        </is>
      </c>
      <c r="V757" t="inlineStr">
        <is>
          <t>氷見市（富山県）：神通川・常願寺川の急流河川氾濫、豪雪、立山連峰山麓の土砂災害、富山湾の寄り回り波に注意。</t>
        </is>
      </c>
    </row>
    <row r="758">
      <c r="A758" t="inlineStr">
        <is>
          <t>富山県</t>
        </is>
      </c>
      <c r="B758" t="inlineStr">
        <is>
          <t>滑川市</t>
        </is>
      </c>
      <c r="C758" t="n">
        <v>12170</v>
      </c>
      <c r="D758" t="n">
        <v>31493</v>
      </c>
      <c r="E758" s="6" t="n">
        <v>573.6</v>
      </c>
      <c r="F758" s="7" t="n">
        <v>46.5</v>
      </c>
      <c r="G758" t="n">
        <v>32349</v>
      </c>
      <c r="H758" t="n">
        <v>31493</v>
      </c>
      <c r="I758" t="n">
        <v>30412</v>
      </c>
      <c r="J758" t="n">
        <v>26914</v>
      </c>
      <c r="K758" s="27">
        <f>(H758/D758-1)</f>
        <v/>
      </c>
      <c r="L758" s="27">
        <f>(I758/D758-1)</f>
        <v/>
      </c>
      <c r="M758" s="27">
        <f>(J758/D758-1)</f>
        <v/>
      </c>
      <c r="N758" t="n">
        <v>60.3</v>
      </c>
      <c r="O758" s="28">
        <f>(N758+F758)/2</f>
        <v/>
      </c>
      <c r="P758">
        <f>IF(O758="計算不能","計算不能",IF(O758&gt;=80,5,IF(O758&gt;=60,4,IF(O758&gt;=40,3,IF(O758&gt;=28,2,1)))))</f>
        <v/>
      </c>
      <c r="Q758" t="n">
        <v>2733</v>
      </c>
      <c r="R758" t="n">
        <v>390</v>
      </c>
      <c r="S758" s="27">
        <f>R758/Q758</f>
        <v/>
      </c>
      <c r="T758" t="inlineStr">
        <is>
          <t>滑川市は2045年までに人口が約14.5%減と緩やかな減少局面。若年層の都市部流出と高齢化が進むが、当面の賃貸稼働は一定程度維持される見通し。</t>
        </is>
      </c>
      <c r="U758" t="inlineStr">
        <is>
          <t>滑川市は人口密度574人/km²で、主要道路沿いや中心市街地に一定の賃貸需要が局在。立地選別が稼働を左右する。 借家の空室率は約14%と需給は比較的引き締まっている。</t>
        </is>
      </c>
      <c r="V758" t="inlineStr">
        <is>
          <t>滑川市（富山県）：神通川・常願寺川の急流河川氾濫、豪雪、立山連峰山麓の土砂災害、富山湾の寄り回り波に注意。</t>
        </is>
      </c>
    </row>
    <row r="759">
      <c r="A759" t="inlineStr">
        <is>
          <t>富山県</t>
        </is>
      </c>
      <c r="B759" t="inlineStr">
        <is>
          <t>黒部市</t>
        </is>
      </c>
      <c r="C759" t="n">
        <v>15670</v>
      </c>
      <c r="D759" t="n">
        <v>38087</v>
      </c>
      <c r="E759" s="6" t="n">
        <v>88.3</v>
      </c>
      <c r="F759" s="7" t="n">
        <v>18.8</v>
      </c>
      <c r="G759" t="n">
        <v>39638</v>
      </c>
      <c r="H759" t="n">
        <v>38087</v>
      </c>
      <c r="I759" t="n">
        <v>36419</v>
      </c>
      <c r="J759" t="n">
        <v>31134</v>
      </c>
      <c r="K759" s="27">
        <f>(H759/D759-1)</f>
        <v/>
      </c>
      <c r="L759" s="27">
        <f>(I759/D759-1)</f>
        <v/>
      </c>
      <c r="M759" s="27">
        <f>(J759/D759-1)</f>
        <v/>
      </c>
      <c r="N759" t="n">
        <v>55.5</v>
      </c>
      <c r="O759" s="28">
        <f>(N759+F759)/2</f>
        <v/>
      </c>
      <c r="P759">
        <f>IF(O759="計算不能","計算不能",IF(O759&gt;=80,5,IF(O759&gt;=60,4,IF(O759&gt;=40,3,IF(O759&gt;=28,2,1)))))</f>
        <v/>
      </c>
      <c r="Q759" t="n">
        <v>3520</v>
      </c>
      <c r="R759" t="n">
        <v>1590</v>
      </c>
      <c r="S759" s="27">
        <f>R759/Q759</f>
        <v/>
      </c>
      <c r="T759" t="inlineStr">
        <is>
          <t>黒部市は2045年までに人口が約18.3%減と明確な減少トレンド。高齢化の進行と世帯数の縮小により、中長期では賃貸需要の構造的縮小に警戒が必要。</t>
        </is>
      </c>
      <c r="U759" t="inlineStr">
        <is>
          <t>黒部市は人口密度88人/km²と過疎的水準で、民間賃貸の新規需要は薄い。実需に裏付けられた格安戸建ての指値取得のみが現実的。 借家の空室率は約45%と供給過多気味で、空室長期化リスクに要警戒。</t>
        </is>
      </c>
      <c r="V759" t="inlineStr">
        <is>
          <t>黒部市（富山県）：神通川・常願寺川の急流河川氾濫、豪雪、立山連峰山麓の土砂災害、富山湾の寄り回り波に注意。</t>
        </is>
      </c>
    </row>
    <row r="760">
      <c r="A760" t="inlineStr">
        <is>
          <t>富山県</t>
        </is>
      </c>
      <c r="B760" t="inlineStr">
        <is>
          <t>砺波市</t>
        </is>
      </c>
      <c r="C760" t="n">
        <v>16470</v>
      </c>
      <c r="D760" t="n">
        <v>46722</v>
      </c>
      <c r="E760" s="6" t="n">
        <v>360.7</v>
      </c>
      <c r="F760" s="7" t="n">
        <v>38</v>
      </c>
      <c r="G760" t="n">
        <v>48154</v>
      </c>
      <c r="H760" t="n">
        <v>46722</v>
      </c>
      <c r="I760" t="n">
        <v>45125</v>
      </c>
      <c r="J760" t="n">
        <v>39763</v>
      </c>
      <c r="K760" s="27">
        <f>(H760/D760-1)</f>
        <v/>
      </c>
      <c r="L760" s="27">
        <f>(I760/D760-1)</f>
        <v/>
      </c>
      <c r="M760" s="27">
        <f>(J760/D760-1)</f>
        <v/>
      </c>
      <c r="N760" t="n">
        <v>59.5</v>
      </c>
      <c r="O760" s="28">
        <f>(N760+F760)/2</f>
        <v/>
      </c>
      <c r="P760">
        <f>IF(O760="計算不能","計算不能",IF(O760&gt;=80,5,IF(O760&gt;=60,4,IF(O760&gt;=40,3,IF(O760&gt;=28,2,1)))))</f>
        <v/>
      </c>
      <c r="Q760" t="n">
        <v>3699</v>
      </c>
      <c r="R760" t="n">
        <v>890</v>
      </c>
      <c r="S760" s="27">
        <f>R760/Q760</f>
        <v/>
      </c>
      <c r="T760" t="inlineStr">
        <is>
          <t>砺波市は2045年までに人口が約14.9%減と緩やかな減少局面。若年層の都市部流出と高齢化が進むが、当面の賃貸稼働は一定程度維持される見通し。</t>
        </is>
      </c>
      <c r="U760" t="inlineStr">
        <is>
          <t>砺波市は人口密度361人/km²と低密度で、賃貸需要は限定的。持ち家比率が高く、駐車場完備の戸建て賃貸が有利。 借家の空室率は約24%とやや高めで、競合との差別化が必要。</t>
        </is>
      </c>
      <c r="V760" t="inlineStr">
        <is>
          <t>砺波市（富山県）：神通川・常願寺川の急流河川氾濫、豪雪、立山連峰山麓の土砂災害、富山湾の寄り回り波に注意。</t>
        </is>
      </c>
    </row>
    <row r="761">
      <c r="A761" t="inlineStr">
        <is>
          <t>富山県</t>
        </is>
      </c>
      <c r="B761" t="inlineStr">
        <is>
          <t>小矢部市</t>
        </is>
      </c>
      <c r="C761" t="n">
        <v>9760</v>
      </c>
      <c r="D761" t="n">
        <v>26578</v>
      </c>
      <c r="E761" s="6" t="n">
        <v>199.1</v>
      </c>
      <c r="F761" s="7" t="n">
        <v>29.9</v>
      </c>
      <c r="G761" t="n">
        <v>28983</v>
      </c>
      <c r="H761" t="n">
        <v>26578</v>
      </c>
      <c r="I761" t="n">
        <v>24662</v>
      </c>
      <c r="J761" t="n">
        <v>19004</v>
      </c>
      <c r="K761" s="27">
        <f>(H761/D761-1)</f>
        <v/>
      </c>
      <c r="L761" s="27">
        <f>(I761/D761-1)</f>
        <v/>
      </c>
      <c r="M761" s="27">
        <f>(J761/D761-1)</f>
        <v/>
      </c>
      <c r="N761" t="n">
        <v>42.9</v>
      </c>
      <c r="O761" s="28">
        <f>(N761+F761)/2</f>
        <v/>
      </c>
      <c r="P761">
        <f>IF(O761="計算不能","計算不能",IF(O761&gt;=80,5,IF(O761&gt;=60,4,IF(O761&gt;=40,3,IF(O761&gt;=28,2,1)))))</f>
        <v/>
      </c>
      <c r="Q761" t="n">
        <v>2192</v>
      </c>
      <c r="R761" t="n">
        <v>660</v>
      </c>
      <c r="S761" s="27">
        <f>R761/Q761</f>
        <v/>
      </c>
      <c r="T761" t="inlineStr">
        <is>
          <t>小矢部市は2045年までに人口が約28.5%減と明確な減少トレンド。高齢化の進行と世帯数の縮小により、中長期では賃貸需要の構造的縮小に警戒が必要。</t>
        </is>
      </c>
      <c r="U761" t="inlineStr">
        <is>
          <t>小矢部市は人口密度199人/km²と過疎的水準で、民間賃貸の新規需要は薄い。実需に裏付けられた格安戸建ての指値取得のみが現実的。 借家の空室率は約30%と供給過多気味で、空室長期化リスクに要警戒。</t>
        </is>
      </c>
      <c r="V761" t="inlineStr">
        <is>
          <t>小矢部市（富山県）：神通川・常願寺川の急流河川氾濫、豪雪、立山連峰山麓の土砂災害、富山湾の寄り回り波に注意。</t>
        </is>
      </c>
    </row>
    <row r="762">
      <c r="A762" t="inlineStr">
        <is>
          <t>富山県</t>
        </is>
      </c>
      <c r="B762" t="inlineStr">
        <is>
          <t>南砺市</t>
        </is>
      </c>
      <c r="C762" t="n">
        <v>16320</v>
      </c>
      <c r="D762" t="n">
        <v>43424</v>
      </c>
      <c r="E762" s="6" t="n">
        <v>65.7</v>
      </c>
      <c r="F762" s="7" t="n">
        <v>16.6</v>
      </c>
      <c r="G762" t="n">
        <v>47937</v>
      </c>
      <c r="H762" t="n">
        <v>43424</v>
      </c>
      <c r="I762" t="n">
        <v>39572</v>
      </c>
      <c r="J762" t="n">
        <v>29004</v>
      </c>
      <c r="K762" s="27">
        <f>(H762/D762-1)</f>
        <v/>
      </c>
      <c r="L762" s="27">
        <f>(I762/D762-1)</f>
        <v/>
      </c>
      <c r="M762" s="27">
        <f>(J762/D762-1)</f>
        <v/>
      </c>
      <c r="N762" t="n">
        <v>40.3</v>
      </c>
      <c r="O762" s="28">
        <f>(N762+F762)/2</f>
        <v/>
      </c>
      <c r="P762">
        <f>IF(O762="計算不能","計算不能",IF(O762&gt;=80,5,IF(O762&gt;=60,4,IF(O762&gt;=40,3,IF(O762&gt;=28,2,1)))))</f>
        <v/>
      </c>
      <c r="Q762" t="n">
        <v>3666</v>
      </c>
      <c r="R762" t="n">
        <v>840</v>
      </c>
      <c r="S762" s="27">
        <f>R762/Q762</f>
        <v/>
      </c>
      <c r="T762" t="inlineStr">
        <is>
          <t>南砺市は2045年までに人口が約33.2%減と急激な過疎・超高齢化が進行。若年労働世代の流出と自然減が重なり、賃貸事業としての持続性は極めて限定的。</t>
        </is>
      </c>
      <c r="U762" t="inlineStr">
        <is>
          <t>南砺市は人口密度66人/km²と過疎的水準で、民間賃貸の新規需要は薄い。実需に裏付けられた格安戸建ての指値取得のみが現実的。 借家の空室率は約23%とやや高めで、競合との差別化が必要。</t>
        </is>
      </c>
      <c r="V762" t="inlineStr">
        <is>
          <t>南砺市（富山県）：神通川・常願寺川の急流河川氾濫、豪雪、立山連峰山麓の土砂災害、富山湾の寄り回り波に注意。</t>
        </is>
      </c>
    </row>
    <row r="763">
      <c r="A763" t="inlineStr">
        <is>
          <t>富山県</t>
        </is>
      </c>
      <c r="B763" t="inlineStr">
        <is>
          <t>射水市</t>
        </is>
      </c>
      <c r="C763" t="n">
        <v>34190</v>
      </c>
      <c r="D763" t="n">
        <v>88073</v>
      </c>
      <c r="E763" s="6" t="n">
        <v>801.4</v>
      </c>
      <c r="F763" s="7" t="n">
        <v>51</v>
      </c>
      <c r="G763" t="n">
        <v>90742</v>
      </c>
      <c r="H763" t="n">
        <v>88073</v>
      </c>
      <c r="I763" t="n">
        <v>84803</v>
      </c>
      <c r="J763" t="n">
        <v>74109</v>
      </c>
      <c r="K763" s="27">
        <f>(H763/D763-1)</f>
        <v/>
      </c>
      <c r="L763" s="27">
        <f>(I763/D763-1)</f>
        <v/>
      </c>
      <c r="M763" s="27">
        <f>(J763/D763-1)</f>
        <v/>
      </c>
      <c r="N763" t="n">
        <v>58.9</v>
      </c>
      <c r="O763" s="28">
        <f>(N763+F763)/2</f>
        <v/>
      </c>
      <c r="P763">
        <f>IF(O763="計算不能","計算不能",IF(O763&gt;=80,5,IF(O763&gt;=60,4,IF(O763&gt;=40,3,IF(O763&gt;=28,2,1)))))</f>
        <v/>
      </c>
      <c r="Q763" t="n">
        <v>7680</v>
      </c>
      <c r="R763" t="n">
        <v>1280</v>
      </c>
      <c r="S763" s="27">
        <f>R763/Q763</f>
        <v/>
      </c>
      <c r="T763" t="inlineStr">
        <is>
          <t>射水市は2045年までに人口が約15.9%減と明確な減少トレンド。高齢化の進行と世帯数の縮小により、中長期では賃貸需要の構造的縮小に警戒が必要。</t>
        </is>
      </c>
      <c r="U763" t="inlineStr">
        <is>
          <t>射水市は人口密度801人/km²で、主要道路沿いや中心市街地に一定の賃貸需要が局在。立地選別が稼働を左右する。 借家の空室率は約17%と需給は比較的引き締まっている。</t>
        </is>
      </c>
      <c r="V763" t="inlineStr">
        <is>
          <t>射水市（富山県）：神通川・常願寺川の急流河川氾濫、豪雪、立山連峰山麓の土砂災害、富山湾の寄り回り波に注意。</t>
        </is>
      </c>
    </row>
    <row r="764">
      <c r="A764" t="inlineStr">
        <is>
          <t>富山県</t>
        </is>
      </c>
      <c r="B764" t="inlineStr">
        <is>
          <t>舟橋村</t>
        </is>
      </c>
      <c r="C764" t="n">
        <v>1223</v>
      </c>
      <c r="D764" t="n">
        <v>3164</v>
      </c>
      <c r="E764" s="6" t="n">
        <v>944.4</v>
      </c>
      <c r="F764" s="7" t="n">
        <v>53.9</v>
      </c>
      <c r="G764" t="n">
        <v>3132</v>
      </c>
      <c r="H764" t="n">
        <v>3164</v>
      </c>
      <c r="I764" t="n">
        <v>3167</v>
      </c>
      <c r="J764" t="n">
        <v>3138</v>
      </c>
      <c r="K764" s="27">
        <f>(H764/D764-1)</f>
        <v/>
      </c>
      <c r="L764" s="27">
        <f>(I764/D764-1)</f>
        <v/>
      </c>
      <c r="M764" s="27">
        <f>(J764/D764-1)</f>
        <v/>
      </c>
      <c r="N764" t="n">
        <v>76.7</v>
      </c>
      <c r="O764" s="28">
        <f>(N764+F764)/2</f>
        <v/>
      </c>
      <c r="P764">
        <f>IF(O764="計算不能","計算不能",IF(O764&gt;=80,5,IF(O764&gt;=60,4,IF(O764&gt;=40,3,IF(O764&gt;=28,2,1)))))</f>
        <v/>
      </c>
      <c r="Q764" t="n">
        <v>274</v>
      </c>
      <c r="R764" t="n">
        <v>0</v>
      </c>
      <c r="S764" s="27">
        <f>R764/Q764</f>
        <v/>
      </c>
      <c r="T764" t="inlineStr">
        <is>
          <t>舟橋村は2045年までの人口減少率が約0.8%と全国平均より緩やかで、概ね横ばいの安定推移。生産年齢人口の維持により、賃貸需要の急減リスクは相対的に低い。</t>
        </is>
      </c>
      <c r="U764" t="inlineStr">
        <is>
          <t>舟橋村は人口密度944人/km²で、主要道路沿いや中心市街地に一定の賃貸需要が局在。立地選別が稼働を左右する。 借家の空室率は約0%と需給は比較的引き締まっている。</t>
        </is>
      </c>
      <c r="V764" t="inlineStr">
        <is>
          <t>舟橋村（富山県）：神通川・常願寺川の急流河川氾濫、豪雪、立山連峰山麓の土砂災害、富山湾の寄り回り波に注意。</t>
        </is>
      </c>
    </row>
    <row r="765">
      <c r="A765" t="inlineStr">
        <is>
          <t>富山県</t>
        </is>
      </c>
      <c r="B765" t="inlineStr">
        <is>
          <t>上市町</t>
        </is>
      </c>
      <c r="C765" t="n">
        <v>7340</v>
      </c>
      <c r="D765" t="n">
        <v>17994</v>
      </c>
      <c r="E765" s="6" t="n">
        <v>74.8</v>
      </c>
      <c r="F765" s="7" t="n">
        <v>17.5</v>
      </c>
      <c r="G765" t="n">
        <v>19351</v>
      </c>
      <c r="H765" t="n">
        <v>17994</v>
      </c>
      <c r="I765" t="n">
        <v>16598</v>
      </c>
      <c r="J765" t="n">
        <v>12381</v>
      </c>
      <c r="K765" s="27">
        <f>(H765/D765-1)</f>
        <v/>
      </c>
      <c r="L765" s="27">
        <f>(I765/D765-1)</f>
        <v/>
      </c>
      <c r="M765" s="27">
        <f>(J765/D765-1)</f>
        <v/>
      </c>
      <c r="N765" t="n">
        <v>43.2</v>
      </c>
      <c r="O765" s="28">
        <f>(N765+F765)/2</f>
        <v/>
      </c>
      <c r="P765">
        <f>IF(O765="計算不能","計算不能",IF(O765&gt;=80,5,IF(O765&gt;=60,4,IF(O765&gt;=40,3,IF(O765&gt;=28,2,1)))))</f>
        <v/>
      </c>
      <c r="Q765" t="n">
        <v>1648</v>
      </c>
      <c r="R765" t="n">
        <v>280</v>
      </c>
      <c r="S765" s="27">
        <f>R765/Q765</f>
        <v/>
      </c>
      <c r="T765" t="inlineStr">
        <is>
          <t>上市町は2045年までに人口が約31.2%減と急激な過疎・超高齢化が進行。若年労働世代の流出と自然減が重なり、賃貸事業としての持続性は極めて限定的。</t>
        </is>
      </c>
      <c r="U765" t="inlineStr">
        <is>
          <t>上市町は人口密度75人/km²と過疎的水準で、民間賃貸の新規需要は薄い。実需に裏付けられた格安戸建ての指値取得のみが現実的。 借家の空室率は約17%と需給は比較的引き締まっている。</t>
        </is>
      </c>
      <c r="V765" t="inlineStr">
        <is>
          <t>上市町（富山県）：神通川・常願寺川の急流河川氾濫、豪雪、立山連峰山麓の土砂災害、富山湾の寄り回り波に注意。</t>
        </is>
      </c>
    </row>
    <row r="766">
      <c r="A766" t="inlineStr">
        <is>
          <t>富山県</t>
        </is>
      </c>
      <c r="B766" t="inlineStr">
        <is>
          <t>立山町</t>
        </is>
      </c>
      <c r="C766" t="n">
        <v>8730</v>
      </c>
      <c r="D766" t="n">
        <v>23495</v>
      </c>
      <c r="E766" s="6" t="n">
        <v>75.59999999999999</v>
      </c>
      <c r="F766" s="7" t="n">
        <v>17.6</v>
      </c>
      <c r="G766" t="n">
        <v>24792</v>
      </c>
      <c r="H766" t="n">
        <v>23495</v>
      </c>
      <c r="I766" t="n">
        <v>22127</v>
      </c>
      <c r="J766" t="n">
        <v>17897</v>
      </c>
      <c r="K766" s="27">
        <f>(H766/D766-1)</f>
        <v/>
      </c>
      <c r="L766" s="27">
        <f>(I766/D766-1)</f>
        <v/>
      </c>
      <c r="M766" s="27">
        <f>(J766/D766-1)</f>
        <v/>
      </c>
      <c r="N766" t="n">
        <v>49.4</v>
      </c>
      <c r="O766" s="28">
        <f>(N766+F766)/2</f>
        <v/>
      </c>
      <c r="P766">
        <f>IF(O766="計算不能","計算不能",IF(O766&gt;=80,5,IF(O766&gt;=60,4,IF(O766&gt;=40,3,IF(O766&gt;=28,2,1)))))</f>
        <v/>
      </c>
      <c r="Q766" t="n">
        <v>1961</v>
      </c>
      <c r="R766" t="n">
        <v>50</v>
      </c>
      <c r="S766" s="27">
        <f>R766/Q766</f>
        <v/>
      </c>
      <c r="T766" t="inlineStr">
        <is>
          <t>立山町は2045年までに人口が約23.8%減と明確な減少トレンド。高齢化の進行と世帯数の縮小により、中長期では賃貸需要の構造的縮小に警戒が必要。</t>
        </is>
      </c>
      <c r="U766" t="inlineStr">
        <is>
          <t>立山町は人口密度76人/km²と過疎的水準で、民間賃貸の新規需要は薄い。実需に裏付けられた格安戸建ての指値取得のみが現実的。 借家の空室率は約3%と需給は比較的引き締まっている。</t>
        </is>
      </c>
      <c r="V766" t="inlineStr">
        <is>
          <t>立山町（富山県）：神通川・常願寺川の急流河川氾濫、豪雪、立山連峰山麓の土砂災害、富山湾の寄り回り波に注意。</t>
        </is>
      </c>
    </row>
    <row r="767">
      <c r="A767" t="inlineStr">
        <is>
          <t>富山県</t>
        </is>
      </c>
      <c r="B767" t="inlineStr">
        <is>
          <t>入善町</t>
        </is>
      </c>
      <c r="C767" t="n">
        <v>8750</v>
      </c>
      <c r="D767" t="n">
        <v>21632</v>
      </c>
      <c r="E767" s="6" t="n">
        <v>300.3</v>
      </c>
      <c r="F767" s="7" t="n">
        <v>35</v>
      </c>
      <c r="G767" t="n">
        <v>23839</v>
      </c>
      <c r="H767" t="n">
        <v>21632</v>
      </c>
      <c r="I767" t="n">
        <v>19948</v>
      </c>
      <c r="J767" t="n">
        <v>15049</v>
      </c>
      <c r="K767" s="27">
        <f>(H767/D767-1)</f>
        <v/>
      </c>
      <c r="L767" s="27">
        <f>(I767/D767-1)</f>
        <v/>
      </c>
      <c r="M767" s="27">
        <f>(J767/D767-1)</f>
        <v/>
      </c>
      <c r="N767" t="n">
        <v>41.4</v>
      </c>
      <c r="O767" s="28">
        <f>(N767+F767)/2</f>
        <v/>
      </c>
      <c r="P767">
        <f>IF(O767="計算不能","計算不能",IF(O767&gt;=80,5,IF(O767&gt;=60,4,IF(O767&gt;=40,3,IF(O767&gt;=28,2,1)))))</f>
        <v/>
      </c>
      <c r="Q767" t="n">
        <v>1965</v>
      </c>
      <c r="R767" t="n">
        <v>150</v>
      </c>
      <c r="S767" s="27">
        <f>R767/Q767</f>
        <v/>
      </c>
      <c r="T767" t="inlineStr">
        <is>
          <t>入善町は2045年までに人口が約30.4%減と急激な過疎・超高齢化が進行。若年労働世代の流出と自然減が重なり、賃貸事業としての持続性は極めて限定的。</t>
        </is>
      </c>
      <c r="U767" t="inlineStr">
        <is>
          <t>入善町は人口密度300人/km²と低密度で、賃貸需要は限定的。持ち家比率が高く、駐車場完備の戸建て賃貸が有利。 借家の空室率は約8%と需給は比較的引き締まっている。</t>
        </is>
      </c>
      <c r="V767" t="inlineStr">
        <is>
          <t>入善町（富山県）：神通川・常願寺川の急流河川氾濫、豪雪、立山連峰山麓の土砂災害、富山湾の寄り回り波に注意。</t>
        </is>
      </c>
    </row>
    <row r="768">
      <c r="A768" t="inlineStr">
        <is>
          <t>富山県</t>
        </is>
      </c>
      <c r="B768" t="inlineStr">
        <is>
          <t>朝日町</t>
        </is>
      </c>
      <c r="C768" t="n">
        <v>4425</v>
      </c>
      <c r="D768" t="n">
        <v>9851</v>
      </c>
      <c r="E768" s="6" t="n">
        <v>1846.9</v>
      </c>
      <c r="F768" s="7" t="n">
        <v>68.5</v>
      </c>
      <c r="G768" t="n">
        <v>11081</v>
      </c>
      <c r="H768" t="n">
        <v>9851</v>
      </c>
      <c r="I768" t="n">
        <v>8763</v>
      </c>
      <c r="J768" t="n">
        <v>5827</v>
      </c>
      <c r="K768" s="27">
        <f>(H768/D768-1)</f>
        <v/>
      </c>
      <c r="L768" s="27">
        <f>(I768/D768-1)</f>
        <v/>
      </c>
      <c r="M768" s="27">
        <f>(J768/D768-1)</f>
        <v/>
      </c>
      <c r="N768" t="n">
        <v>36.4</v>
      </c>
      <c r="O768" s="28">
        <f>(N768+F768)/2</f>
        <v/>
      </c>
      <c r="P768">
        <f>IF(O768="計算不能","計算不能",IF(O768&gt;=80,5,IF(O768&gt;=60,4,IF(O768&gt;=40,3,IF(O768&gt;=28,2,1)))))</f>
        <v/>
      </c>
      <c r="Q768" t="n">
        <v>994</v>
      </c>
      <c r="R768" t="n">
        <v>0</v>
      </c>
      <c r="S768" s="27">
        <f>R768/Q768</f>
        <v/>
      </c>
      <c r="T768" t="inlineStr">
        <is>
          <t>朝日町は2045年までに人口が約40.8%減と急激な過疎・超高齢化が進行。若年労働世代の流出と自然減が重なり、賃貸事業としての持続性は極めて限定的。</t>
        </is>
      </c>
      <c r="U768" t="inlineStr">
        <is>
          <t>朝日町は人口密度1,847人/km²の都市部で、駅周辺や生活利便施設沿いに安定した賃貸需要がある。適切な家賃設定で高稼働を期待できる。 借家の空室率は約0%と需給は比較的引き締まっている。</t>
        </is>
      </c>
      <c r="V768" t="inlineStr">
        <is>
          <t>朝日町（富山県）：神通川・常願寺川の急流河川氾濫、豪雪、立山連峰山麓の土砂災害、富山湾の寄り回り波に注意。</t>
        </is>
      </c>
    </row>
    <row r="769">
      <c r="A769" t="inlineStr">
        <is>
          <t>石川県</t>
        </is>
      </c>
      <c r="B769" t="inlineStr">
        <is>
          <t>金沢市</t>
        </is>
      </c>
      <c r="C769" t="n">
        <v>207520</v>
      </c>
      <c r="D769" t="n">
        <v>450222</v>
      </c>
      <c r="E769" s="6" t="n">
        <v>968.6</v>
      </c>
      <c r="F769" s="7" t="n">
        <v>54.4</v>
      </c>
      <c r="G769" t="n">
        <v>463254</v>
      </c>
      <c r="H769" t="n">
        <v>450222</v>
      </c>
      <c r="I769" t="n">
        <v>443868</v>
      </c>
      <c r="J769" t="n">
        <v>415361</v>
      </c>
      <c r="K769" s="27">
        <f>(H769/D769-1)</f>
        <v/>
      </c>
      <c r="L769" s="27">
        <f>(I769/D769-1)</f>
        <v/>
      </c>
      <c r="M769" s="27">
        <f>(J769/D769-1)</f>
        <v/>
      </c>
      <c r="N769" t="n">
        <v>64.7</v>
      </c>
      <c r="O769" s="28">
        <f>(N769+F769)/2</f>
        <v/>
      </c>
      <c r="P769">
        <f>IF(O769="計算不能","計算不能",IF(O769&gt;=80,5,IF(O769&gt;=60,4,IF(O769&gt;=40,3,IF(O769&gt;=28,2,1)))))</f>
        <v/>
      </c>
      <c r="Q769" t="n">
        <v>56998</v>
      </c>
      <c r="R769" t="n">
        <v>23150</v>
      </c>
      <c r="S769" s="27">
        <f>R769/Q769</f>
        <v/>
      </c>
      <c r="T769" t="inlineStr">
        <is>
          <t>金沢市は2045年までに人口が約7.7%減と緩やかな減少局面。若年層の都市部流出と高齢化が進むが、当面の賃貸稼働は一定程度維持される見通し。</t>
        </is>
      </c>
      <c r="U769" t="inlineStr">
        <is>
          <t>金沢市は人口密度969人/km²で、主要道路沿いや中心市街地に一定の賃貸需要が局在。立地選別が稼働を左右する。 借家の空室率は約41%と供給過多気味で、空室長期化リスクに要警戒。</t>
        </is>
      </c>
      <c r="V769" t="inlineStr">
        <is>
          <t>金沢市（石川県）：手取川の氾濫、能登半島地震の余波と海岸隆起、日本海沿岸の津波、豪雪に留意。</t>
        </is>
      </c>
    </row>
    <row r="770">
      <c r="A770" t="inlineStr">
        <is>
          <t>石川県</t>
        </is>
      </c>
      <c r="B770" t="inlineStr">
        <is>
          <t>七尾市</t>
        </is>
      </c>
      <c r="C770" t="n">
        <v>20190</v>
      </c>
      <c r="D770" t="n">
        <v>46220</v>
      </c>
      <c r="E770" s="6" t="n">
        <v>139</v>
      </c>
      <c r="F770" s="7" t="n">
        <v>23.9</v>
      </c>
      <c r="G770" t="n">
        <v>50300</v>
      </c>
      <c r="H770" t="n">
        <v>46220</v>
      </c>
      <c r="I770" t="n">
        <v>42242</v>
      </c>
      <c r="J770" t="n">
        <v>30863</v>
      </c>
      <c r="K770" s="27">
        <f>(H770/D770-1)</f>
        <v/>
      </c>
      <c r="L770" s="27">
        <f>(I770/D770-1)</f>
        <v/>
      </c>
      <c r="M770" s="27">
        <f>(J770/D770-1)</f>
        <v/>
      </c>
      <c r="N770" t="n">
        <v>41.5</v>
      </c>
      <c r="O770" s="28">
        <f>(N770+F770)/2</f>
        <v/>
      </c>
      <c r="P770">
        <f>IF(O770="計算不能","計算不能",IF(O770&gt;=80,5,IF(O770&gt;=60,4,IF(O770&gt;=40,3,IF(O770&gt;=28,2,1)))))</f>
        <v/>
      </c>
      <c r="Q770" t="n">
        <v>5545</v>
      </c>
      <c r="R770" t="n">
        <v>1610</v>
      </c>
      <c r="S770" s="27">
        <f>R770/Q770</f>
        <v/>
      </c>
      <c r="T770" t="inlineStr">
        <is>
          <t>七尾市は2045年までに人口が約33.2%減と急激な過疎・超高齢化が進行。若年労働世代の流出と自然減が重なり、賃貸事業としての持続性は極めて限定的。</t>
        </is>
      </c>
      <c r="U770" t="inlineStr">
        <is>
          <t>七尾市は人口密度139人/km²と過疎的水準で、民間賃貸の新規需要は薄い。実需に裏付けられた格安戸建ての指値取得のみが現実的。 借家の空室率は約29%と供給過多気味で、空室長期化リスクに要警戒。</t>
        </is>
      </c>
      <c r="V770" t="inlineStr">
        <is>
          <t>七尾市（石川県）：手取川の氾濫、能登半島地震の余波と海岸隆起、日本海沿岸の津波、豪雪に留意。</t>
        </is>
      </c>
    </row>
    <row r="771">
      <c r="A771" t="inlineStr">
        <is>
          <t>石川県</t>
        </is>
      </c>
      <c r="B771" t="inlineStr">
        <is>
          <t>小松市</t>
        </is>
      </c>
      <c r="C771" t="n">
        <v>40780</v>
      </c>
      <c r="D771" t="n">
        <v>103678</v>
      </c>
      <c r="E771" s="6" t="n">
        <v>279.2</v>
      </c>
      <c r="F771" s="7" t="n">
        <v>34</v>
      </c>
      <c r="G771" t="n">
        <v>106216</v>
      </c>
      <c r="H771" t="n">
        <v>103678</v>
      </c>
      <c r="I771" t="n">
        <v>100483</v>
      </c>
      <c r="J771" t="n">
        <v>89850</v>
      </c>
      <c r="K771" s="27">
        <f>(H771/D771-1)</f>
        <v/>
      </c>
      <c r="L771" s="27">
        <f>(I771/D771-1)</f>
        <v/>
      </c>
      <c r="M771" s="27">
        <f>(J771/D771-1)</f>
        <v/>
      </c>
      <c r="N771" t="n">
        <v>61.6</v>
      </c>
      <c r="O771" s="28">
        <f>(N771+F771)/2</f>
        <v/>
      </c>
      <c r="P771">
        <f>IF(O771="計算不能","計算不能",IF(O771&gt;=80,5,IF(O771&gt;=60,4,IF(O771&gt;=40,3,IF(O771&gt;=28,2,1)))))</f>
        <v/>
      </c>
      <c r="Q771" t="n">
        <v>11200</v>
      </c>
      <c r="R771" t="n">
        <v>2560</v>
      </c>
      <c r="S771" s="27">
        <f>R771/Q771</f>
        <v/>
      </c>
      <c r="T771" t="inlineStr">
        <is>
          <t>小松市は2045年までに人口が約13.3%減と緩やかな減少局面。若年層の都市部流出と高齢化が進むが、当面の賃貸稼働は一定程度維持される見通し。</t>
        </is>
      </c>
      <c r="U771" t="inlineStr">
        <is>
          <t>小松市は人口密度279人/km²と低密度で、賃貸需要は限定的。持ち家比率が高く、駐車場完備の戸建て賃貸が有利。 借家の空室率は約23%とやや高めで、競合との差別化が必要。</t>
        </is>
      </c>
      <c r="V771" t="inlineStr">
        <is>
          <t>小松市（石川県）：手取川の氾濫、能登半島地震の余波と海岸隆起、日本海沿岸の津波、豪雪に留意。</t>
        </is>
      </c>
    </row>
    <row r="772">
      <c r="A772" t="inlineStr">
        <is>
          <t>石川県</t>
        </is>
      </c>
      <c r="B772" t="inlineStr">
        <is>
          <t>輪島市</t>
        </is>
      </c>
      <c r="C772" t="n">
        <v>8890</v>
      </c>
      <c r="D772" t="n">
        <v>21231</v>
      </c>
      <c r="E772" s="6" t="n">
        <v>42.1</v>
      </c>
      <c r="F772" s="7" t="n">
        <v>14.2</v>
      </c>
      <c r="G772" t="n">
        <v>24608</v>
      </c>
      <c r="H772" t="n">
        <v>21231</v>
      </c>
      <c r="I772" t="n">
        <v>18774</v>
      </c>
      <c r="J772" t="n">
        <v>12440</v>
      </c>
      <c r="K772" s="27">
        <f>(H772/D772-1)</f>
        <v/>
      </c>
      <c r="L772" s="27">
        <f>(I772/D772-1)</f>
        <v/>
      </c>
      <c r="M772" s="27">
        <f>(J772/D772-1)</f>
        <v/>
      </c>
      <c r="N772" t="n">
        <v>33.9</v>
      </c>
      <c r="O772" s="28">
        <f>(N772+F772)/2</f>
        <v/>
      </c>
      <c r="P772">
        <f>IF(O772="計算不能","計算不能",IF(O772&gt;=80,5,IF(O772&gt;=60,4,IF(O772&gt;=40,3,IF(O772&gt;=28,2,1)))))</f>
        <v/>
      </c>
      <c r="Q772" t="n">
        <v>2441</v>
      </c>
      <c r="R772" t="n">
        <v>470</v>
      </c>
      <c r="S772" s="27">
        <f>R772/Q772</f>
        <v/>
      </c>
      <c r="T772" t="inlineStr">
        <is>
          <t>輪島市は2045年までに人口が約41.4%減と急激な過疎・超高齢化が進行。若年労働世代の流出と自然減が重なり、賃貸事業としての持続性は極めて限定的。</t>
        </is>
      </c>
      <c r="U772" t="inlineStr">
        <is>
          <t>輪島市は人口密度42人/km²と過疎的水準で、民間賃貸の新規需要は薄い。実需に裏付けられた格安戸建ての指値取得のみが現実的。 借家の空室率は約19%とやや高めで、競合との差別化が必要。</t>
        </is>
      </c>
      <c r="V772" t="inlineStr">
        <is>
          <t>輪島市（石川県）：手取川の氾濫、能登半島地震の余波と海岸隆起、日本海沿岸の津波、豪雪に留意。</t>
        </is>
      </c>
    </row>
    <row r="773">
      <c r="A773" t="inlineStr">
        <is>
          <t>石川県</t>
        </is>
      </c>
      <c r="B773" t="inlineStr">
        <is>
          <t>珠洲市</t>
        </is>
      </c>
      <c r="C773" t="n">
        <v>5260</v>
      </c>
      <c r="D773" t="n">
        <v>11273</v>
      </c>
      <c r="E773" s="6" t="n">
        <v>34.3</v>
      </c>
      <c r="F773" s="7" t="n">
        <v>13.4</v>
      </c>
      <c r="G773" t="n">
        <v>12929</v>
      </c>
      <c r="H773" t="n">
        <v>11273</v>
      </c>
      <c r="I773" t="n">
        <v>9799</v>
      </c>
      <c r="J773" t="n">
        <v>6042</v>
      </c>
      <c r="K773" s="27">
        <f>(H773/D773-1)</f>
        <v/>
      </c>
      <c r="L773" s="27">
        <f>(I773/D773-1)</f>
        <v/>
      </c>
      <c r="M773" s="27">
        <f>(J773/D773-1)</f>
        <v/>
      </c>
      <c r="N773" t="n">
        <v>33.1</v>
      </c>
      <c r="O773" s="28">
        <f>(N773+F773)/2</f>
        <v/>
      </c>
      <c r="P773">
        <f>IF(O773="計算不能","計算不能",IF(O773&gt;=80,5,IF(O773&gt;=60,4,IF(O773&gt;=40,3,IF(O773&gt;=28,2,1)))))</f>
        <v/>
      </c>
      <c r="Q773" t="n">
        <v>1444</v>
      </c>
      <c r="R773" t="n">
        <v>70</v>
      </c>
      <c r="S773" s="27">
        <f>R773/Q773</f>
        <v/>
      </c>
      <c r="T773" t="inlineStr">
        <is>
          <t>珠洲市は2045年までに人口が約46.4%減と急激な過疎・超高齢化が進行。若年労働世代の流出と自然減が重なり、賃貸事業としての持続性は極めて限定的。</t>
        </is>
      </c>
      <c r="U773" t="inlineStr">
        <is>
          <t>珠洲市は人口密度34人/km²と過疎的水準で、民間賃貸の新規需要は薄い。実需に裏付けられた格安戸建ての指値取得のみが現実的。 借家の空室率は約5%と需給は比較的引き締まっている。</t>
        </is>
      </c>
      <c r="V773" t="inlineStr">
        <is>
          <t>珠洲市（石川県）：手取川の氾濫、能登半島地震の余波と海岸隆起、日本海沿岸の津波、豪雪に留意。</t>
        </is>
      </c>
    </row>
    <row r="774">
      <c r="A774" t="inlineStr">
        <is>
          <t>石川県</t>
        </is>
      </c>
      <c r="B774" t="inlineStr">
        <is>
          <t>加賀市</t>
        </is>
      </c>
      <c r="C774" t="n">
        <v>24780</v>
      </c>
      <c r="D774" t="n">
        <v>58175</v>
      </c>
      <c r="E774" s="6" t="n">
        <v>191.9</v>
      </c>
      <c r="F774" s="7" t="n">
        <v>29.2</v>
      </c>
      <c r="G774" t="n">
        <v>63220</v>
      </c>
      <c r="H774" t="n">
        <v>58175</v>
      </c>
      <c r="I774" t="n">
        <v>53718</v>
      </c>
      <c r="J774" t="n">
        <v>40516</v>
      </c>
      <c r="K774" s="27">
        <f>(H774/D774-1)</f>
        <v/>
      </c>
      <c r="L774" s="27">
        <f>(I774/D774-1)</f>
        <v/>
      </c>
      <c r="M774" s="27">
        <f>(J774/D774-1)</f>
        <v/>
      </c>
      <c r="N774" t="n">
        <v>42.6</v>
      </c>
      <c r="O774" s="28">
        <f>(N774+F774)/2</f>
        <v/>
      </c>
      <c r="P774">
        <f>IF(O774="計算不能","計算不能",IF(O774&gt;=80,5,IF(O774&gt;=60,4,IF(O774&gt;=40,3,IF(O774&gt;=28,2,1)))))</f>
        <v/>
      </c>
      <c r="Q774" t="n">
        <v>6806</v>
      </c>
      <c r="R774" t="n">
        <v>4070</v>
      </c>
      <c r="S774" s="27">
        <f>R774/Q774</f>
        <v/>
      </c>
      <c r="T774" t="inlineStr">
        <is>
          <t>加賀市は2045年までに人口が約30.4%減と急激な過疎・超高齢化が進行。若年労働世代の流出と自然減が重なり、賃貸事業としての持続性は極めて限定的。</t>
        </is>
      </c>
      <c r="U774" t="inlineStr">
        <is>
          <t>加賀市は人口密度192人/km²と過疎的水準で、民間賃貸の新規需要は薄い。実需に裏付けられた格安戸建ての指値取得のみが現実的。 借家の空室率は約60%と供給過多気味で、空室長期化リスクに要警戒。</t>
        </is>
      </c>
      <c r="V774" t="inlineStr">
        <is>
          <t>加賀市（石川県）：手取川の氾濫、能登半島地震の余波と海岸隆起、日本海沿岸の津波、豪雪に留意。</t>
        </is>
      </c>
    </row>
    <row r="775">
      <c r="A775" t="inlineStr">
        <is>
          <t>石川県</t>
        </is>
      </c>
      <c r="B775" t="inlineStr">
        <is>
          <t>羽咋市</t>
        </is>
      </c>
      <c r="C775" t="n">
        <v>7440</v>
      </c>
      <c r="D775" t="n">
        <v>18499</v>
      </c>
      <c r="E775" s="6" t="n">
        <v>230.4</v>
      </c>
      <c r="F775" s="7" t="n">
        <v>31.5</v>
      </c>
      <c r="G775" t="n">
        <v>20407</v>
      </c>
      <c r="H775" t="n">
        <v>18499</v>
      </c>
      <c r="I775" t="n">
        <v>16932</v>
      </c>
      <c r="J775" t="n">
        <v>12403</v>
      </c>
      <c r="K775" s="27">
        <f>(H775/D775-1)</f>
        <v/>
      </c>
      <c r="L775" s="27">
        <f>(I775/D775-1)</f>
        <v/>
      </c>
      <c r="M775" s="27">
        <f>(J775/D775-1)</f>
        <v/>
      </c>
      <c r="N775" t="n">
        <v>40.5</v>
      </c>
      <c r="O775" s="28">
        <f>(N775+F775)/2</f>
        <v/>
      </c>
      <c r="P775">
        <f>IF(O775="計算不能","計算不能",IF(O775&gt;=80,5,IF(O775&gt;=60,4,IF(O775&gt;=40,3,IF(O775&gt;=28,2,1)))))</f>
        <v/>
      </c>
      <c r="Q775" t="n">
        <v>2043</v>
      </c>
      <c r="R775" t="n">
        <v>730</v>
      </c>
      <c r="S775" s="27">
        <f>R775/Q775</f>
        <v/>
      </c>
      <c r="T775" t="inlineStr">
        <is>
          <t>羽咋市は2045年までに人口が約33.0%減と急激な過疎・超高齢化が進行。若年労働世代の流出と自然減が重なり、賃貸事業としての持続性は極めて限定的。</t>
        </is>
      </c>
      <c r="U775" t="inlineStr">
        <is>
          <t>羽咋市は人口密度230人/km²と低密度で、賃貸需要は限定的。持ち家比率が高く、駐車場完備の戸建て賃貸が有利。 借家の空室率は約36%と供給過多気味で、空室長期化リスクに要警戒。</t>
        </is>
      </c>
      <c r="V775" t="inlineStr">
        <is>
          <t>羽咋市（石川県）：手取川の氾濫、能登半島地震の余波と海岸隆起、日本海沿岸の津波、豪雪に留意。</t>
        </is>
      </c>
    </row>
    <row r="776">
      <c r="A776" t="inlineStr">
        <is>
          <t>石川県</t>
        </is>
      </c>
      <c r="B776" t="inlineStr">
        <is>
          <t>かほく市</t>
        </is>
      </c>
      <c r="C776" t="n">
        <v>13150</v>
      </c>
      <c r="D776" t="n">
        <v>34918</v>
      </c>
      <c r="E776" s="6" t="n">
        <v>559.5</v>
      </c>
      <c r="F776" s="7" t="n">
        <v>46.2</v>
      </c>
      <c r="G776" t="n">
        <v>34889</v>
      </c>
      <c r="H776" t="n">
        <v>34918</v>
      </c>
      <c r="I776" t="n">
        <v>34210</v>
      </c>
      <c r="J776" t="n">
        <v>31413</v>
      </c>
      <c r="K776" s="27">
        <f>(H776/D776-1)</f>
        <v/>
      </c>
      <c r="L776" s="27">
        <f>(I776/D776-1)</f>
        <v/>
      </c>
      <c r="M776" s="27">
        <f>(J776/D776-1)</f>
        <v/>
      </c>
      <c r="N776" t="n">
        <v>68.7</v>
      </c>
      <c r="O776" s="28">
        <f>(N776+F776)/2</f>
        <v/>
      </c>
      <c r="P776">
        <f>IF(O776="計算不能","計算不能",IF(O776&gt;=80,5,IF(O776&gt;=60,4,IF(O776&gt;=40,3,IF(O776&gt;=28,2,1)))))</f>
        <v/>
      </c>
      <c r="Q776" t="n">
        <v>3611</v>
      </c>
      <c r="R776" t="n">
        <v>520</v>
      </c>
      <c r="S776" s="27">
        <f>R776/Q776</f>
        <v/>
      </c>
      <c r="T776" t="inlineStr">
        <is>
          <t>かほく市は2045年までに人口が約10.0%減と緩やかな減少局面。若年層の都市部流出と高齢化が進むが、当面の賃貸稼働は一定程度維持される見通し。</t>
        </is>
      </c>
      <c r="U776" t="inlineStr">
        <is>
          <t>かほく市は人口密度560人/km²で、主要道路沿いや中心市街地に一定の賃貸需要が局在。立地選別が稼働を左右する。 借家の空室率は約14%と需給は比較的引き締まっている。</t>
        </is>
      </c>
      <c r="V776" t="inlineStr">
        <is>
          <t>かほく市（石川県）：手取川の氾濫、能登半島地震の余波と海岸隆起、日本海沿岸の津波、豪雪に留意。</t>
        </is>
      </c>
    </row>
    <row r="777">
      <c r="A777" t="inlineStr">
        <is>
          <t>石川県</t>
        </is>
      </c>
      <c r="B777" t="inlineStr">
        <is>
          <t>白山市</t>
        </is>
      </c>
      <c r="C777" t="n">
        <v>40960</v>
      </c>
      <c r="D777" t="n">
        <v>109019</v>
      </c>
      <c r="E777" s="6" t="n">
        <v>144.5</v>
      </c>
      <c r="F777" s="7" t="n">
        <v>24.4</v>
      </c>
      <c r="G777" t="n">
        <v>110408</v>
      </c>
      <c r="H777" t="n">
        <v>109019</v>
      </c>
      <c r="I777" t="n">
        <v>106741</v>
      </c>
      <c r="J777" t="n">
        <v>97694</v>
      </c>
      <c r="K777" s="27">
        <f>(H777/D777-1)</f>
        <v/>
      </c>
      <c r="L777" s="27">
        <f>(I777/D777-1)</f>
        <v/>
      </c>
      <c r="M777" s="27">
        <f>(J777/D777-1)</f>
        <v/>
      </c>
      <c r="N777" t="n">
        <v>65.90000000000001</v>
      </c>
      <c r="O777" s="28">
        <f>(N777+F777)/2</f>
        <v/>
      </c>
      <c r="P777">
        <f>IF(O777="計算不能","計算不能",IF(O777&gt;=80,5,IF(O777&gt;=60,4,IF(O777&gt;=40,3,IF(O777&gt;=28,2,1)))))</f>
        <v/>
      </c>
      <c r="Q777" t="n">
        <v>11250</v>
      </c>
      <c r="R777" t="n">
        <v>1040</v>
      </c>
      <c r="S777" s="27">
        <f>R777/Q777</f>
        <v/>
      </c>
      <c r="T777" t="inlineStr">
        <is>
          <t>白山市は2045年までに人口が約10.4%減と緩やかな減少局面。若年層の都市部流出と高齢化が進むが、当面の賃貸稼働は一定程度維持される見通し。</t>
        </is>
      </c>
      <c r="U777" t="inlineStr">
        <is>
          <t>白山市は人口密度144人/km²と過疎的水準で、民間賃貸の新規需要は薄い。実需に裏付けられた格安戸建ての指値取得のみが現実的。 借家の空室率は約9%と需給は比較的引き締まっている。</t>
        </is>
      </c>
      <c r="V777" t="inlineStr">
        <is>
          <t>白山市（石川県）：手取川の氾濫、能登半島地震の余波と海岸隆起、日本海沿岸の津波、豪雪に留意。</t>
        </is>
      </c>
    </row>
    <row r="778">
      <c r="A778" t="inlineStr">
        <is>
          <t>石川県</t>
        </is>
      </c>
      <c r="B778" t="inlineStr">
        <is>
          <t>能美市</t>
        </is>
      </c>
      <c r="C778" t="n">
        <v>18670</v>
      </c>
      <c r="D778" t="n">
        <v>47926</v>
      </c>
      <c r="E778" s="6" t="n">
        <v>576.1</v>
      </c>
      <c r="F778" s="7" t="n">
        <v>46.5</v>
      </c>
      <c r="G778" t="n">
        <v>48523</v>
      </c>
      <c r="H778" t="n">
        <v>47926</v>
      </c>
      <c r="I778" t="n">
        <v>46941</v>
      </c>
      <c r="J778" t="n">
        <v>43426</v>
      </c>
      <c r="K778" s="27">
        <f>(H778/D778-1)</f>
        <v/>
      </c>
      <c r="L778" s="27">
        <f>(I778/D778-1)</f>
        <v/>
      </c>
      <c r="M778" s="27">
        <f>(J778/D778-1)</f>
        <v/>
      </c>
      <c r="N778" t="n">
        <v>66.5</v>
      </c>
      <c r="O778" s="28">
        <f>(N778+F778)/2</f>
        <v/>
      </c>
      <c r="P778">
        <f>IF(O778="計算不能","計算不能",IF(O778&gt;=80,5,IF(O778&gt;=60,4,IF(O778&gt;=40,3,IF(O778&gt;=28,2,1)))))</f>
        <v/>
      </c>
      <c r="Q778" t="n">
        <v>5127</v>
      </c>
      <c r="R778" t="n">
        <v>1040</v>
      </c>
      <c r="S778" s="27">
        <f>R778/Q778</f>
        <v/>
      </c>
      <c r="T778" t="inlineStr">
        <is>
          <t>能美市は2045年までに人口が約9.4%減と緩やかな減少局面。若年層の都市部流出と高齢化が進むが、当面の賃貸稼働は一定程度維持される見通し。</t>
        </is>
      </c>
      <c r="U778" t="inlineStr">
        <is>
          <t>能美市は人口密度576人/km²で、主要道路沿いや中心市街地に一定の賃貸需要が局在。立地選別が稼働を左右する。 借家の空室率は約20%とやや高めで、競合との差別化が必要。</t>
        </is>
      </c>
      <c r="V778" t="inlineStr">
        <is>
          <t>能美市（石川県）：手取川の氾濫、能登半島地震の余波と海岸隆起、日本海沿岸の津波、豪雪に留意。</t>
        </is>
      </c>
    </row>
    <row r="779">
      <c r="A779" t="inlineStr">
        <is>
          <t>石川県</t>
        </is>
      </c>
      <c r="B779" t="inlineStr">
        <is>
          <t>野々市市</t>
        </is>
      </c>
      <c r="C779" t="n">
        <v>27110</v>
      </c>
      <c r="D779" t="n">
        <v>58681</v>
      </c>
      <c r="E779" s="6" t="n">
        <v>4321.1</v>
      </c>
      <c r="F779" s="7" t="n">
        <v>80</v>
      </c>
      <c r="G779" t="n">
        <v>57238</v>
      </c>
      <c r="H779" t="n">
        <v>58681</v>
      </c>
      <c r="I779" t="n">
        <v>58873</v>
      </c>
      <c r="J779" t="n">
        <v>56579</v>
      </c>
      <c r="K779" s="27">
        <f>(H779/D779-1)</f>
        <v/>
      </c>
      <c r="L779" s="27">
        <f>(I779/D779-1)</f>
        <v/>
      </c>
      <c r="M779" s="27">
        <f>(J779/D779-1)</f>
        <v/>
      </c>
      <c r="N779" t="n">
        <v>78.40000000000001</v>
      </c>
      <c r="O779" s="28">
        <f>(N779+F779)/2</f>
        <v/>
      </c>
      <c r="P779">
        <f>IF(O779="計算不能","計算不能",IF(O779&gt;=80,5,IF(O779&gt;=60,4,IF(O779&gt;=40,3,IF(O779&gt;=28,2,1)))))</f>
        <v/>
      </c>
      <c r="Q779" t="n">
        <v>7446</v>
      </c>
      <c r="R779" t="n">
        <v>2350</v>
      </c>
      <c r="S779" s="27">
        <f>R779/Q779</f>
        <v/>
      </c>
      <c r="T779" t="inlineStr">
        <is>
          <t>野々市市は2045年までの人口減少率が約3.6%と全国平均より緩やかで、概ね横ばいの安定推移。生産年齢人口の維持により、賃貸需要の急減リスクは相対的に低い。</t>
        </is>
      </c>
      <c r="U779" t="inlineStr">
        <is>
          <t>野々市市は人口密度4,321人/km²の都市部で、駅周辺や生活利便施設沿いに安定した賃貸需要がある。適切な家賃設定で高稼働を期待できる。 借家の空室率は約32%と供給過多気味で、空室長期化リスクに要警戒。</t>
        </is>
      </c>
      <c r="V779" t="inlineStr">
        <is>
          <t>野々市市（石川県）：手取川の氾濫、能登半島地震の余波と海岸隆起、日本海沿岸の津波、豪雪に留意。</t>
        </is>
      </c>
    </row>
    <row r="780">
      <c r="A780" t="inlineStr">
        <is>
          <t>石川県</t>
        </is>
      </c>
      <c r="B780" t="inlineStr">
        <is>
          <t>川北町</t>
        </is>
      </c>
      <c r="C780" t="n">
        <v>2043</v>
      </c>
      <c r="D780" t="n">
        <v>6029</v>
      </c>
      <c r="E780" s="6" t="n">
        <v>401.2</v>
      </c>
      <c r="F780" s="7" t="n">
        <v>40.1</v>
      </c>
      <c r="G780" t="n">
        <v>6135</v>
      </c>
      <c r="H780" t="n">
        <v>6029</v>
      </c>
      <c r="I780" t="n">
        <v>5929</v>
      </c>
      <c r="J780" t="n">
        <v>5554</v>
      </c>
      <c r="K780" s="27">
        <f>(H780/D780-1)</f>
        <v/>
      </c>
      <c r="L780" s="27">
        <f>(I780/D780-1)</f>
        <v/>
      </c>
      <c r="M780" s="27">
        <f>(J780/D780-1)</f>
        <v/>
      </c>
      <c r="N780" t="n">
        <v>66.5</v>
      </c>
      <c r="O780" s="28">
        <f>(N780+F780)/2</f>
        <v/>
      </c>
      <c r="P780">
        <f>IF(O780="計算不能","計算不能",IF(O780&gt;=80,5,IF(O780&gt;=60,4,IF(O780&gt;=40,3,IF(O780&gt;=28,2,1)))))</f>
        <v/>
      </c>
      <c r="Q780" t="n">
        <v>561</v>
      </c>
      <c r="R780" t="n">
        <v>0</v>
      </c>
      <c r="S780" s="27">
        <f>R780/Q780</f>
        <v/>
      </c>
      <c r="T780" t="inlineStr">
        <is>
          <t>川北町は2045年までに人口が約7.9%減と緩やかな減少局面。若年層の都市部流出と高齢化が進むが、当面の賃貸稼働は一定程度維持される見通し。</t>
        </is>
      </c>
      <c r="U780" t="inlineStr">
        <is>
          <t>川北町は人口密度401人/km²と低密度で、賃貸需要は限定的。持ち家比率が高く、駐車場完備の戸建て賃貸が有利。 借家の空室率は約0%と需給は比較的引き締まっている。</t>
        </is>
      </c>
      <c r="V780" t="inlineStr">
        <is>
          <t>川北町（石川県）：手取川の氾濫、能登半島地震の余波と海岸隆起、日本海沿岸の津波、豪雪に留意。</t>
        </is>
      </c>
    </row>
    <row r="781">
      <c r="A781" t="inlineStr">
        <is>
          <t>石川県</t>
        </is>
      </c>
      <c r="B781" t="inlineStr">
        <is>
          <t>津幡町</t>
        </is>
      </c>
      <c r="C781" t="n">
        <v>13500</v>
      </c>
      <c r="D781" t="n">
        <v>36651</v>
      </c>
      <c r="E781" s="6" t="n">
        <v>337</v>
      </c>
      <c r="F781" s="7" t="n">
        <v>36.9</v>
      </c>
      <c r="G781" t="n">
        <v>36957</v>
      </c>
      <c r="H781" t="n">
        <v>36651</v>
      </c>
      <c r="I781" t="n">
        <v>36057</v>
      </c>
      <c r="J781" t="n">
        <v>33308</v>
      </c>
      <c r="K781" s="27">
        <f>(H781/D781-1)</f>
        <v/>
      </c>
      <c r="L781" s="27">
        <f>(I781/D781-1)</f>
        <v/>
      </c>
      <c r="M781" s="27">
        <f>(J781/D781-1)</f>
        <v/>
      </c>
      <c r="N781" t="n">
        <v>67.7</v>
      </c>
      <c r="O781" s="28">
        <f>(N781+F781)/2</f>
        <v/>
      </c>
      <c r="P781">
        <f>IF(O781="計算不能","計算不能",IF(O781&gt;=80,5,IF(O781&gt;=60,4,IF(O781&gt;=40,3,IF(O781&gt;=28,2,1)))))</f>
        <v/>
      </c>
      <c r="Q781" t="n">
        <v>3707</v>
      </c>
      <c r="R781" t="n">
        <v>480</v>
      </c>
      <c r="S781" s="27">
        <f>R781/Q781</f>
        <v/>
      </c>
      <c r="T781" t="inlineStr">
        <is>
          <t>津幡町は2045年までに人口が約9.1%減と緩やかな減少局面。若年層の都市部流出と高齢化が進むが、当面の賃貸稼働は一定程度維持される見通し。</t>
        </is>
      </c>
      <c r="U781" t="inlineStr">
        <is>
          <t>津幡町は人口密度337人/km²と低密度で、賃貸需要は限定的。持ち家比率が高く、駐車場完備の戸建て賃貸が有利。 借家の空室率は約13%と需給は比較的引き締まっている。</t>
        </is>
      </c>
      <c r="V781" t="inlineStr">
        <is>
          <t>津幡町（石川県）：手取川の氾濫、能登半島地震の余波と海岸隆起、日本海沿岸の津波、豪雪に留意。</t>
        </is>
      </c>
    </row>
    <row r="782">
      <c r="A782" t="inlineStr">
        <is>
          <t>石川県</t>
        </is>
      </c>
      <c r="B782" t="inlineStr">
        <is>
          <t>内灘町</t>
        </is>
      </c>
      <c r="C782" t="n">
        <v>11010</v>
      </c>
      <c r="D782" t="n">
        <v>25934</v>
      </c>
      <c r="E782" s="6" t="n">
        <v>1248.6</v>
      </c>
      <c r="F782" s="7" t="n">
        <v>60</v>
      </c>
      <c r="G782" t="n">
        <v>26574</v>
      </c>
      <c r="H782" t="n">
        <v>25934</v>
      </c>
      <c r="I782" t="n">
        <v>25015</v>
      </c>
      <c r="J782" t="n">
        <v>21717</v>
      </c>
      <c r="K782" s="27">
        <f>(H782/D782-1)</f>
        <v/>
      </c>
      <c r="L782" s="27">
        <f>(I782/D782-1)</f>
        <v/>
      </c>
      <c r="M782" s="27">
        <f>(J782/D782-1)</f>
        <v/>
      </c>
      <c r="N782" t="n">
        <v>59.8</v>
      </c>
      <c r="O782" s="28">
        <f>(N782+F782)/2</f>
        <v/>
      </c>
      <c r="P782">
        <f>IF(O782="計算不能","計算不能",IF(O782&gt;=80,5,IF(O782&gt;=60,4,IF(O782&gt;=40,3,IF(O782&gt;=28,2,1)))))</f>
        <v/>
      </c>
      <c r="Q782" t="n">
        <v>3024</v>
      </c>
      <c r="R782" t="n">
        <v>1750</v>
      </c>
      <c r="S782" s="27">
        <f>R782/Q782</f>
        <v/>
      </c>
      <c r="T782" t="inlineStr">
        <is>
          <t>内灘町は2045年までに人口が約16.3%減と明確な減少トレンド。高齢化の進行と世帯数の縮小により、中長期では賃貸需要の構造的縮小に警戒が必要。</t>
        </is>
      </c>
      <c r="U782" t="inlineStr">
        <is>
          <t>内灘町は人口密度1,249人/km²で、主要道路沿いや中心市街地に一定の賃貸需要が局在。立地選別が稼働を左右する。 借家の空室率は約58%と供給過多気味で、空室長期化リスクに要警戒。</t>
        </is>
      </c>
      <c r="V782" t="inlineStr">
        <is>
          <t>内灘町（石川県）：手取川の氾濫、能登半島地震の余波と海岸隆起、日本海沿岸の津波、豪雪に留意。</t>
        </is>
      </c>
    </row>
    <row r="783">
      <c r="A783" t="inlineStr">
        <is>
          <t>石川県</t>
        </is>
      </c>
      <c r="B783" t="inlineStr">
        <is>
          <t>志賀町</t>
        </is>
      </c>
      <c r="C783" t="n">
        <v>6670</v>
      </c>
      <c r="D783" t="n">
        <v>16685</v>
      </c>
      <c r="E783" s="6" t="n">
        <v>64.40000000000001</v>
      </c>
      <c r="F783" s="7" t="n">
        <v>16.4</v>
      </c>
      <c r="G783" t="n">
        <v>18630</v>
      </c>
      <c r="H783" t="n">
        <v>16685</v>
      </c>
      <c r="I783" t="n">
        <v>14927</v>
      </c>
      <c r="J783" t="n">
        <v>10088</v>
      </c>
      <c r="K783" s="27">
        <f>(H783/D783-1)</f>
        <v/>
      </c>
      <c r="L783" s="27">
        <f>(I783/D783-1)</f>
        <v/>
      </c>
      <c r="M783" s="27">
        <f>(J783/D783-1)</f>
        <v/>
      </c>
      <c r="N783" t="n">
        <v>37.4</v>
      </c>
      <c r="O783" s="28">
        <f>(N783+F783)/2</f>
        <v/>
      </c>
      <c r="P783">
        <f>IF(O783="計算不能","計算不能",IF(O783&gt;=80,5,IF(O783&gt;=60,4,IF(O783&gt;=40,3,IF(O783&gt;=28,2,1)))))</f>
        <v/>
      </c>
      <c r="Q783" t="n">
        <v>1832</v>
      </c>
      <c r="R783" t="n">
        <v>110</v>
      </c>
      <c r="S783" s="27">
        <f>R783/Q783</f>
        <v/>
      </c>
      <c r="T783" t="inlineStr">
        <is>
          <t>志賀町は2045年までに人口が約39.5%減と急激な過疎・超高齢化が進行。若年労働世代の流出と自然減が重なり、賃貸事業としての持続性は極めて限定的。</t>
        </is>
      </c>
      <c r="U783" t="inlineStr">
        <is>
          <t>志賀町は人口密度64人/km²と過疎的水準で、民間賃貸の新規需要は薄い。実需に裏付けられた格安戸建ての指値取得のみが現実的。 借家の空室率は約6%と需給は比較的引き締まっている。</t>
        </is>
      </c>
      <c r="V783" t="inlineStr">
        <is>
          <t>志賀町（石川県）：手取川の氾濫、能登半島地震の余波と海岸隆起、日本海沿岸の津波、豪雪に留意。</t>
        </is>
      </c>
    </row>
    <row r="784">
      <c r="A784" t="inlineStr">
        <is>
          <t>石川県</t>
        </is>
      </c>
      <c r="B784" t="inlineStr">
        <is>
          <t>宝達志水町</t>
        </is>
      </c>
      <c r="C784" t="n">
        <v>4885</v>
      </c>
      <c r="D784" t="n">
        <v>11070</v>
      </c>
      <c r="E784" s="6" t="n">
        <v>99.3</v>
      </c>
      <c r="F784" s="7" t="n">
        <v>19.9</v>
      </c>
      <c r="G784" t="n">
        <v>12121</v>
      </c>
      <c r="H784" t="n">
        <v>11070</v>
      </c>
      <c r="I784" t="n">
        <v>10050</v>
      </c>
      <c r="J784" t="n">
        <v>7110</v>
      </c>
      <c r="K784" s="27">
        <f>(H784/D784-1)</f>
        <v/>
      </c>
      <c r="L784" s="27">
        <f>(I784/D784-1)</f>
        <v/>
      </c>
      <c r="M784" s="27">
        <f>(J784/D784-1)</f>
        <v/>
      </c>
      <c r="N784" t="n">
        <v>40.2</v>
      </c>
      <c r="O784" s="28">
        <f>(N784+F784)/2</f>
        <v/>
      </c>
      <c r="P784">
        <f>IF(O784="計算不能","計算不能",IF(O784&gt;=80,5,IF(O784&gt;=60,4,IF(O784&gt;=40,3,IF(O784&gt;=28,2,1)))))</f>
        <v/>
      </c>
      <c r="Q784" t="n">
        <v>1341</v>
      </c>
      <c r="R784" t="n">
        <v>0</v>
      </c>
      <c r="S784" s="27">
        <f>R784/Q784</f>
        <v/>
      </c>
      <c r="T784" t="inlineStr">
        <is>
          <t>宝達志水町は2045年までに人口が約35.8%減と急激な過疎・超高齢化が進行。若年労働世代の流出と自然減が重なり、賃貸事業としての持続性は極めて限定的。</t>
        </is>
      </c>
      <c r="U784" t="inlineStr">
        <is>
          <t>宝達志水町は人口密度99人/km²と過疎的水準で、民間賃貸の新規需要は薄い。実需に裏付けられた格安戸建ての指値取得のみが現実的。 借家の空室率は約0%と需給は比較的引き締まっている。</t>
        </is>
      </c>
      <c r="V784" t="inlineStr">
        <is>
          <t>宝達志水町（石川県）：手取川の氾濫、能登半島地震の余波と海岸隆起、日本海沿岸の津波、豪雪に留意。</t>
        </is>
      </c>
    </row>
    <row r="785">
      <c r="A785" t="inlineStr">
        <is>
          <t>石川県</t>
        </is>
      </c>
      <c r="B785" t="inlineStr">
        <is>
          <t>中能登町</t>
        </is>
      </c>
      <c r="C785" t="n">
        <v>6100</v>
      </c>
      <c r="D785" t="n">
        <v>15232</v>
      </c>
      <c r="E785" s="6" t="n">
        <v>170.5</v>
      </c>
      <c r="F785" s="7" t="n">
        <v>27.1</v>
      </c>
      <c r="G785" t="n">
        <v>16540</v>
      </c>
      <c r="H785" t="n">
        <v>15232</v>
      </c>
      <c r="I785" t="n">
        <v>14129</v>
      </c>
      <c r="J785" t="n">
        <v>11063</v>
      </c>
      <c r="K785" s="27">
        <f>(H785/D785-1)</f>
        <v/>
      </c>
      <c r="L785" s="27">
        <f>(I785/D785-1)</f>
        <v/>
      </c>
      <c r="M785" s="27">
        <f>(J785/D785-1)</f>
        <v/>
      </c>
      <c r="N785" t="n">
        <v>43.5</v>
      </c>
      <c r="O785" s="28">
        <f>(N785+F785)/2</f>
        <v/>
      </c>
      <c r="P785">
        <f>IF(O785="計算不能","計算不能",IF(O785&gt;=80,5,IF(O785&gt;=60,4,IF(O785&gt;=40,3,IF(O785&gt;=28,2,1)))))</f>
        <v/>
      </c>
      <c r="Q785" t="n">
        <v>1675</v>
      </c>
      <c r="R785" t="n">
        <v>50</v>
      </c>
      <c r="S785" s="27">
        <f>R785/Q785</f>
        <v/>
      </c>
      <c r="T785" t="inlineStr">
        <is>
          <t>中能登町は2045年までに人口が約27.4%減と明確な減少トレンド。高齢化の進行と世帯数の縮小により、中長期では賃貸需要の構造的縮小に警戒が必要。</t>
        </is>
      </c>
      <c r="U785" t="inlineStr">
        <is>
          <t>中能登町は人口密度170人/km²と過疎的水準で、民間賃貸の新規需要は薄い。実需に裏付けられた格安戸建ての指値取得のみが現実的。 借家の空室率は約3%と需給は比較的引き締まっている。</t>
        </is>
      </c>
      <c r="V785" t="inlineStr">
        <is>
          <t>中能登町（石川県）：手取川の氾濫、能登半島地震の余波と海岸隆起、日本海沿岸の津波、豪雪に留意。</t>
        </is>
      </c>
    </row>
    <row r="786">
      <c r="A786" t="inlineStr">
        <is>
          <t>石川県</t>
        </is>
      </c>
      <c r="B786" t="inlineStr">
        <is>
          <t>穴水町</t>
        </is>
      </c>
      <c r="C786" t="n">
        <v>3392</v>
      </c>
      <c r="D786" t="n">
        <v>7104</v>
      </c>
      <c r="E786" s="6" t="n">
        <v>35.7</v>
      </c>
      <c r="F786" s="7" t="n">
        <v>13.6</v>
      </c>
      <c r="G786" t="n">
        <v>7890</v>
      </c>
      <c r="H786" t="n">
        <v>7104</v>
      </c>
      <c r="I786" t="n">
        <v>6348</v>
      </c>
      <c r="J786" t="n">
        <v>4311</v>
      </c>
      <c r="K786" s="27">
        <f>(H786/D786-1)</f>
        <v/>
      </c>
      <c r="L786" s="27">
        <f>(I786/D786-1)</f>
        <v/>
      </c>
      <c r="M786" s="27">
        <f>(J786/D786-1)</f>
        <v/>
      </c>
      <c r="N786" t="n">
        <v>37.8</v>
      </c>
      <c r="O786" s="28">
        <f>(N786+F786)/2</f>
        <v/>
      </c>
      <c r="P786">
        <f>IF(O786="計算不能","計算不能",IF(O786&gt;=80,5,IF(O786&gt;=60,4,IF(O786&gt;=40,3,IF(O786&gt;=28,2,1)))))</f>
        <v/>
      </c>
      <c r="Q786" t="n">
        <v>931</v>
      </c>
      <c r="R786" t="n">
        <v>0</v>
      </c>
      <c r="S786" s="27">
        <f>R786/Q786</f>
        <v/>
      </c>
      <c r="T786" t="inlineStr">
        <is>
          <t>穴水町は2045年までに人口が約39.3%減と急激な過疎・超高齢化が進行。若年労働世代の流出と自然減が重なり、賃貸事業としての持続性は極めて限定的。</t>
        </is>
      </c>
      <c r="U786" t="inlineStr">
        <is>
          <t>穴水町は人口密度36人/km²と過疎的水準で、民間賃貸の新規需要は薄い。実需に裏付けられた格安戸建ての指値取得のみが現実的。 借家の空室率は約0%と需給は比較的引き締まっている。</t>
        </is>
      </c>
      <c r="V786" t="inlineStr">
        <is>
          <t>穴水町（石川県）：手取川の氾濫、能登半島地震の余波と海岸隆起、日本海沿岸の津波、豪雪に留意。</t>
        </is>
      </c>
    </row>
    <row r="787">
      <c r="A787" t="inlineStr">
        <is>
          <t>石川県</t>
        </is>
      </c>
      <c r="B787" t="inlineStr">
        <is>
          <t>能登町</t>
        </is>
      </c>
      <c r="C787" t="n">
        <v>5860</v>
      </c>
      <c r="D787" t="n">
        <v>13710</v>
      </c>
      <c r="E787" s="6" t="n">
        <v>46.6</v>
      </c>
      <c r="F787" s="7" t="n">
        <v>14.7</v>
      </c>
      <c r="G787" t="n">
        <v>15687</v>
      </c>
      <c r="H787" t="n">
        <v>13710</v>
      </c>
      <c r="I787" t="n">
        <v>11961</v>
      </c>
      <c r="J787" t="n">
        <v>7391</v>
      </c>
      <c r="K787" s="27">
        <f>(H787/D787-1)</f>
        <v/>
      </c>
      <c r="L787" s="27">
        <f>(I787/D787-1)</f>
        <v/>
      </c>
      <c r="M787" s="27">
        <f>(J787/D787-1)</f>
        <v/>
      </c>
      <c r="N787" t="n">
        <v>33.4</v>
      </c>
      <c r="O787" s="28">
        <f>(N787+F787)/2</f>
        <v/>
      </c>
      <c r="P787">
        <f>IF(O787="計算不能","計算不能",IF(O787&gt;=80,5,IF(O787&gt;=60,4,IF(O787&gt;=40,3,IF(O787&gt;=28,2,1)))))</f>
        <v/>
      </c>
      <c r="Q787" t="n">
        <v>1609</v>
      </c>
      <c r="R787" t="n">
        <v>120</v>
      </c>
      <c r="S787" s="27">
        <f>R787/Q787</f>
        <v/>
      </c>
      <c r="T787" t="inlineStr">
        <is>
          <t>能登町は2045年までに人口が約46.1%減と急激な過疎・超高齢化が進行。若年労働世代の流出と自然減が重なり、賃貸事業としての持続性は極めて限定的。</t>
        </is>
      </c>
      <c r="U787" t="inlineStr">
        <is>
          <t>能登町は人口密度47人/km²と過疎的水準で、民間賃貸の新規需要は薄い。実需に裏付けられた格安戸建ての指値取得のみが現実的。 借家の空室率は約7%と需給は比較的引き締まっている。</t>
        </is>
      </c>
      <c r="V787" t="inlineStr">
        <is>
          <t>能登町（石川県）：手取川の氾濫、能登半島地震の余波と海岸隆起、日本海沿岸の津波、豪雪に留意。</t>
        </is>
      </c>
    </row>
    <row r="788">
      <c r="A788" t="inlineStr">
        <is>
          <t>福井県</t>
        </is>
      </c>
      <c r="B788" t="inlineStr">
        <is>
          <t>福井市</t>
        </is>
      </c>
      <c r="C788" t="n">
        <v>104670</v>
      </c>
      <c r="D788" t="n">
        <v>252933</v>
      </c>
      <c r="E788" s="6" t="n">
        <v>469.9</v>
      </c>
      <c r="F788" s="7" t="n">
        <v>43.5</v>
      </c>
      <c r="G788" t="n">
        <v>262328</v>
      </c>
      <c r="H788" t="n">
        <v>252933</v>
      </c>
      <c r="I788" t="n">
        <v>246007</v>
      </c>
      <c r="J788" t="n">
        <v>222112</v>
      </c>
      <c r="K788" s="27">
        <f>(H788/D788-1)</f>
        <v/>
      </c>
      <c r="L788" s="27">
        <f>(I788/D788-1)</f>
        <v/>
      </c>
      <c r="M788" s="27">
        <f>(J788/D788-1)</f>
        <v/>
      </c>
      <c r="N788" t="n">
        <v>60.1</v>
      </c>
      <c r="O788" s="28">
        <f>(N788+F788)/2</f>
        <v/>
      </c>
      <c r="P788">
        <f>IF(O788="計算不能","計算不能",IF(O788&gt;=80,5,IF(O788&gt;=60,4,IF(O788&gt;=40,3,IF(O788&gt;=28,2,1)))))</f>
        <v/>
      </c>
      <c r="Q788" t="n">
        <v>23508</v>
      </c>
      <c r="R788" t="n">
        <v>9600</v>
      </c>
      <c r="S788" s="27">
        <f>R788/Q788</f>
        <v/>
      </c>
      <c r="T788" t="inlineStr">
        <is>
          <t>福井市は2045年までに人口が約12.2%減と緩やかな減少局面。若年層の都市部流出と高齢化が進むが、当面の賃貸稼働は一定程度維持される見通し。</t>
        </is>
      </c>
      <c r="U788" t="inlineStr">
        <is>
          <t>福井市は人口密度470人/km²と低密度で、賃貸需要は限定的。持ち家比率が高く、駐車場完備の戸建て賃貸が有利。 借家の空室率は約41%と供給過多気味で、空室長期化リスクに要警戒。</t>
        </is>
      </c>
      <c r="V788" t="inlineStr">
        <is>
          <t>福井市（福井県）：九頭竜川水系の洪水、日本海沿岸の津波、豪雪、嶺南の原子力災害想定区域に注意。</t>
        </is>
      </c>
    </row>
    <row r="789">
      <c r="A789" t="inlineStr">
        <is>
          <t>福井県</t>
        </is>
      </c>
      <c r="B789" t="inlineStr">
        <is>
          <t>敦賀市</t>
        </is>
      </c>
      <c r="C789" t="n">
        <v>27100</v>
      </c>
      <c r="D789" t="n">
        <v>61377</v>
      </c>
      <c r="E789" s="6" t="n">
        <v>240.9</v>
      </c>
      <c r="F789" s="7" t="n">
        <v>32</v>
      </c>
      <c r="G789" t="n">
        <v>64264</v>
      </c>
      <c r="H789" t="n">
        <v>61377</v>
      </c>
      <c r="I789" t="n">
        <v>58849</v>
      </c>
      <c r="J789" t="n">
        <v>50580</v>
      </c>
      <c r="K789" s="27">
        <f>(H789/D789-1)</f>
        <v/>
      </c>
      <c r="L789" s="27">
        <f>(I789/D789-1)</f>
        <v/>
      </c>
      <c r="M789" s="27">
        <f>(J789/D789-1)</f>
        <v/>
      </c>
      <c r="N789" t="n">
        <v>54.9</v>
      </c>
      <c r="O789" s="28">
        <f>(N789+F789)/2</f>
        <v/>
      </c>
      <c r="P789">
        <f>IF(O789="計算不能","計算不能",IF(O789&gt;=80,5,IF(O789&gt;=60,4,IF(O789&gt;=40,3,IF(O789&gt;=28,2,1)))))</f>
        <v/>
      </c>
      <c r="Q789" t="n">
        <v>6086</v>
      </c>
      <c r="R789" t="n">
        <v>2450</v>
      </c>
      <c r="S789" s="27">
        <f>R789/Q789</f>
        <v/>
      </c>
      <c r="T789" t="inlineStr">
        <is>
          <t>敦賀市は2045年までに人口が約17.6%減と明確な減少トレンド。高齢化の進行と世帯数の縮小により、中長期では賃貸需要の構造的縮小に警戒が必要。</t>
        </is>
      </c>
      <c r="U789" t="inlineStr">
        <is>
          <t>敦賀市は人口密度241人/km²と低密度で、賃貸需要は限定的。持ち家比率が高く、駐車場完備の戸建て賃貸が有利。 借家の空室率は約40%と供給過多気味で、空室長期化リスクに要警戒。</t>
        </is>
      </c>
      <c r="V789" t="inlineStr">
        <is>
          <t>敦賀市（福井県）：九頭竜川水系の洪水、日本海沿岸の津波、豪雪、嶺南の原子力災害想定区域に注意。</t>
        </is>
      </c>
    </row>
    <row r="790">
      <c r="A790" t="inlineStr">
        <is>
          <t>福井県</t>
        </is>
      </c>
      <c r="B790" t="inlineStr">
        <is>
          <t>小浜市</t>
        </is>
      </c>
      <c r="C790" t="n">
        <v>11980</v>
      </c>
      <c r="D790" t="n">
        <v>27802</v>
      </c>
      <c r="E790" s="6" t="n">
        <v>113.9</v>
      </c>
      <c r="F790" s="7" t="n">
        <v>21.4</v>
      </c>
      <c r="G790" t="n">
        <v>28991</v>
      </c>
      <c r="H790" t="n">
        <v>27802</v>
      </c>
      <c r="I790" t="n">
        <v>26500</v>
      </c>
      <c r="J790" t="n">
        <v>22544</v>
      </c>
      <c r="K790" s="27">
        <f>(H790/D790-1)</f>
        <v/>
      </c>
      <c r="L790" s="27">
        <f>(I790/D790-1)</f>
        <v/>
      </c>
      <c r="M790" s="27">
        <f>(J790/D790-1)</f>
        <v/>
      </c>
      <c r="N790" t="n">
        <v>54.6</v>
      </c>
      <c r="O790" s="28">
        <f>(N790+F790)/2</f>
        <v/>
      </c>
      <c r="P790">
        <f>IF(O790="計算不能","計算不能",IF(O790&gt;=80,5,IF(O790&gt;=60,4,IF(O790&gt;=40,3,IF(O790&gt;=28,2,1)))))</f>
        <v/>
      </c>
      <c r="Q790" t="n">
        <v>2690</v>
      </c>
      <c r="R790" t="n">
        <v>1010</v>
      </c>
      <c r="S790" s="27">
        <f>R790/Q790</f>
        <v/>
      </c>
      <c r="T790" t="inlineStr">
        <is>
          <t>小浜市は2045年までに人口が約18.9%減と明確な減少トレンド。高齢化の進行と世帯数の縮小により、中長期では賃貸需要の構造的縮小に警戒が必要。</t>
        </is>
      </c>
      <c r="U790" t="inlineStr">
        <is>
          <t>小浜市は人口密度114人/km²と過疎的水準で、民間賃貸の新規需要は薄い。実需に裏付けられた格安戸建ての指値取得のみが現実的。 借家の空室率は約38%と供給過多気味で、空室長期化リスクに要警戒。</t>
        </is>
      </c>
      <c r="V790" t="inlineStr">
        <is>
          <t>小浜市（福井県）：九頭竜川水系の洪水、日本海沿岸の津波、豪雪、嶺南の原子力災害想定区域に注意。</t>
        </is>
      </c>
    </row>
    <row r="791">
      <c r="A791" t="inlineStr">
        <is>
          <t>福井県</t>
        </is>
      </c>
      <c r="B791" t="inlineStr">
        <is>
          <t>大野市</t>
        </is>
      </c>
      <c r="C791" t="n">
        <v>9720</v>
      </c>
      <c r="D791" t="n">
        <v>28540</v>
      </c>
      <c r="E791" s="6" t="n">
        <v>31.8</v>
      </c>
      <c r="F791" s="7" t="n">
        <v>13.2</v>
      </c>
      <c r="G791" t="n">
        <v>31286</v>
      </c>
      <c r="H791" t="n">
        <v>28540</v>
      </c>
      <c r="I791" t="n">
        <v>26109</v>
      </c>
      <c r="J791" t="n">
        <v>19179</v>
      </c>
      <c r="K791" s="27">
        <f>(H791/D791-1)</f>
        <v/>
      </c>
      <c r="L791" s="27">
        <f>(I791/D791-1)</f>
        <v/>
      </c>
      <c r="M791" s="27">
        <f>(J791/D791-1)</f>
        <v/>
      </c>
      <c r="N791" t="n">
        <v>41</v>
      </c>
      <c r="O791" s="28">
        <f>(N791+F791)/2</f>
        <v/>
      </c>
      <c r="P791">
        <f>IF(O791="計算不能","計算不能",IF(O791&gt;=80,5,IF(O791&gt;=60,4,IF(O791&gt;=40,3,IF(O791&gt;=28,2,1)))))</f>
        <v/>
      </c>
      <c r="Q791" t="n">
        <v>2183</v>
      </c>
      <c r="R791" t="n">
        <v>250</v>
      </c>
      <c r="S791" s="27">
        <f>R791/Q791</f>
        <v/>
      </c>
      <c r="T791" t="inlineStr">
        <is>
          <t>大野市は2045年までに人口が約32.8%減と急激な過疎・超高齢化が進行。若年労働世代の流出と自然減が重なり、賃貸事業としての持続性は極めて限定的。</t>
        </is>
      </c>
      <c r="U791" t="inlineStr">
        <is>
          <t>大野市は人口密度32人/km²と過疎的水準で、民間賃貸の新規需要は薄い。実需に裏付けられた格安戸建ての指値取得のみが現実的。 借家の空室率は約11%と需給は比較的引き締まっている。</t>
        </is>
      </c>
      <c r="V791" t="inlineStr">
        <is>
          <t>大野市（福井県）：九頭竜川水系の洪水、日本海沿岸の津波、豪雪、嶺南の原子力災害想定区域に注意。</t>
        </is>
      </c>
    </row>
    <row r="792">
      <c r="A792" t="inlineStr">
        <is>
          <t>福井県</t>
        </is>
      </c>
      <c r="B792" t="inlineStr">
        <is>
          <t>勝山市</t>
        </is>
      </c>
      <c r="C792" t="n">
        <v>7080</v>
      </c>
      <c r="D792" t="n">
        <v>20539</v>
      </c>
      <c r="E792" s="6" t="n">
        <v>79.5</v>
      </c>
      <c r="F792" s="7" t="n">
        <v>17.9</v>
      </c>
      <c r="G792" t="n">
        <v>22150</v>
      </c>
      <c r="H792" t="n">
        <v>20539</v>
      </c>
      <c r="I792" t="n">
        <v>18936</v>
      </c>
      <c r="J792" t="n">
        <v>14328</v>
      </c>
      <c r="K792" s="27">
        <f>(H792/D792-1)</f>
        <v/>
      </c>
      <c r="L792" s="27">
        <f>(I792/D792-1)</f>
        <v/>
      </c>
      <c r="M792" s="27">
        <f>(J792/D792-1)</f>
        <v/>
      </c>
      <c r="N792" t="n">
        <v>43.2</v>
      </c>
      <c r="O792" s="28">
        <f>(N792+F792)/2</f>
        <v/>
      </c>
      <c r="P792">
        <f>IF(O792="計算不能","計算不能",IF(O792&gt;=80,5,IF(O792&gt;=60,4,IF(O792&gt;=40,3,IF(O792&gt;=28,2,1)))))</f>
        <v/>
      </c>
      <c r="Q792" t="n">
        <v>1590</v>
      </c>
      <c r="R792" t="n">
        <v>160</v>
      </c>
      <c r="S792" s="27">
        <f>R792/Q792</f>
        <v/>
      </c>
      <c r="T792" t="inlineStr">
        <is>
          <t>勝山市は2045年までに人口が約30.2%減と急激な過疎・超高齢化が進行。若年労働世代の流出と自然減が重なり、賃貸事業としての持続性は極めて限定的。</t>
        </is>
      </c>
      <c r="U792" t="inlineStr">
        <is>
          <t>勝山市は人口密度80人/km²と過疎的水準で、民間賃貸の新規需要は薄い。実需に裏付けられた格安戸建ての指値取得のみが現実的。 借家の空室率は約10%と需給は比較的引き締まっている。</t>
        </is>
      </c>
      <c r="V792" t="inlineStr">
        <is>
          <t>勝山市（福井県）：九頭竜川水系の洪水、日本海沿岸の津波、豪雪、嶺南の原子力災害想定区域に注意。</t>
        </is>
      </c>
    </row>
    <row r="793">
      <c r="A793" t="inlineStr">
        <is>
          <t>福井県</t>
        </is>
      </c>
      <c r="B793" t="inlineStr">
        <is>
          <t>鯖江市</t>
        </is>
      </c>
      <c r="C793" t="n">
        <v>24840</v>
      </c>
      <c r="D793" t="n">
        <v>66571</v>
      </c>
      <c r="E793" s="6" t="n">
        <v>794.7</v>
      </c>
      <c r="F793" s="7" t="n">
        <v>50.9</v>
      </c>
      <c r="G793" t="n">
        <v>68302</v>
      </c>
      <c r="H793" t="n">
        <v>66571</v>
      </c>
      <c r="I793" t="n">
        <v>65417</v>
      </c>
      <c r="J793" t="n">
        <v>60636</v>
      </c>
      <c r="K793" s="27">
        <f>(H793/D793-1)</f>
        <v/>
      </c>
      <c r="L793" s="27">
        <f>(I793/D793-1)</f>
        <v/>
      </c>
      <c r="M793" s="27">
        <f>(J793/D793-1)</f>
        <v/>
      </c>
      <c r="N793" t="n">
        <v>64.40000000000001</v>
      </c>
      <c r="O793" s="28">
        <f>(N793+F793)/2</f>
        <v/>
      </c>
      <c r="P793">
        <f>IF(O793="計算不能","計算不能",IF(O793&gt;=80,5,IF(O793&gt;=60,4,IF(O793&gt;=40,3,IF(O793&gt;=28,2,1)))))</f>
        <v/>
      </c>
      <c r="Q793" t="n">
        <v>5579</v>
      </c>
      <c r="R793" t="n">
        <v>1660</v>
      </c>
      <c r="S793" s="27">
        <f>R793/Q793</f>
        <v/>
      </c>
      <c r="T793" t="inlineStr">
        <is>
          <t>鯖江市は2045年までに人口が約8.9%減と緩やかな減少局面。若年層の都市部流出と高齢化が進むが、当面の賃貸稼働は一定程度維持される見通し。</t>
        </is>
      </c>
      <c r="U793" t="inlineStr">
        <is>
          <t>鯖江市は人口密度795人/km²で、主要道路沿いや中心市街地に一定の賃貸需要が局在。立地選別が稼働を左右する。 借家の空室率は約30%と供給過多気味で、空室長期化リスクに要警戒。</t>
        </is>
      </c>
      <c r="V793" t="inlineStr">
        <is>
          <t>鯖江市（福井県）：九頭竜川水系の洪水、日本海沿岸の津波、豪雪、嶺南の原子力災害想定区域に注意。</t>
        </is>
      </c>
    </row>
    <row r="794">
      <c r="A794" t="inlineStr">
        <is>
          <t>福井県</t>
        </is>
      </c>
      <c r="B794" t="inlineStr">
        <is>
          <t>あわら市</t>
        </is>
      </c>
      <c r="C794" t="n">
        <v>10000</v>
      </c>
      <c r="D794" t="n">
        <v>26082</v>
      </c>
      <c r="E794" s="6" t="n">
        <v>220.1</v>
      </c>
      <c r="F794" s="7" t="n">
        <v>31</v>
      </c>
      <c r="G794" t="n">
        <v>27524</v>
      </c>
      <c r="H794" t="n">
        <v>26082</v>
      </c>
      <c r="I794" t="n">
        <v>24522</v>
      </c>
      <c r="J794" t="n">
        <v>19587</v>
      </c>
      <c r="K794" s="27">
        <f>(H794/D794-1)</f>
        <v/>
      </c>
      <c r="L794" s="27">
        <f>(I794/D794-1)</f>
        <v/>
      </c>
      <c r="M794" s="27">
        <f>(J794/D794-1)</f>
        <v/>
      </c>
      <c r="N794" t="n">
        <v>48.8</v>
      </c>
      <c r="O794" s="28">
        <f>(N794+F794)/2</f>
        <v/>
      </c>
      <c r="P794">
        <f>IF(O794="計算不能","計算不能",IF(O794&gt;=80,5,IF(O794&gt;=60,4,IF(O794&gt;=40,3,IF(O794&gt;=28,2,1)))))</f>
        <v/>
      </c>
      <c r="Q794" t="n">
        <v>2245</v>
      </c>
      <c r="R794" t="n">
        <v>780</v>
      </c>
      <c r="S794" s="27">
        <f>R794/Q794</f>
        <v/>
      </c>
      <c r="T794" t="inlineStr">
        <is>
          <t>あわら市は2045年までに人口が約24.9%減と明確な減少トレンド。高齢化の進行と世帯数の縮小により、中長期では賃貸需要の構造的縮小に警戒が必要。</t>
        </is>
      </c>
      <c r="U794" t="inlineStr">
        <is>
          <t>あわら市は人口密度220人/km²と低密度で、賃貸需要は限定的。持ち家比率が高く、駐車場完備の戸建て賃貸が有利。 借家の空室率は約35%と供給過多気味で、空室長期化リスクに要警戒。</t>
        </is>
      </c>
      <c r="V794" t="inlineStr">
        <is>
          <t>あわら市（福井県）：九頭竜川水系の洪水、日本海沿岸の津波、豪雪、嶺南の原子力災害想定区域に注意。</t>
        </is>
      </c>
    </row>
    <row r="795">
      <c r="A795" t="inlineStr">
        <is>
          <t>福井県</t>
        </is>
      </c>
      <c r="B795" t="inlineStr">
        <is>
          <t>越前市</t>
        </is>
      </c>
      <c r="C795" t="n">
        <v>29060</v>
      </c>
      <c r="D795" t="n">
        <v>77392</v>
      </c>
      <c r="E795" s="6" t="n">
        <v>343.8</v>
      </c>
      <c r="F795" s="7" t="n">
        <v>37.2</v>
      </c>
      <c r="G795" t="n">
        <v>80611</v>
      </c>
      <c r="H795" t="n">
        <v>77392</v>
      </c>
      <c r="I795" t="n">
        <v>73994</v>
      </c>
      <c r="J795" t="n">
        <v>63088</v>
      </c>
      <c r="K795" s="27">
        <f>(H795/D795-1)</f>
        <v/>
      </c>
      <c r="L795" s="27">
        <f>(I795/D795-1)</f>
        <v/>
      </c>
      <c r="M795" s="27">
        <f>(J795/D795-1)</f>
        <v/>
      </c>
      <c r="N795" t="n">
        <v>55.2</v>
      </c>
      <c r="O795" s="28">
        <f>(N795+F795)/2</f>
        <v/>
      </c>
      <c r="P795">
        <f>IF(O795="計算不能","計算不能",IF(O795&gt;=80,5,IF(O795&gt;=60,4,IF(O795&gt;=40,3,IF(O795&gt;=28,2,1)))))</f>
        <v/>
      </c>
      <c r="Q795" t="n">
        <v>6526</v>
      </c>
      <c r="R795" t="n">
        <v>2000</v>
      </c>
      <c r="S795" s="27">
        <f>R795/Q795</f>
        <v/>
      </c>
      <c r="T795" t="inlineStr">
        <is>
          <t>越前市は2045年までに人口が約18.5%減と明確な減少トレンド。高齢化の進行と世帯数の縮小により、中長期では賃貸需要の構造的縮小に警戒が必要。</t>
        </is>
      </c>
      <c r="U795" t="inlineStr">
        <is>
          <t>越前市は人口密度344人/km²と低密度で、賃貸需要は限定的。持ち家比率が高く、駐車場完備の戸建て賃貸が有利。 借家の空室率は約31%と供給過多気味で、空室長期化リスクに要警戒。</t>
        </is>
      </c>
      <c r="V795" t="inlineStr">
        <is>
          <t>越前市（福井県）：九頭竜川水系の洪水、日本海沿岸の津波、豪雪、嶺南の原子力災害想定区域に注意。</t>
        </is>
      </c>
    </row>
    <row r="796">
      <c r="A796" t="inlineStr">
        <is>
          <t>福井県</t>
        </is>
      </c>
      <c r="B796" t="inlineStr">
        <is>
          <t>坂井市</t>
        </is>
      </c>
      <c r="C796" t="n">
        <v>31280</v>
      </c>
      <c r="D796" t="n">
        <v>85679</v>
      </c>
      <c r="E796" s="6" t="n">
        <v>404.4</v>
      </c>
      <c r="F796" s="7" t="n">
        <v>40.2</v>
      </c>
      <c r="G796" t="n">
        <v>88481</v>
      </c>
      <c r="H796" t="n">
        <v>85679</v>
      </c>
      <c r="I796" t="n">
        <v>82411</v>
      </c>
      <c r="J796" t="n">
        <v>71245</v>
      </c>
      <c r="K796" s="27">
        <f>(H796/D796-1)</f>
        <v/>
      </c>
      <c r="L796" s="27">
        <f>(I796/D796-1)</f>
        <v/>
      </c>
      <c r="M796" s="27">
        <f>(J796/D796-1)</f>
        <v/>
      </c>
      <c r="N796" t="n">
        <v>57.9</v>
      </c>
      <c r="O796" s="28">
        <f>(N796+F796)/2</f>
        <v/>
      </c>
      <c r="P796">
        <f>IF(O796="計算不能","計算不能",IF(O796&gt;=80,5,IF(O796&gt;=60,4,IF(O796&gt;=40,3,IF(O796&gt;=28,2,1)))))</f>
        <v/>
      </c>
      <c r="Q796" t="n">
        <v>7025</v>
      </c>
      <c r="R796" t="n">
        <v>1100</v>
      </c>
      <c r="S796" s="27">
        <f>R796/Q796</f>
        <v/>
      </c>
      <c r="T796" t="inlineStr">
        <is>
          <t>坂井市は2045年までに人口が約16.8%減と明確な減少トレンド。高齢化の進行と世帯数の縮小により、中長期では賃貸需要の構造的縮小に警戒が必要。</t>
        </is>
      </c>
      <c r="U796" t="inlineStr">
        <is>
          <t>坂井市は人口密度404人/km²と低密度で、賃貸需要は限定的。持ち家比率が高く、駐車場完備の戸建て賃貸が有利。 借家の空室率は約16%と需給は比較的引き締まっている。</t>
        </is>
      </c>
      <c r="V796" t="inlineStr">
        <is>
          <t>坂井市（福井県）：九頭竜川水系の洪水、日本海沿岸の津波、豪雪、嶺南の原子力災害想定区域に注意。</t>
        </is>
      </c>
    </row>
    <row r="797">
      <c r="A797" t="inlineStr">
        <is>
          <t>福井県</t>
        </is>
      </c>
      <c r="B797" t="inlineStr">
        <is>
          <t>永平寺町</t>
        </is>
      </c>
      <c r="C797" t="n">
        <v>6940</v>
      </c>
      <c r="D797" t="n">
        <v>18122</v>
      </c>
      <c r="E797" s="6" t="n">
        <v>190.5</v>
      </c>
      <c r="F797" s="7" t="n">
        <v>29.1</v>
      </c>
      <c r="G797" t="n">
        <v>18965</v>
      </c>
      <c r="H797" t="n">
        <v>18122</v>
      </c>
      <c r="I797" t="n">
        <v>17185</v>
      </c>
      <c r="J797" t="n">
        <v>14243</v>
      </c>
      <c r="K797" s="27">
        <f>(H797/D797-1)</f>
        <v/>
      </c>
      <c r="L797" s="27">
        <f>(I797/D797-1)</f>
        <v/>
      </c>
      <c r="M797" s="27">
        <f>(J797/D797-1)</f>
        <v/>
      </c>
      <c r="N797" t="n">
        <v>52.4</v>
      </c>
      <c r="O797" s="28">
        <f>(N797+F797)/2</f>
        <v/>
      </c>
      <c r="P797">
        <f>IF(O797="計算不能","計算不能",IF(O797&gt;=80,5,IF(O797&gt;=60,4,IF(O797&gt;=40,3,IF(O797&gt;=28,2,1)))))</f>
        <v/>
      </c>
      <c r="Q797" t="n">
        <v>1558</v>
      </c>
      <c r="R797" t="n">
        <v>240</v>
      </c>
      <c r="S797" s="27">
        <f>R797/Q797</f>
        <v/>
      </c>
      <c r="T797" t="inlineStr">
        <is>
          <t>永平寺町は2045年までに人口が約21.4%減と明確な減少トレンド。高齢化の進行と世帯数の縮小により、中長期では賃貸需要の構造的縮小に警戒が必要。</t>
        </is>
      </c>
      <c r="U797" t="inlineStr">
        <is>
          <t>永平寺町は人口密度190人/km²と過疎的水準で、民間賃貸の新規需要は薄い。実需に裏付けられた格安戸建ての指値取得のみが現実的。 借家の空室率は約15%と需給は比較的引き締まっている。</t>
        </is>
      </c>
      <c r="V797" t="inlineStr">
        <is>
          <t>永平寺町（福井県）：九頭竜川水系の洪水、日本海沿岸の津波、豪雪、嶺南の原子力災害想定区域に注意。</t>
        </is>
      </c>
    </row>
    <row r="798">
      <c r="A798" t="inlineStr">
        <is>
          <t>福井県</t>
        </is>
      </c>
      <c r="B798" t="inlineStr">
        <is>
          <t>池田町</t>
        </is>
      </c>
      <c r="C798" t="n">
        <v>8724</v>
      </c>
      <c r="D798" t="n">
        <v>2148</v>
      </c>
      <c r="E798" s="6" t="n">
        <v>555.7</v>
      </c>
      <c r="F798" s="7" t="n">
        <v>46.1</v>
      </c>
      <c r="G798" t="n">
        <v>2423</v>
      </c>
      <c r="H798" t="n">
        <v>2148</v>
      </c>
      <c r="I798" t="n">
        <v>1904</v>
      </c>
      <c r="J798" t="n">
        <v>1307</v>
      </c>
      <c r="K798" s="27">
        <f>(H798/D798-1)</f>
        <v/>
      </c>
      <c r="L798" s="27">
        <f>(I798/D798-1)</f>
        <v/>
      </c>
      <c r="M798" s="27">
        <f>(J798/D798-1)</f>
        <v/>
      </c>
      <c r="N798" t="n">
        <v>36.4</v>
      </c>
      <c r="O798" s="28">
        <f>(N798+F798)/2</f>
        <v/>
      </c>
      <c r="P798">
        <f>IF(O798="計算不能","計算不能",IF(O798&gt;=80,5,IF(O798&gt;=60,4,IF(O798&gt;=40,3,IF(O798&gt;=28,2,1)))))</f>
        <v/>
      </c>
      <c r="Q798" t="n">
        <v>1959</v>
      </c>
      <c r="R798" t="n">
        <v>0</v>
      </c>
      <c r="S798" s="27">
        <f>R798/Q798</f>
        <v/>
      </c>
      <c r="T798" t="inlineStr">
        <is>
          <t>池田町は2045年までに人口が約39.2%減と急激な過疎・超高齢化が進行。若年労働世代の流出と自然減が重なり、賃貸事業としての持続性は極めて限定的。</t>
        </is>
      </c>
      <c r="U798" t="inlineStr">
        <is>
          <t>池田町は人口密度556人/km²で、主要道路沿いや中心市街地に一定の賃貸需要が局在。立地選別が稼働を左右する。 借家の空室率は約0%と需給は比較的引き締まっている。</t>
        </is>
      </c>
      <c r="V798" t="inlineStr">
        <is>
          <t>池田町（福井県）：九頭竜川水系の洪水、日本海沿岸の津波、豪雪、嶺南の原子力災害想定区域に注意。</t>
        </is>
      </c>
    </row>
    <row r="799">
      <c r="A799" t="inlineStr">
        <is>
          <t>福井県</t>
        </is>
      </c>
      <c r="B799" t="inlineStr">
        <is>
          <t>南越前町</t>
        </is>
      </c>
      <c r="C799" t="n">
        <v>3335</v>
      </c>
      <c r="D799" t="n">
        <v>8899</v>
      </c>
      <c r="E799" s="6" t="n">
        <v>26</v>
      </c>
      <c r="F799" s="7" t="n">
        <v>12.6</v>
      </c>
      <c r="G799" t="n">
        <v>10002</v>
      </c>
      <c r="H799" t="n">
        <v>8899</v>
      </c>
      <c r="I799" t="n">
        <v>8118</v>
      </c>
      <c r="J799" t="n">
        <v>6005</v>
      </c>
      <c r="K799" s="27">
        <f>(H799/D799-1)</f>
        <v/>
      </c>
      <c r="L799" s="27">
        <f>(I799/D799-1)</f>
        <v/>
      </c>
      <c r="M799" s="27">
        <f>(J799/D799-1)</f>
        <v/>
      </c>
      <c r="N799" t="n">
        <v>39</v>
      </c>
      <c r="O799" s="28">
        <f>(N799+F799)/2</f>
        <v/>
      </c>
      <c r="P799">
        <f>IF(O799="計算不能","計算不能",IF(O799&gt;=80,5,IF(O799&gt;=60,4,IF(O799&gt;=40,3,IF(O799&gt;=28,2,1)))))</f>
        <v/>
      </c>
      <c r="Q799" t="n">
        <v>749</v>
      </c>
      <c r="R799" t="n">
        <v>0</v>
      </c>
      <c r="S799" s="27">
        <f>R799/Q799</f>
        <v/>
      </c>
      <c r="T799" t="inlineStr">
        <is>
          <t>南越前町は2045年までに人口が約32.5%減と急激な過疎・超高齢化が進行。若年労働世代の流出と自然減が重なり、賃貸事業としての持続性は極めて限定的。</t>
        </is>
      </c>
      <c r="U799" t="inlineStr">
        <is>
          <t>南越前町は人口密度26人/km²と過疎的水準で、民間賃貸の新規需要は薄い。実需に裏付けられた格安戸建ての指値取得のみが現実的。 借家の空室率は約0%と需給は比較的引き締まっている。</t>
        </is>
      </c>
      <c r="V799" t="inlineStr">
        <is>
          <t>南越前町（福井県）：九頭竜川水系の洪水、日本海沿岸の津波、豪雪、嶺南の原子力災害想定区域に注意。</t>
        </is>
      </c>
    </row>
    <row r="800">
      <c r="A800" t="inlineStr">
        <is>
          <t>福井県</t>
        </is>
      </c>
      <c r="B800" t="inlineStr">
        <is>
          <t>越前町</t>
        </is>
      </c>
      <c r="C800" t="n">
        <v>5850</v>
      </c>
      <c r="D800" t="n">
        <v>18625</v>
      </c>
      <c r="E800" s="6" t="n">
        <v>121.1</v>
      </c>
      <c r="F800" s="7" t="n">
        <v>22.1</v>
      </c>
      <c r="G800" t="n">
        <v>20118</v>
      </c>
      <c r="H800" t="n">
        <v>18625</v>
      </c>
      <c r="I800" t="n">
        <v>17227</v>
      </c>
      <c r="J800" t="n">
        <v>13131</v>
      </c>
      <c r="K800" s="27">
        <f>(H800/D800-1)</f>
        <v/>
      </c>
      <c r="L800" s="27">
        <f>(I800/D800-1)</f>
        <v/>
      </c>
      <c r="M800" s="27">
        <f>(J800/D800-1)</f>
        <v/>
      </c>
      <c r="N800" t="n">
        <v>43.3</v>
      </c>
      <c r="O800" s="28">
        <f>(N800+F800)/2</f>
        <v/>
      </c>
      <c r="P800">
        <f>IF(O800="計算不能","計算不能",IF(O800&gt;=80,5,IF(O800&gt;=60,4,IF(O800&gt;=40,3,IF(O800&gt;=28,2,1)))))</f>
        <v/>
      </c>
      <c r="Q800" t="n">
        <v>1313</v>
      </c>
      <c r="R800" t="n">
        <v>60</v>
      </c>
      <c r="S800" s="27">
        <f>R800/Q800</f>
        <v/>
      </c>
      <c r="T800" t="inlineStr">
        <is>
          <t>越前町は2045年までに人口が約29.5%減と明確な減少トレンド。高齢化の進行と世帯数の縮小により、中長期では賃貸需要の構造的縮小に警戒が必要。</t>
        </is>
      </c>
      <c r="U800" t="inlineStr">
        <is>
          <t>越前町は人口密度121人/km²と過疎的水準で、民間賃貸の新規需要は薄い。実需に裏付けられた格安戸建ての指値取得のみが現実的。 借家の空室率は約5%と需給は比較的引き締まっている。</t>
        </is>
      </c>
      <c r="V800" t="inlineStr">
        <is>
          <t>越前町（福井県）：九頭竜川水系の洪水、日本海沿岸の津波、豪雪、嶺南の原子力災害想定区域に注意。</t>
        </is>
      </c>
    </row>
    <row r="801">
      <c r="A801" t="inlineStr">
        <is>
          <t>福井県</t>
        </is>
      </c>
      <c r="B801" t="inlineStr">
        <is>
          <t>美浜町</t>
        </is>
      </c>
      <c r="C801" t="n">
        <v>3005</v>
      </c>
      <c r="D801" t="n">
        <v>8638</v>
      </c>
      <c r="E801" s="6" t="n">
        <v>473</v>
      </c>
      <c r="F801" s="7" t="n">
        <v>43.6</v>
      </c>
      <c r="G801" t="n">
        <v>9179</v>
      </c>
      <c r="H801" t="n">
        <v>8638</v>
      </c>
      <c r="I801" t="n">
        <v>8085</v>
      </c>
      <c r="J801" t="n">
        <v>6344</v>
      </c>
      <c r="K801" s="27">
        <f>(H801/D801-1)</f>
        <v/>
      </c>
      <c r="L801" s="27">
        <f>(I801/D801-1)</f>
        <v/>
      </c>
      <c r="M801" s="27">
        <f>(J801/D801-1)</f>
        <v/>
      </c>
      <c r="N801" t="n">
        <v>46.5</v>
      </c>
      <c r="O801" s="28">
        <f>(N801+F801)/2</f>
        <v/>
      </c>
      <c r="P801">
        <f>IF(O801="計算不能","計算不能",IF(O801&gt;=80,5,IF(O801&gt;=60,4,IF(O801&gt;=40,3,IF(O801&gt;=28,2,1)))))</f>
        <v/>
      </c>
      <c r="Q801" t="n">
        <v>674</v>
      </c>
      <c r="R801" t="n">
        <v>0</v>
      </c>
      <c r="S801" s="27">
        <f>R801/Q801</f>
        <v/>
      </c>
      <c r="T801" t="inlineStr">
        <is>
          <t>美浜町は2045年までに人口が約26.6%減と明確な減少トレンド。高齢化の進行と世帯数の縮小により、中長期では賃貸需要の構造的縮小に警戒が必要。</t>
        </is>
      </c>
      <c r="U801" t="inlineStr">
        <is>
          <t>美浜町は人口密度473人/km²と低密度で、賃貸需要は限定的。持ち家比率が高く、駐車場完備の戸建て賃貸が有利。 借家の空室率は約0%と需給は比較的引き締まっている。</t>
        </is>
      </c>
      <c r="V801" t="inlineStr">
        <is>
          <t>美浜町（福井県）：九頭竜川水系の洪水、日本海沿岸の津波、豪雪、嶺南の原子力災害想定区域に注意。</t>
        </is>
      </c>
    </row>
    <row r="802">
      <c r="A802" t="inlineStr">
        <is>
          <t>福井県</t>
        </is>
      </c>
      <c r="B802" t="inlineStr">
        <is>
          <t>高浜町</t>
        </is>
      </c>
      <c r="C802" t="n">
        <v>4292</v>
      </c>
      <c r="D802" t="n">
        <v>9607</v>
      </c>
      <c r="E802" s="6" t="n">
        <v>126.2</v>
      </c>
      <c r="F802" s="7" t="n">
        <v>22.6</v>
      </c>
      <c r="G802" t="n">
        <v>10326</v>
      </c>
      <c r="H802" t="n">
        <v>9607</v>
      </c>
      <c r="I802" t="n">
        <v>9051</v>
      </c>
      <c r="J802" t="n">
        <v>7356</v>
      </c>
      <c r="K802" s="27">
        <f>(H802/D802-1)</f>
        <v/>
      </c>
      <c r="L802" s="27">
        <f>(I802/D802-1)</f>
        <v/>
      </c>
      <c r="M802" s="27">
        <f>(J802/D802-1)</f>
        <v/>
      </c>
      <c r="N802" t="n">
        <v>46.4</v>
      </c>
      <c r="O802" s="28">
        <f>(N802+F802)/2</f>
        <v/>
      </c>
      <c r="P802">
        <f>IF(O802="計算不能","計算不能",IF(O802&gt;=80,5,IF(O802&gt;=60,4,IF(O802&gt;=40,3,IF(O802&gt;=28,2,1)))))</f>
        <v/>
      </c>
      <c r="Q802" t="n">
        <v>963</v>
      </c>
      <c r="R802" t="n">
        <v>0</v>
      </c>
      <c r="S802" s="27">
        <f>R802/Q802</f>
        <v/>
      </c>
      <c r="T802" t="inlineStr">
        <is>
          <t>高浜町は2045年までに人口が約23.4%減と明確な減少トレンド。高齢化の進行と世帯数の縮小により、中長期では賃貸需要の構造的縮小に警戒が必要。</t>
        </is>
      </c>
      <c r="U802" t="inlineStr">
        <is>
          <t>高浜町は人口密度126人/km²と過疎的水準で、民間賃貸の新規需要は薄い。実需に裏付けられた格安戸建ての指値取得のみが現実的。 借家の空室率は約0%と需給は比較的引き締まっている。</t>
        </is>
      </c>
      <c r="V802" t="inlineStr">
        <is>
          <t>高浜町（福井県）：九頭竜川水系の洪水、日本海沿岸の津波、豪雪、嶺南の原子力災害想定区域に注意。</t>
        </is>
      </c>
    </row>
    <row r="803">
      <c r="A803" t="inlineStr">
        <is>
          <t>福井県</t>
        </is>
      </c>
      <c r="B803" t="inlineStr">
        <is>
          <t>おおい町</t>
        </is>
      </c>
      <c r="C803" t="n">
        <v>3270</v>
      </c>
      <c r="D803" t="n">
        <v>7447</v>
      </c>
      <c r="E803" s="6" t="n">
        <v>34.3</v>
      </c>
      <c r="F803" s="7" t="n">
        <v>13.4</v>
      </c>
      <c r="G803" t="n">
        <v>7910</v>
      </c>
      <c r="H803" t="n">
        <v>7447</v>
      </c>
      <c r="I803" t="n">
        <v>6979</v>
      </c>
      <c r="J803" t="n">
        <v>5681</v>
      </c>
      <c r="K803" s="27">
        <f>(H803/D803-1)</f>
        <v/>
      </c>
      <c r="L803" s="27">
        <f>(I803/D803-1)</f>
        <v/>
      </c>
      <c r="M803" s="27">
        <f>(J803/D803-1)</f>
        <v/>
      </c>
      <c r="N803" t="n">
        <v>48</v>
      </c>
      <c r="O803" s="28">
        <f>(N803+F803)/2</f>
        <v/>
      </c>
      <c r="P803">
        <f>IF(O803="計算不能","計算不能",IF(O803&gt;=80,5,IF(O803&gt;=60,4,IF(O803&gt;=40,3,IF(O803&gt;=28,2,1)))))</f>
        <v/>
      </c>
      <c r="Q803" t="n">
        <v>734</v>
      </c>
      <c r="R803" t="n">
        <v>0</v>
      </c>
      <c r="S803" s="27">
        <f>R803/Q803</f>
        <v/>
      </c>
      <c r="T803" t="inlineStr">
        <is>
          <t>おおい町は2045年までに人口が約23.7%減と明確な減少トレンド。高齢化の進行と世帯数の縮小により、中長期では賃貸需要の構造的縮小に警戒が必要。</t>
        </is>
      </c>
      <c r="U803" t="inlineStr">
        <is>
          <t>おおい町は人口密度34人/km²と過疎的水準で、民間賃貸の新規需要は薄い。実需に裏付けられた格安戸建ての指値取得のみが現実的。 借家の空室率は約0%と需給は比較的引き締まっている。</t>
        </is>
      </c>
      <c r="V803" t="inlineStr">
        <is>
          <t>おおい町（福井県）：九頭竜川水系の洪水、日本海沿岸の津波、豪雪、嶺南の原子力災害想定区域に注意。</t>
        </is>
      </c>
    </row>
    <row r="804">
      <c r="A804" t="inlineStr">
        <is>
          <t>福井県</t>
        </is>
      </c>
      <c r="B804" t="inlineStr">
        <is>
          <t>若狭町</t>
        </is>
      </c>
      <c r="C804" t="n">
        <v>4937</v>
      </c>
      <c r="D804" t="n">
        <v>12471</v>
      </c>
      <c r="E804" s="6" t="n">
        <v>71.09999999999999</v>
      </c>
      <c r="F804" s="7" t="n">
        <v>17.1</v>
      </c>
      <c r="G804" t="n">
        <v>14003</v>
      </c>
      <c r="H804" t="n">
        <v>12471</v>
      </c>
      <c r="I804" t="n">
        <v>11425</v>
      </c>
      <c r="J804" t="n">
        <v>8627</v>
      </c>
      <c r="K804" s="27">
        <f>(H804/D804-1)</f>
        <v/>
      </c>
      <c r="L804" s="27">
        <f>(I804/D804-1)</f>
        <v/>
      </c>
      <c r="M804" s="27">
        <f>(J804/D804-1)</f>
        <v/>
      </c>
      <c r="N804" t="n">
        <v>39.6</v>
      </c>
      <c r="O804" s="28">
        <f>(N804+F804)/2</f>
        <v/>
      </c>
      <c r="P804">
        <f>IF(O804="計算不能","計算不能",IF(O804&gt;=80,5,IF(O804&gt;=60,4,IF(O804&gt;=40,3,IF(O804&gt;=28,2,1)))))</f>
        <v/>
      </c>
      <c r="Q804" t="n">
        <v>1108</v>
      </c>
      <c r="R804" t="n">
        <v>0</v>
      </c>
      <c r="S804" s="27">
        <f>R804/Q804</f>
        <v/>
      </c>
      <c r="T804" t="inlineStr">
        <is>
          <t>若狭町は2045年までに人口が約30.8%減と急激な過疎・超高齢化が進行。若年労働世代の流出と自然減が重なり、賃貸事業としての持続性は極めて限定的。</t>
        </is>
      </c>
      <c r="U804" t="inlineStr">
        <is>
          <t>若狭町は人口密度71人/km²と過疎的水準で、民間賃貸の新規需要は薄い。実需に裏付けられた格安戸建ての指値取得のみが現実的。 借家の空室率は約0%と需給は比較的引き締まっている。</t>
        </is>
      </c>
      <c r="V804" t="inlineStr">
        <is>
          <t>若狭町（福井県）：九頭竜川水系の洪水、日本海沿岸の津波、豪雪、嶺南の原子力災害想定区域に注意。</t>
        </is>
      </c>
    </row>
    <row r="805">
      <c r="A805" t="inlineStr">
        <is>
          <t>山梨県</t>
        </is>
      </c>
      <c r="B805" t="inlineStr">
        <is>
          <t>甲府市</t>
        </is>
      </c>
      <c r="C805" t="n">
        <v>86500</v>
      </c>
      <c r="D805" t="n">
        <v>185993</v>
      </c>
      <c r="E805" s="6" t="n">
        <v>864.3</v>
      </c>
      <c r="F805" s="7" t="n">
        <v>52.3</v>
      </c>
      <c r="G805" t="n">
        <v>189591</v>
      </c>
      <c r="H805" t="n">
        <v>185993</v>
      </c>
      <c r="I805" t="n">
        <v>180299</v>
      </c>
      <c r="J805" t="n">
        <v>164061</v>
      </c>
      <c r="K805" s="27">
        <f>(H805/D805-1)</f>
        <v/>
      </c>
      <c r="L805" s="27">
        <f>(I805/D805-1)</f>
        <v/>
      </c>
      <c r="M805" s="27">
        <f>(J805/D805-1)</f>
        <v/>
      </c>
      <c r="N805" t="n">
        <v>63.3</v>
      </c>
      <c r="O805" s="28">
        <f>(N805+F805)/2</f>
        <v/>
      </c>
      <c r="P805">
        <f>IF(O805="計算不能","計算不能",IF(O805&gt;=80,5,IF(O805&gt;=60,4,IF(O805&gt;=40,3,IF(O805&gt;=28,2,1)))))</f>
        <v/>
      </c>
      <c r="Q805" t="n">
        <v>22296</v>
      </c>
      <c r="R805" t="n">
        <v>10640</v>
      </c>
      <c r="S805" s="27">
        <f>R805/Q805</f>
        <v/>
      </c>
      <c r="T805" t="inlineStr">
        <is>
          <t>甲府市は2045年までに人口が約11.8%減と緩やかな減少局面。若年層の都市部流出と高齢化が進むが、当面の賃貸稼働は一定程度維持される見通し。</t>
        </is>
      </c>
      <c r="U805" t="inlineStr">
        <is>
          <t>甲府市は人口密度864人/km²で、主要道路沿いや中心市街地に一定の賃貸需要が局在。立地選別が稼働を左右する。 借家の空室率は約48%と供給過多気味で、空室長期化リスクに要警戒。</t>
        </is>
      </c>
      <c r="V805" t="inlineStr">
        <is>
          <t>甲府市（山梨県）：富士川・笛吹川の氾濫、富士山の火山リスク、急峻な山地の土砂災害に留意。</t>
        </is>
      </c>
    </row>
    <row r="806">
      <c r="A806" t="inlineStr">
        <is>
          <t>山梨県</t>
        </is>
      </c>
      <c r="B806" t="inlineStr">
        <is>
          <t>富士吉田市</t>
        </is>
      </c>
      <c r="C806" t="n">
        <v>18320</v>
      </c>
      <c r="D806" t="n">
        <v>44113</v>
      </c>
      <c r="E806" s="6" t="n">
        <v>358.5</v>
      </c>
      <c r="F806" s="7" t="n">
        <v>37.9</v>
      </c>
      <c r="G806" t="n">
        <v>46530</v>
      </c>
      <c r="H806" t="n">
        <v>44113</v>
      </c>
      <c r="I806" t="n">
        <v>41725</v>
      </c>
      <c r="J806" t="n">
        <v>34218</v>
      </c>
      <c r="K806" s="27">
        <f>(H806/D806-1)</f>
        <v/>
      </c>
      <c r="L806" s="27">
        <f>(I806/D806-1)</f>
        <v/>
      </c>
      <c r="M806" s="27">
        <f>(J806/D806-1)</f>
        <v/>
      </c>
      <c r="N806" t="n">
        <v>50.4</v>
      </c>
      <c r="O806" s="28">
        <f>(N806+F806)/2</f>
        <v/>
      </c>
      <c r="P806">
        <f>IF(O806="計算不能","計算不能",IF(O806&gt;=80,5,IF(O806&gt;=60,4,IF(O806&gt;=40,3,IF(O806&gt;=28,2,1)))))</f>
        <v/>
      </c>
      <c r="Q806" t="n">
        <v>4722</v>
      </c>
      <c r="R806" t="n">
        <v>1330</v>
      </c>
      <c r="S806" s="27">
        <f>R806/Q806</f>
        <v/>
      </c>
      <c r="T806" t="inlineStr">
        <is>
          <t>富士吉田市は2045年までに人口が約22.4%減と明確な減少トレンド。高齢化の進行と世帯数の縮小により、中長期では賃貸需要の構造的縮小に警戒が必要。</t>
        </is>
      </c>
      <c r="U806" t="inlineStr">
        <is>
          <t>富士吉田市は人口密度358人/km²と低密度で、賃貸需要は限定的。持ち家比率が高く、駐車場完備の戸建て賃貸が有利。 借家の空室率は約28%と供給過多気味で、空室長期化リスクに要警戒。</t>
        </is>
      </c>
      <c r="V806" t="inlineStr">
        <is>
          <t>富士吉田市（山梨県）：富士川・笛吹川の氾濫、富士山の火山リスク、急峻な山地の土砂災害に留意。</t>
        </is>
      </c>
    </row>
    <row r="807">
      <c r="A807" t="inlineStr">
        <is>
          <t>山梨県</t>
        </is>
      </c>
      <c r="B807" t="inlineStr">
        <is>
          <t>都留市</t>
        </is>
      </c>
      <c r="C807" t="n">
        <v>14180</v>
      </c>
      <c r="D807" t="n">
        <v>29369</v>
      </c>
      <c r="E807" s="6" t="n">
        <v>187.5</v>
      </c>
      <c r="F807" s="7" t="n">
        <v>28.8</v>
      </c>
      <c r="G807" t="n">
        <v>31016</v>
      </c>
      <c r="H807" t="n">
        <v>29369</v>
      </c>
      <c r="I807" t="n">
        <v>27332</v>
      </c>
      <c r="J807" t="n">
        <v>21680</v>
      </c>
      <c r="K807" s="27">
        <f>(H807/D807-1)</f>
        <v/>
      </c>
      <c r="L807" s="27">
        <f>(I807/D807-1)</f>
        <v/>
      </c>
      <c r="M807" s="27">
        <f>(J807/D807-1)</f>
        <v/>
      </c>
      <c r="N807" t="n">
        <v>47.4</v>
      </c>
      <c r="O807" s="28">
        <f>(N807+F807)/2</f>
        <v/>
      </c>
      <c r="P807">
        <f>IF(O807="計算不能","計算不能",IF(O807&gt;=80,5,IF(O807&gt;=60,4,IF(O807&gt;=40,3,IF(O807&gt;=28,2,1)))))</f>
        <v/>
      </c>
      <c r="Q807" t="n">
        <v>3654</v>
      </c>
      <c r="R807" t="n">
        <v>1370</v>
      </c>
      <c r="S807" s="27">
        <f>R807/Q807</f>
        <v/>
      </c>
      <c r="T807" t="inlineStr">
        <is>
          <t>都留市は2045年までに人口が約26.2%減と明確な減少トレンド。高齢化の進行と世帯数の縮小により、中長期では賃貸需要の構造的縮小に警戒が必要。</t>
        </is>
      </c>
      <c r="U807" t="inlineStr">
        <is>
          <t>都留市は人口密度188人/km²と過疎的水準で、民間賃貸の新規需要は薄い。実需に裏付けられた格安戸建ての指値取得のみが現実的。 借家の空室率は約37%と供給過多気味で、空室長期化リスクに要警戒。</t>
        </is>
      </c>
      <c r="V807" t="inlineStr">
        <is>
          <t>都留市（山梨県）：富士川・笛吹川の氾濫、富士山の火山リスク、急峻な山地の土砂災害に留意。</t>
        </is>
      </c>
    </row>
    <row r="808">
      <c r="A808" t="inlineStr">
        <is>
          <t>山梨県</t>
        </is>
      </c>
      <c r="B808" t="inlineStr">
        <is>
          <t>山梨市</t>
        </is>
      </c>
      <c r="C808" t="n">
        <v>13050</v>
      </c>
      <c r="D808" t="n">
        <v>31632</v>
      </c>
      <c r="E808" s="6" t="n">
        <v>108</v>
      </c>
      <c r="F808" s="7" t="n">
        <v>20.8</v>
      </c>
      <c r="G808" t="n">
        <v>33435</v>
      </c>
      <c r="H808" t="n">
        <v>31632</v>
      </c>
      <c r="I808" t="n">
        <v>29692</v>
      </c>
      <c r="J808" t="n">
        <v>23868</v>
      </c>
      <c r="K808" s="27">
        <f>(H808/D808-1)</f>
        <v/>
      </c>
      <c r="L808" s="27">
        <f>(I808/D808-1)</f>
        <v/>
      </c>
      <c r="M808" s="27">
        <f>(J808/D808-1)</f>
        <v/>
      </c>
      <c r="N808" t="n">
        <v>48.5</v>
      </c>
      <c r="O808" s="28">
        <f>(N808+F808)/2</f>
        <v/>
      </c>
      <c r="P808">
        <f>IF(O808="計算不能","計算不能",IF(O808&gt;=80,5,IF(O808&gt;=60,4,IF(O808&gt;=40,3,IF(O808&gt;=28,2,1)))))</f>
        <v/>
      </c>
      <c r="Q808" t="n">
        <v>3363</v>
      </c>
      <c r="R808" t="n">
        <v>790</v>
      </c>
      <c r="S808" s="27">
        <f>R808/Q808</f>
        <v/>
      </c>
      <c r="T808" t="inlineStr">
        <is>
          <t>山梨市は2045年までに人口が約24.5%減と明確な減少トレンド。高齢化の進行と世帯数の縮小により、中長期では賃貸需要の構造的縮小に警戒が必要。</t>
        </is>
      </c>
      <c r="U808" t="inlineStr">
        <is>
          <t>山梨市は人口密度108人/km²と過疎的水準で、民間賃貸の新規需要は薄い。実需に裏付けられた格安戸建ての指値取得のみが現実的。 借家の空室率は約23%とやや高めで、競合との差別化が必要。</t>
        </is>
      </c>
      <c r="V808" t="inlineStr">
        <is>
          <t>山梨市（山梨県）：富士川・笛吹川の氾濫、富士山の火山リスク、急峻な山地の土砂災害に留意。</t>
        </is>
      </c>
    </row>
    <row r="809">
      <c r="A809" t="inlineStr">
        <is>
          <t>山梨県</t>
        </is>
      </c>
      <c r="B809" t="inlineStr">
        <is>
          <t>大月市</t>
        </is>
      </c>
      <c r="C809" t="n">
        <v>9000</v>
      </c>
      <c r="D809" t="n">
        <v>20058</v>
      </c>
      <c r="E809" s="6" t="n">
        <v>71.5</v>
      </c>
      <c r="F809" s="7" t="n">
        <v>17.1</v>
      </c>
      <c r="G809" t="n">
        <v>22512</v>
      </c>
      <c r="H809" t="n">
        <v>20058</v>
      </c>
      <c r="I809" t="n">
        <v>17746</v>
      </c>
      <c r="J809" t="n">
        <v>11463</v>
      </c>
      <c r="K809" s="27">
        <f>(H809/D809-1)</f>
        <v/>
      </c>
      <c r="L809" s="27">
        <f>(I809/D809-1)</f>
        <v/>
      </c>
      <c r="M809" s="27">
        <f>(J809/D809-1)</f>
        <v/>
      </c>
      <c r="N809" t="n">
        <v>36</v>
      </c>
      <c r="O809" s="28">
        <f>(N809+F809)/2</f>
        <v/>
      </c>
      <c r="P809">
        <f>IF(O809="計算不能","計算不能",IF(O809&gt;=80,5,IF(O809&gt;=60,4,IF(O809&gt;=40,3,IF(O809&gt;=28,2,1)))))</f>
        <v/>
      </c>
      <c r="Q809" t="n">
        <v>2319</v>
      </c>
      <c r="R809" t="n">
        <v>600</v>
      </c>
      <c r="S809" s="27">
        <f>R809/Q809</f>
        <v/>
      </c>
      <c r="T809" t="inlineStr">
        <is>
          <t>大月市は2045年までに人口が約42.9%減と急激な過疎・超高齢化が進行。若年労働世代の流出と自然減が重なり、賃貸事業としての持続性は極めて限定的。</t>
        </is>
      </c>
      <c r="U809" t="inlineStr">
        <is>
          <t>大月市は人口密度72人/km²と過疎的水準で、民間賃貸の新規需要は薄い。実需に裏付けられた格安戸建ての指値取得のみが現実的。 借家の空室率は約26%と供給過多気味で、空室長期化リスクに要警戒。</t>
        </is>
      </c>
      <c r="V809" t="inlineStr">
        <is>
          <t>大月市（山梨県）：富士川・笛吹川の氾濫、富士山の火山リスク、急峻な山地の土砂災害に留意。</t>
        </is>
      </c>
    </row>
    <row r="810">
      <c r="A810" t="inlineStr">
        <is>
          <t>山梨県</t>
        </is>
      </c>
      <c r="B810" t="inlineStr">
        <is>
          <t>韮崎市</t>
        </is>
      </c>
      <c r="C810" t="n">
        <v>11810</v>
      </c>
      <c r="D810" t="n">
        <v>27503</v>
      </c>
      <c r="E810" s="6" t="n">
        <v>193.3</v>
      </c>
      <c r="F810" s="7" t="n">
        <v>29.3</v>
      </c>
      <c r="G810" t="n">
        <v>29067</v>
      </c>
      <c r="H810" t="n">
        <v>27503</v>
      </c>
      <c r="I810" t="n">
        <v>25892</v>
      </c>
      <c r="J810" t="n">
        <v>20858</v>
      </c>
      <c r="K810" s="27">
        <f>(H810/D810-1)</f>
        <v/>
      </c>
      <c r="L810" s="27">
        <f>(I810/D810-1)</f>
        <v/>
      </c>
      <c r="M810" s="27">
        <f>(J810/D810-1)</f>
        <v/>
      </c>
      <c r="N810" t="n">
        <v>48.9</v>
      </c>
      <c r="O810" s="28">
        <f>(N810+F810)/2</f>
        <v/>
      </c>
      <c r="P810">
        <f>IF(O810="計算不能","計算不能",IF(O810&gt;=80,5,IF(O810&gt;=60,4,IF(O810&gt;=40,3,IF(O810&gt;=28,2,1)))))</f>
        <v/>
      </c>
      <c r="Q810" t="n">
        <v>3044</v>
      </c>
      <c r="R810" t="n">
        <v>1130</v>
      </c>
      <c r="S810" s="27">
        <f>R810/Q810</f>
        <v/>
      </c>
      <c r="T810" t="inlineStr">
        <is>
          <t>韮崎市は2045年までに人口が約24.2%減と明確な減少トレンド。高齢化の進行と世帯数の縮小により、中長期では賃貸需要の構造的縮小に警戒が必要。</t>
        </is>
      </c>
      <c r="U810" t="inlineStr">
        <is>
          <t>韮崎市は人口密度193人/km²と過疎的水準で、民間賃貸の新規需要は薄い。実需に裏付けられた格安戸建ての指値取得のみが現実的。 借家の空室率は約37%と供給過多気味で、空室長期化リスクに要警戒。</t>
        </is>
      </c>
      <c r="V810" t="inlineStr">
        <is>
          <t>韮崎市（山梨県）：富士川・笛吹川の氾濫、富士山の火山リスク、急峻な山地の土砂災害に留意。</t>
        </is>
      </c>
    </row>
    <row r="811">
      <c r="A811" t="inlineStr">
        <is>
          <t>山梨県</t>
        </is>
      </c>
      <c r="B811" t="inlineStr">
        <is>
          <t>南アルプス市</t>
        </is>
      </c>
      <c r="C811" t="n">
        <v>26540</v>
      </c>
      <c r="D811" t="n">
        <v>67993</v>
      </c>
      <c r="E811" s="6" t="n">
        <v>262.2</v>
      </c>
      <c r="F811" s="7" t="n">
        <v>33.1</v>
      </c>
      <c r="G811" t="n">
        <v>69459</v>
      </c>
      <c r="H811" t="n">
        <v>67993</v>
      </c>
      <c r="I811" t="n">
        <v>66055</v>
      </c>
      <c r="J811" t="n">
        <v>58992</v>
      </c>
      <c r="K811" s="27">
        <f>(H811/D811-1)</f>
        <v/>
      </c>
      <c r="L811" s="27">
        <f>(I811/D811-1)</f>
        <v/>
      </c>
      <c r="M811" s="27">
        <f>(J811/D811-1)</f>
        <v/>
      </c>
      <c r="N811" t="n">
        <v>62.3</v>
      </c>
      <c r="O811" s="28">
        <f>(N811+F811)/2</f>
        <v/>
      </c>
      <c r="P811">
        <f>IF(O811="計算不能","計算不能",IF(O811&gt;=80,5,IF(O811&gt;=60,4,IF(O811&gt;=40,3,IF(O811&gt;=28,2,1)))))</f>
        <v/>
      </c>
      <c r="Q811" t="n">
        <v>6840</v>
      </c>
      <c r="R811" t="n">
        <v>1710</v>
      </c>
      <c r="S811" s="27">
        <f>R811/Q811</f>
        <v/>
      </c>
      <c r="T811" t="inlineStr">
        <is>
          <t>南アルプス市は2045年までに人口が約13.2%減と緩やかな減少局面。若年層の都市部流出と高齢化が進むが、当面の賃貸稼働は一定程度維持される見通し。</t>
        </is>
      </c>
      <c r="U811" t="inlineStr">
        <is>
          <t>南アルプス市は人口密度262人/km²と低密度で、賃貸需要は限定的。持ち家比率が高く、駐車場完備の戸建て賃貸が有利。 借家の空室率は約25%と供給過多気味で、空室長期化リスクに要警戒。</t>
        </is>
      </c>
      <c r="V811" t="inlineStr">
        <is>
          <t>南アルプス市（山梨県）：富士川・笛吹川の氾濫、富士山の火山リスク、急峻な山地の土砂災害に留意。</t>
        </is>
      </c>
    </row>
    <row r="812">
      <c r="A812" t="inlineStr">
        <is>
          <t>山梨県</t>
        </is>
      </c>
      <c r="B812" t="inlineStr">
        <is>
          <t>北杜市</t>
        </is>
      </c>
      <c r="C812" t="n">
        <v>19330</v>
      </c>
      <c r="D812" t="n">
        <v>42674</v>
      </c>
      <c r="E812" s="6" t="n">
        <v>69.40000000000001</v>
      </c>
      <c r="F812" s="7" t="n">
        <v>16.9</v>
      </c>
      <c r="G812" t="n">
        <v>44053</v>
      </c>
      <c r="H812" t="n">
        <v>42674</v>
      </c>
      <c r="I812" t="n">
        <v>40776</v>
      </c>
      <c r="J812" t="n">
        <v>34461</v>
      </c>
      <c r="K812" s="27">
        <f>(H812/D812-1)</f>
        <v/>
      </c>
      <c r="L812" s="27">
        <f>(I812/D812-1)</f>
        <v/>
      </c>
      <c r="M812" s="27">
        <f>(J812/D812-1)</f>
        <v/>
      </c>
      <c r="N812" t="n">
        <v>56.4</v>
      </c>
      <c r="O812" s="28">
        <f>(N812+F812)/2</f>
        <v/>
      </c>
      <c r="P812">
        <f>IF(O812="計算不能","計算不能",IF(O812&gt;=80,5,IF(O812&gt;=60,4,IF(O812&gt;=40,3,IF(O812&gt;=28,2,1)))))</f>
        <v/>
      </c>
      <c r="Q812" t="n">
        <v>4982</v>
      </c>
      <c r="R812" t="n">
        <v>650</v>
      </c>
      <c r="S812" s="27">
        <f>R812/Q812</f>
        <v/>
      </c>
      <c r="T812" t="inlineStr">
        <is>
          <t>北杜市は2045年までに人口が約19.2%減と明確な減少トレンド。高齢化の進行と世帯数の縮小により、中長期では賃貸需要の構造的縮小に警戒が必要。</t>
        </is>
      </c>
      <c r="U812" t="inlineStr">
        <is>
          <t>北杜市は人口密度69人/km²と過疎的水準で、民間賃貸の新規需要は薄い。実需に裏付けられた格安戸建ての指値取得のみが現実的。 借家の空室率は約13%と需給は比較的引き締まっている。</t>
        </is>
      </c>
      <c r="V812" t="inlineStr">
        <is>
          <t>北杜市（山梨県）：富士川・笛吹川の氾濫、富士山の火山リスク、急峻な山地の土砂災害に留意。</t>
        </is>
      </c>
    </row>
    <row r="813">
      <c r="A813" t="inlineStr">
        <is>
          <t>山梨県</t>
        </is>
      </c>
      <c r="B813" t="inlineStr">
        <is>
          <t>甲斐市</t>
        </is>
      </c>
      <c r="C813" t="n">
        <v>31200</v>
      </c>
      <c r="D813" t="n">
        <v>75080</v>
      </c>
      <c r="E813" s="6" t="n">
        <v>1050</v>
      </c>
      <c r="F813" s="7" t="n">
        <v>56</v>
      </c>
      <c r="G813" t="n">
        <v>75313</v>
      </c>
      <c r="H813" t="n">
        <v>75080</v>
      </c>
      <c r="I813" t="n">
        <v>73758</v>
      </c>
      <c r="J813" t="n">
        <v>67921</v>
      </c>
      <c r="K813" s="27">
        <f>(H813/D813-1)</f>
        <v/>
      </c>
      <c r="L813" s="27">
        <f>(I813/D813-1)</f>
        <v/>
      </c>
      <c r="M813" s="27">
        <f>(J813/D813-1)</f>
        <v/>
      </c>
      <c r="N813" t="n">
        <v>68.40000000000001</v>
      </c>
      <c r="O813" s="28">
        <f>(N813+F813)/2</f>
        <v/>
      </c>
      <c r="P813">
        <f>IF(O813="計算不能","計算不能",IF(O813&gt;=80,5,IF(O813&gt;=60,4,IF(O813&gt;=40,3,IF(O813&gt;=28,2,1)))))</f>
        <v/>
      </c>
      <c r="Q813" t="n">
        <v>8042</v>
      </c>
      <c r="R813" t="n">
        <v>2790</v>
      </c>
      <c r="S813" s="27">
        <f>R813/Q813</f>
        <v/>
      </c>
      <c r="T813" t="inlineStr">
        <is>
          <t>甲斐市は2045年までに人口が約9.5%減と緩やかな減少局面。若年層の都市部流出と高齢化が進むが、当面の賃貸稼働は一定程度維持される見通し。</t>
        </is>
      </c>
      <c r="U813" t="inlineStr">
        <is>
          <t>甲斐市は人口密度1,050人/km²で、主要道路沿いや中心市街地に一定の賃貸需要が局在。立地選別が稼働を左右する。 借家の空室率は約35%と供給過多気味で、空室長期化リスクに要警戒。</t>
        </is>
      </c>
      <c r="V813" t="inlineStr">
        <is>
          <t>甲斐市（山梨県）：富士川・笛吹川の氾濫、富士山の火山リスク、急峻な山地の土砂災害に留意。</t>
        </is>
      </c>
    </row>
    <row r="814">
      <c r="A814" t="inlineStr">
        <is>
          <t>山梨県</t>
        </is>
      </c>
      <c r="B814" t="inlineStr">
        <is>
          <t>笛吹市</t>
        </is>
      </c>
      <c r="C814" t="n">
        <v>27460</v>
      </c>
      <c r="D814" t="n">
        <v>64679</v>
      </c>
      <c r="E814" s="6" t="n">
        <v>318.3</v>
      </c>
      <c r="F814" s="7" t="n">
        <v>35.9</v>
      </c>
      <c r="G814" t="n">
        <v>66947</v>
      </c>
      <c r="H814" t="n">
        <v>64679</v>
      </c>
      <c r="I814" t="n">
        <v>62369</v>
      </c>
      <c r="J814" t="n">
        <v>54275</v>
      </c>
      <c r="K814" s="27">
        <f>(H814/D814-1)</f>
        <v/>
      </c>
      <c r="L814" s="27">
        <f>(I814/D814-1)</f>
        <v/>
      </c>
      <c r="M814" s="27">
        <f>(J814/D814-1)</f>
        <v/>
      </c>
      <c r="N814" t="n">
        <v>58</v>
      </c>
      <c r="O814" s="28">
        <f>(N814+F814)/2</f>
        <v/>
      </c>
      <c r="P814">
        <f>IF(O814="計算不能","計算不能",IF(O814&gt;=80,5,IF(O814&gt;=60,4,IF(O814&gt;=40,3,IF(O814&gt;=28,2,1)))))</f>
        <v/>
      </c>
      <c r="Q814" t="n">
        <v>7078</v>
      </c>
      <c r="R814" t="n">
        <v>2550</v>
      </c>
      <c r="S814" s="27">
        <f>R814/Q814</f>
        <v/>
      </c>
      <c r="T814" t="inlineStr">
        <is>
          <t>笛吹市は2045年までに人口が約16.1%減と明確な減少トレンド。高齢化の進行と世帯数の縮小により、中長期では賃貸需要の構造的縮小に警戒が必要。</t>
        </is>
      </c>
      <c r="U814" t="inlineStr">
        <is>
          <t>笛吹市は人口密度318人/km²と低密度で、賃貸需要は限定的。持ち家比率が高く、駐車場完備の戸建て賃貸が有利。 借家の空室率は約36%と供給過多気味で、空室長期化リスクに要警戒。</t>
        </is>
      </c>
      <c r="V814" t="inlineStr">
        <is>
          <t>笛吹市（山梨県）：富士川・笛吹川の氾濫、富士山の火山リスク、急峻な山地の土砂災害に留意。</t>
        </is>
      </c>
    </row>
    <row r="815">
      <c r="A815" t="inlineStr">
        <is>
          <t>山梨県</t>
        </is>
      </c>
      <c r="B815" t="inlineStr">
        <is>
          <t>上野原市</t>
        </is>
      </c>
      <c r="C815" t="n">
        <v>9480</v>
      </c>
      <c r="D815" t="n">
        <v>20848</v>
      </c>
      <c r="E815" s="6" t="n">
        <v>122.4</v>
      </c>
      <c r="F815" s="7" t="n">
        <v>22.2</v>
      </c>
      <c r="G815" t="n">
        <v>22669</v>
      </c>
      <c r="H815" t="n">
        <v>20848</v>
      </c>
      <c r="I815" t="n">
        <v>18959</v>
      </c>
      <c r="J815" t="n">
        <v>13414</v>
      </c>
      <c r="K815" s="27">
        <f>(H815/D815-1)</f>
        <v/>
      </c>
      <c r="L815" s="27">
        <f>(I815/D815-1)</f>
        <v/>
      </c>
      <c r="M815" s="27">
        <f>(J815/D815-1)</f>
        <v/>
      </c>
      <c r="N815" t="n">
        <v>40.9</v>
      </c>
      <c r="O815" s="28">
        <f>(N815+F815)/2</f>
        <v/>
      </c>
      <c r="P815">
        <f>IF(O815="計算不能","計算不能",IF(O815&gt;=80,5,IF(O815&gt;=60,4,IF(O815&gt;=40,3,IF(O815&gt;=28,2,1)))))</f>
        <v/>
      </c>
      <c r="Q815" t="n">
        <v>2443</v>
      </c>
      <c r="R815" t="n">
        <v>1050</v>
      </c>
      <c r="S815" s="27">
        <f>R815/Q815</f>
        <v/>
      </c>
      <c r="T815" t="inlineStr">
        <is>
          <t>上野原市は2045年までに人口が約35.7%減と急激な過疎・超高齢化が進行。若年労働世代の流出と自然減が重なり、賃貸事業としての持続性は極めて限定的。</t>
        </is>
      </c>
      <c r="U815" t="inlineStr">
        <is>
          <t>上野原市は人口密度122人/km²と過疎的水準で、民間賃貸の新規需要は薄い。実需に裏付けられた格安戸建ての指値取得のみが現実的。 借家の空室率は約43%と供給過多気味で、空室長期化リスクに要警戒。</t>
        </is>
      </c>
      <c r="V815" t="inlineStr">
        <is>
          <t>上野原市（山梨県）：富士川・笛吹川の氾濫、富士山の火山リスク、急峻な山地の土砂災害に留意。</t>
        </is>
      </c>
    </row>
    <row r="816">
      <c r="A816" t="inlineStr">
        <is>
          <t>山梨県</t>
        </is>
      </c>
      <c r="B816" t="inlineStr">
        <is>
          <t>甲州市</t>
        </is>
      </c>
      <c r="C816" t="n">
        <v>10870</v>
      </c>
      <c r="D816" t="n">
        <v>27020</v>
      </c>
      <c r="E816" s="6" t="n">
        <v>102.2</v>
      </c>
      <c r="F816" s="7" t="n">
        <v>20.2</v>
      </c>
      <c r="G816" t="n">
        <v>29237</v>
      </c>
      <c r="H816" t="n">
        <v>27020</v>
      </c>
      <c r="I816" t="n">
        <v>24860</v>
      </c>
      <c r="J816" t="n">
        <v>18763</v>
      </c>
      <c r="K816" s="27">
        <f>(H816/D816-1)</f>
        <v/>
      </c>
      <c r="L816" s="27">
        <f>(I816/D816-1)</f>
        <v/>
      </c>
      <c r="M816" s="27">
        <f>(J816/D816-1)</f>
        <v/>
      </c>
      <c r="N816" t="n">
        <v>42.8</v>
      </c>
      <c r="O816" s="28">
        <f>(N816+F816)/2</f>
        <v/>
      </c>
      <c r="P816">
        <f>IF(O816="計算不能","計算不能",IF(O816&gt;=80,5,IF(O816&gt;=60,4,IF(O816&gt;=40,3,IF(O816&gt;=28,2,1)))))</f>
        <v/>
      </c>
      <c r="Q816" t="n">
        <v>2801</v>
      </c>
      <c r="R816" t="n">
        <v>830</v>
      </c>
      <c r="S816" s="27">
        <f>R816/Q816</f>
        <v/>
      </c>
      <c r="T816" t="inlineStr">
        <is>
          <t>甲州市は2045年までに人口が約30.6%減と急激な過疎・超高齢化が進行。若年労働世代の流出と自然減が重なり、賃貸事業としての持続性は極めて限定的。</t>
        </is>
      </c>
      <c r="U816" t="inlineStr">
        <is>
          <t>甲州市は人口密度102人/km²と過疎的水準で、民間賃貸の新規需要は薄い。実需に裏付けられた格安戸建ての指値取得のみが現実的。 借家の空室率は約30%と供給過多気味で、空室長期化リスクに要警戒。</t>
        </is>
      </c>
      <c r="V816" t="inlineStr">
        <is>
          <t>甲州市（山梨県）：富士川・笛吹川の氾濫、富士山の火山リスク、急峻な山地の土砂災害に留意。</t>
        </is>
      </c>
    </row>
    <row r="817">
      <c r="A817" t="inlineStr">
        <is>
          <t>山梨県</t>
        </is>
      </c>
      <c r="B817" t="inlineStr">
        <is>
          <t>中央市</t>
        </is>
      </c>
      <c r="C817" t="n">
        <v>13530</v>
      </c>
      <c r="D817" t="n">
        <v>30750</v>
      </c>
      <c r="E817" s="6" t="n">
        <v>950.4</v>
      </c>
      <c r="F817" s="7" t="n">
        <v>54</v>
      </c>
      <c r="G817" t="n">
        <v>31216</v>
      </c>
      <c r="H817" t="n">
        <v>30750</v>
      </c>
      <c r="I817" t="n">
        <v>30090</v>
      </c>
      <c r="J817" t="n">
        <v>27041</v>
      </c>
      <c r="K817" s="27">
        <f>(H817/D817-1)</f>
        <v/>
      </c>
      <c r="L817" s="27">
        <f>(I817/D817-1)</f>
        <v/>
      </c>
      <c r="M817" s="27">
        <f>(J817/D817-1)</f>
        <v/>
      </c>
      <c r="N817" t="n">
        <v>64.59999999999999</v>
      </c>
      <c r="O817" s="28">
        <f>(N817+F817)/2</f>
        <v/>
      </c>
      <c r="P817">
        <f>IF(O817="計算不能","計算不能",IF(O817&gt;=80,5,IF(O817&gt;=60,4,IF(O817&gt;=40,3,IF(O817&gt;=28,2,1)))))</f>
        <v/>
      </c>
      <c r="Q817" t="n">
        <v>3487</v>
      </c>
      <c r="R817" t="n">
        <v>1400</v>
      </c>
      <c r="S817" s="27">
        <f>R817/Q817</f>
        <v/>
      </c>
      <c r="T817" t="inlineStr">
        <is>
          <t>中央市は2045年までに人口が約12.1%減と緩やかな減少局面。若年層の都市部流出と高齢化が進むが、当面の賃貸稼働は一定程度維持される見通し。</t>
        </is>
      </c>
      <c r="U817" t="inlineStr">
        <is>
          <t>中央市は人口密度950人/km²で、主要道路沿いや中心市街地に一定の賃貸需要が局在。立地選別が稼働を左右する。 借家の空室率は約40%と供給過多気味で、空室長期化リスクに要警戒。</t>
        </is>
      </c>
      <c r="V817" t="inlineStr">
        <is>
          <t>中央市（山梨県）：富士川・笛吹川の氾濫、富士山の火山リスク、急峻な山地の土砂災害に留意。</t>
        </is>
      </c>
    </row>
    <row r="818">
      <c r="A818" t="inlineStr">
        <is>
          <t>山梨県</t>
        </is>
      </c>
      <c r="B818" t="inlineStr">
        <is>
          <t>市川三郷町</t>
        </is>
      </c>
      <c r="C818" t="n">
        <v>6567</v>
      </c>
      <c r="D818" t="n">
        <v>13690</v>
      </c>
      <c r="E818" s="6" t="n">
        <v>177.8</v>
      </c>
      <c r="F818" s="7" t="n">
        <v>27.8</v>
      </c>
      <c r="G818" t="n">
        <v>14700</v>
      </c>
      <c r="H818" t="n">
        <v>13690</v>
      </c>
      <c r="I818" t="n">
        <v>12730</v>
      </c>
      <c r="J818" t="n">
        <v>9913</v>
      </c>
      <c r="K818" s="27">
        <f>(H818/D818-1)</f>
        <v/>
      </c>
      <c r="L818" s="27">
        <f>(I818/D818-1)</f>
        <v/>
      </c>
      <c r="M818" s="27">
        <f>(J818/D818-1)</f>
        <v/>
      </c>
      <c r="N818" t="n">
        <v>44.4</v>
      </c>
      <c r="O818" s="28">
        <f>(N818+F818)/2</f>
        <v/>
      </c>
      <c r="P818">
        <f>IF(O818="計算不能","計算不能",IF(O818&gt;=80,5,IF(O818&gt;=60,4,IF(O818&gt;=40,3,IF(O818&gt;=28,2,1)))))</f>
        <v/>
      </c>
      <c r="Q818" t="n">
        <v>1692</v>
      </c>
      <c r="R818" t="n">
        <v>0</v>
      </c>
      <c r="S818" s="27">
        <f>R818/Q818</f>
        <v/>
      </c>
      <c r="T818" t="inlineStr">
        <is>
          <t>市川三郷町は2045年までに人口が約27.6%減と明確な減少トレンド。高齢化の進行と世帯数の縮小により、中長期では賃貸需要の構造的縮小に警戒が必要。</t>
        </is>
      </c>
      <c r="U818" t="inlineStr">
        <is>
          <t>市川三郷町は人口密度178人/km²と過疎的水準で、民間賃貸の新規需要は薄い。実需に裏付けられた格安戸建ての指値取得のみが現実的。 借家の空室率は約0%と需給は比較的引き締まっている。</t>
        </is>
      </c>
      <c r="V818" t="inlineStr">
        <is>
          <t>市川三郷町（山梨県）：富士川・笛吹川の氾濫、富士山の火山リスク、急峻な山地の土砂災害に留意。</t>
        </is>
      </c>
    </row>
    <row r="819">
      <c r="A819" t="inlineStr">
        <is>
          <t>山梨県</t>
        </is>
      </c>
      <c r="B819" t="inlineStr">
        <is>
          <t>早川町</t>
        </is>
      </c>
      <c r="C819" t="n">
        <v>533</v>
      </c>
      <c r="D819" t="n">
        <v>932</v>
      </c>
      <c r="E819" s="6" t="n">
        <v>2.5</v>
      </c>
      <c r="F819" s="7" t="n">
        <v>10.2</v>
      </c>
      <c r="G819" t="n">
        <v>1098</v>
      </c>
      <c r="H819" t="n">
        <v>932</v>
      </c>
      <c r="I819" t="n">
        <v>819</v>
      </c>
      <c r="J819" t="n">
        <v>582</v>
      </c>
      <c r="K819" s="27">
        <f>(H819/D819-1)</f>
        <v/>
      </c>
      <c r="L819" s="27">
        <f>(I819/D819-1)</f>
        <v/>
      </c>
      <c r="M819" s="27">
        <f>(J819/D819-1)</f>
        <v/>
      </c>
      <c r="N819" t="n">
        <v>33.3</v>
      </c>
      <c r="O819" s="28">
        <f>(N819+F819)/2</f>
        <v/>
      </c>
      <c r="P819">
        <f>IF(O819="計算不能","計算不能",IF(O819&gt;=80,5,IF(O819&gt;=60,4,IF(O819&gt;=40,3,IF(O819&gt;=28,2,1)))))</f>
        <v/>
      </c>
      <c r="Q819" t="n">
        <v>137</v>
      </c>
      <c r="R819" t="n">
        <v>0</v>
      </c>
      <c r="S819" s="27">
        <f>R819/Q819</f>
        <v/>
      </c>
      <c r="T819" t="inlineStr">
        <is>
          <t>早川町は2045年までに人口が約37.6%減と急激な過疎・超高齢化が進行。若年労働世代の流出と自然減が重なり、賃貸事業としての持続性は極めて限定的。</t>
        </is>
      </c>
      <c r="U819" t="inlineStr">
        <is>
          <t>早川町は人口密度2人/km²と過疎的水準で、民間賃貸の新規需要は薄い。実需に裏付けられた格安戸建ての指値取得のみが現実的。 借家の空室率は約0%と需給は比較的引き締まっている。</t>
        </is>
      </c>
      <c r="V819" t="inlineStr">
        <is>
          <t>早川町（山梨県）：富士川・笛吹川の氾濫、富士山の火山リスク、急峻な山地の土砂災害に留意。</t>
        </is>
      </c>
    </row>
    <row r="820">
      <c r="A820" t="inlineStr">
        <is>
          <t>山梨県</t>
        </is>
      </c>
      <c r="B820" t="inlineStr">
        <is>
          <t>身延町</t>
        </is>
      </c>
      <c r="C820" t="n">
        <v>4949</v>
      </c>
      <c r="D820" t="n">
        <v>8926</v>
      </c>
      <c r="E820" s="6" t="n">
        <v>29.5</v>
      </c>
      <c r="F820" s="7" t="n">
        <v>12.9</v>
      </c>
      <c r="G820" t="n">
        <v>10663</v>
      </c>
      <c r="H820" t="n">
        <v>8926</v>
      </c>
      <c r="I820" t="n">
        <v>7672</v>
      </c>
      <c r="J820" t="n">
        <v>4599</v>
      </c>
      <c r="K820" s="27">
        <f>(H820/D820-1)</f>
        <v/>
      </c>
      <c r="L820" s="27">
        <f>(I820/D820-1)</f>
        <v/>
      </c>
      <c r="M820" s="27">
        <f>(J820/D820-1)</f>
        <v/>
      </c>
      <c r="N820" t="n">
        <v>29.7</v>
      </c>
      <c r="O820" s="28">
        <f>(N820+F820)/2</f>
        <v/>
      </c>
      <c r="P820">
        <f>IF(O820="計算不能","計算不能",IF(O820&gt;=80,5,IF(O820&gt;=60,4,IF(O820&gt;=40,3,IF(O820&gt;=28,2,1)))))</f>
        <v/>
      </c>
      <c r="Q820" t="n">
        <v>1275</v>
      </c>
      <c r="R820" t="n">
        <v>0</v>
      </c>
      <c r="S820" s="27">
        <f>R820/Q820</f>
        <v/>
      </c>
      <c r="T820" t="inlineStr">
        <is>
          <t>身延町は2045年までに人口が約48.5%減と急激な過疎・超高齢化が進行。若年労働世代の流出と自然減が重なり、賃貸事業としての持続性は極めて限定的。</t>
        </is>
      </c>
      <c r="U820" t="inlineStr">
        <is>
          <t>身延町は人口密度30人/km²と過疎的水準で、民間賃貸の新規需要は薄い。実需に裏付けられた格安戸建ての指値取得のみが現実的。 借家の空室率は約0%と需給は比較的引き締まっている。</t>
        </is>
      </c>
      <c r="V820" t="inlineStr">
        <is>
          <t>身延町（山梨県）：富士川・笛吹川の氾濫、富士山の火山リスク、急峻な山地の土砂災害に留意。</t>
        </is>
      </c>
    </row>
    <row r="821">
      <c r="A821" t="inlineStr">
        <is>
          <t>山梨県</t>
        </is>
      </c>
      <c r="B821" t="inlineStr">
        <is>
          <t>南部町</t>
        </is>
      </c>
      <c r="C821" t="n">
        <v>3903</v>
      </c>
      <c r="D821" t="n">
        <v>6310</v>
      </c>
      <c r="E821" s="6" t="n">
        <v>83.7</v>
      </c>
      <c r="F821" s="7" t="n">
        <v>18.4</v>
      </c>
      <c r="G821" t="n">
        <v>7156</v>
      </c>
      <c r="H821" t="n">
        <v>6310</v>
      </c>
      <c r="I821" t="n">
        <v>5554</v>
      </c>
      <c r="J821" t="n">
        <v>3519</v>
      </c>
      <c r="K821" s="27">
        <f>(H821/D821-1)</f>
        <v/>
      </c>
      <c r="L821" s="27">
        <f>(I821/D821-1)</f>
        <v/>
      </c>
      <c r="M821" s="27">
        <f>(J821/D821-1)</f>
        <v/>
      </c>
      <c r="N821" t="n">
        <v>34.7</v>
      </c>
      <c r="O821" s="28">
        <f>(N821+F821)/2</f>
        <v/>
      </c>
      <c r="P821">
        <f>IF(O821="計算不能","計算不能",IF(O821&gt;=80,5,IF(O821&gt;=60,4,IF(O821&gt;=40,3,IF(O821&gt;=28,2,1)))))</f>
        <v/>
      </c>
      <c r="Q821" t="n">
        <v>1006</v>
      </c>
      <c r="R821" t="n">
        <v>0</v>
      </c>
      <c r="S821" s="27">
        <f>R821/Q821</f>
        <v/>
      </c>
      <c r="T821" t="inlineStr">
        <is>
          <t>南部町は2045年までに人口が約44.2%減と急激な過疎・超高齢化が進行。若年労働世代の流出と自然減が重なり、賃貸事業としての持続性は極めて限定的。</t>
        </is>
      </c>
      <c r="U821" t="inlineStr">
        <is>
          <t>南部町は人口密度84人/km²と過疎的水準で、民間賃貸の新規需要は薄い。実需に裏付けられた格安戸建ての指値取得のみが現実的。 借家の空室率は約0%と需給は比較的引き締まっている。</t>
        </is>
      </c>
      <c r="V821" t="inlineStr">
        <is>
          <t>南部町（山梨県）：富士川・笛吹川の氾濫、富士山の火山リスク、急峻な山地の土砂災害に留意。</t>
        </is>
      </c>
    </row>
    <row r="822">
      <c r="A822" t="inlineStr">
        <is>
          <t>山梨県</t>
        </is>
      </c>
      <c r="B822" t="inlineStr">
        <is>
          <t>富士川町</t>
        </is>
      </c>
      <c r="C822" t="n">
        <v>6288</v>
      </c>
      <c r="D822" t="n">
        <v>13250</v>
      </c>
      <c r="E822" s="6" t="n">
        <v>117.7</v>
      </c>
      <c r="F822" s="7" t="n">
        <v>21.8</v>
      </c>
      <c r="G822" t="n">
        <v>14219</v>
      </c>
      <c r="H822" t="n">
        <v>13250</v>
      </c>
      <c r="I822" t="n">
        <v>12290</v>
      </c>
      <c r="J822" t="n">
        <v>9511</v>
      </c>
      <c r="K822" s="27">
        <f>(H822/D822-1)</f>
        <v/>
      </c>
      <c r="L822" s="27">
        <f>(I822/D822-1)</f>
        <v/>
      </c>
      <c r="M822" s="27">
        <f>(J822/D822-1)</f>
        <v/>
      </c>
      <c r="N822" t="n">
        <v>44.2</v>
      </c>
      <c r="O822" s="28">
        <f>(N822+F822)/2</f>
        <v/>
      </c>
      <c r="P822">
        <f>IF(O822="計算不能","計算不能",IF(O822&gt;=80,5,IF(O822&gt;=60,4,IF(O822&gt;=40,3,IF(O822&gt;=28,2,1)))))</f>
        <v/>
      </c>
      <c r="Q822" t="n">
        <v>1620</v>
      </c>
      <c r="R822" t="n">
        <v>0</v>
      </c>
      <c r="S822" s="27">
        <f>R822/Q822</f>
        <v/>
      </c>
      <c r="T822" t="inlineStr">
        <is>
          <t>富士川町は2045年までに人口が約28.2%減と明確な減少トレンド。高齢化の進行と世帯数の縮小により、中長期では賃貸需要の構造的縮小に警戒が必要。</t>
        </is>
      </c>
      <c r="U822" t="inlineStr">
        <is>
          <t>富士川町は人口密度118人/km²と過疎的水準で、民間賃貸の新規需要は薄い。実需に裏付けられた格安戸建ての指値取得のみが現実的。 借家の空室率は約0%と需給は比較的引き締まっている。</t>
        </is>
      </c>
      <c r="V822" t="inlineStr">
        <is>
          <t>富士川町（山梨県）：富士川・笛吹川の氾濫、富士山の火山リスク、急峻な山地の土砂災害に留意。</t>
        </is>
      </c>
    </row>
    <row r="823">
      <c r="A823" t="inlineStr">
        <is>
          <t>山梨県</t>
        </is>
      </c>
      <c r="B823" t="inlineStr">
        <is>
          <t>昭和町</t>
        </is>
      </c>
      <c r="C823" t="n">
        <v>9750</v>
      </c>
      <c r="D823" t="n">
        <v>21593</v>
      </c>
      <c r="E823" s="6" t="n">
        <v>2400.8</v>
      </c>
      <c r="F823" s="7" t="n">
        <v>74</v>
      </c>
      <c r="G823" t="n">
        <v>20909</v>
      </c>
      <c r="H823" t="n">
        <v>21593</v>
      </c>
      <c r="I823" t="n">
        <v>22046</v>
      </c>
      <c r="J823" t="n">
        <v>22320</v>
      </c>
      <c r="K823" s="27">
        <f>(H823/D823-1)</f>
        <v/>
      </c>
      <c r="L823" s="27">
        <f>(I823/D823-1)</f>
        <v/>
      </c>
      <c r="M823" s="27">
        <f>(J823/D823-1)</f>
        <v/>
      </c>
      <c r="N823" t="n">
        <v>84.8</v>
      </c>
      <c r="O823" s="28">
        <f>(N823+F823)/2</f>
        <v/>
      </c>
      <c r="P823">
        <f>IF(O823="計算不能","計算不能",IF(O823&gt;=80,5,IF(O823&gt;=60,4,IF(O823&gt;=40,3,IF(O823&gt;=28,2,1)))))</f>
        <v/>
      </c>
      <c r="Q823" t="n">
        <v>2513</v>
      </c>
      <c r="R823" t="n">
        <v>1980</v>
      </c>
      <c r="S823" s="27">
        <f>R823/Q823</f>
        <v/>
      </c>
      <c r="T823" t="inlineStr">
        <is>
          <t>昭和町は2025年から2045年にかけて人口が約3.4%増と全国的にも希少な人口増トレンド。都市機能の集積と職住近接需要を背景に、単身・若年ファミリー層の流入が継続し、賃貸母数の拡大が見込める。</t>
        </is>
      </c>
      <c r="U823" t="inlineStr">
        <is>
          <t>昭和町は人口密度2,401人/km²の都市部で、駅周辺や生活利便施設沿いに安定した賃貸需要がある。適切な家賃設定で高稼働を期待できる。 借家の空室率は約79%と供給過多気味で、空室長期化リスクに要警戒。</t>
        </is>
      </c>
      <c r="V823" t="inlineStr">
        <is>
          <t>昭和町（山梨県）：富士川・笛吹川の氾濫、富士山の火山リスク、急峻な山地の土砂災害に留意。</t>
        </is>
      </c>
    </row>
    <row r="824">
      <c r="A824" t="inlineStr">
        <is>
          <t>山梨県</t>
        </is>
      </c>
      <c r="B824" t="inlineStr">
        <is>
          <t>道志村</t>
        </is>
      </c>
      <c r="C824" t="n">
        <v>622</v>
      </c>
      <c r="D824" t="n">
        <v>1481</v>
      </c>
      <c r="E824" s="6" t="n">
        <v>18.1</v>
      </c>
      <c r="F824" s="7" t="n">
        <v>11.8</v>
      </c>
      <c r="G824" t="n">
        <v>1607</v>
      </c>
      <c r="H824" t="n">
        <v>1481</v>
      </c>
      <c r="I824" t="n">
        <v>1357</v>
      </c>
      <c r="J824" t="n">
        <v>993</v>
      </c>
      <c r="K824" s="27">
        <f>(H824/D824-1)</f>
        <v/>
      </c>
      <c r="L824" s="27">
        <f>(I824/D824-1)</f>
        <v/>
      </c>
      <c r="M824" s="27">
        <f>(J824/D824-1)</f>
        <v/>
      </c>
      <c r="N824" t="n">
        <v>41.9</v>
      </c>
      <c r="O824" s="28">
        <f>(N824+F824)/2</f>
        <v/>
      </c>
      <c r="P824">
        <f>IF(O824="計算不能","計算不能",IF(O824&gt;=80,5,IF(O824&gt;=60,4,IF(O824&gt;=40,3,IF(O824&gt;=28,2,1)))))</f>
        <v/>
      </c>
      <c r="Q824" t="n">
        <v>160</v>
      </c>
      <c r="R824" t="n">
        <v>0</v>
      </c>
      <c r="S824" s="27">
        <f>R824/Q824</f>
        <v/>
      </c>
      <c r="T824" t="inlineStr">
        <is>
          <t>道志村は2045年までに人口が約33.0%減と急激な過疎・超高齢化が進行。若年労働世代の流出と自然減が重なり、賃貸事業としての持続性は極めて限定的。</t>
        </is>
      </c>
      <c r="U824" t="inlineStr">
        <is>
          <t>道志村は人口密度18人/km²と過疎的水準で、民間賃貸の新規需要は薄い。実需に裏付けられた格安戸建ての指値取得のみが現実的。 借家の空室率は約0%と需給は比較的引き締まっている。</t>
        </is>
      </c>
      <c r="V824" t="inlineStr">
        <is>
          <t>道志村（山梨県）：富士川・笛吹川の氾濫、富士山の火山リスク、急峻な山地の土砂災害に留意。</t>
        </is>
      </c>
    </row>
    <row r="825">
      <c r="A825" t="inlineStr">
        <is>
          <t>山梨県</t>
        </is>
      </c>
      <c r="B825" t="inlineStr">
        <is>
          <t>西桂町</t>
        </is>
      </c>
      <c r="C825" t="n">
        <v>1544</v>
      </c>
      <c r="D825" t="n">
        <v>3735</v>
      </c>
      <c r="E825" s="6" t="n">
        <v>237.1</v>
      </c>
      <c r="F825" s="7" t="n">
        <v>31.9</v>
      </c>
      <c r="G825" t="n">
        <v>4041</v>
      </c>
      <c r="H825" t="n">
        <v>3735</v>
      </c>
      <c r="I825" t="n">
        <v>3440</v>
      </c>
      <c r="J825" t="n">
        <v>2525</v>
      </c>
      <c r="K825" s="27">
        <f>(H825/D825-1)</f>
        <v/>
      </c>
      <c r="L825" s="27">
        <f>(I825/D825-1)</f>
        <v/>
      </c>
      <c r="M825" s="27">
        <f>(J825/D825-1)</f>
        <v/>
      </c>
      <c r="N825" t="n">
        <v>42.4</v>
      </c>
      <c r="O825" s="28">
        <f>(N825+F825)/2</f>
        <v/>
      </c>
      <c r="P825">
        <f>IF(O825="計算不能","計算不能",IF(O825&gt;=80,5,IF(O825&gt;=60,4,IF(O825&gt;=40,3,IF(O825&gt;=28,2,1)))))</f>
        <v/>
      </c>
      <c r="Q825" t="n">
        <v>397</v>
      </c>
      <c r="R825" t="n">
        <v>0</v>
      </c>
      <c r="S825" s="27">
        <f>R825/Q825</f>
        <v/>
      </c>
      <c r="T825" t="inlineStr">
        <is>
          <t>西桂町は2045年までに人口が約32.4%減と急激な過疎・超高齢化が進行。若年労働世代の流出と自然減が重なり、賃貸事業としての持続性は極めて限定的。</t>
        </is>
      </c>
      <c r="U825" t="inlineStr">
        <is>
          <t>西桂町は人口密度237人/km²と低密度で、賃貸需要は限定的。持ち家比率が高く、駐車場完備の戸建て賃貸が有利。 借家の空室率は約0%と需給は比較的引き締まっている。</t>
        </is>
      </c>
      <c r="V825" t="inlineStr">
        <is>
          <t>西桂町（山梨県）：富士川・笛吹川の氾濫、富士山の火山リスク、急峻な山地の土砂災害に留意。</t>
        </is>
      </c>
    </row>
    <row r="826">
      <c r="A826" t="inlineStr">
        <is>
          <t>山梨県</t>
        </is>
      </c>
      <c r="B826" t="inlineStr">
        <is>
          <t>忍野村</t>
        </is>
      </c>
      <c r="C826" t="n">
        <v>4232</v>
      </c>
      <c r="D826" t="n">
        <v>9348</v>
      </c>
      <c r="E826" s="6" t="n">
        <v>365.5</v>
      </c>
      <c r="F826" s="7" t="n">
        <v>38.3</v>
      </c>
      <c r="G826" t="n">
        <v>9237</v>
      </c>
      <c r="H826" t="n">
        <v>9348</v>
      </c>
      <c r="I826" t="n">
        <v>9362</v>
      </c>
      <c r="J826" t="n">
        <v>9207</v>
      </c>
      <c r="K826" s="27">
        <f>(H826/D826-1)</f>
        <v/>
      </c>
      <c r="L826" s="27">
        <f>(I826/D826-1)</f>
        <v/>
      </c>
      <c r="M826" s="27">
        <f>(J826/D826-1)</f>
        <v/>
      </c>
      <c r="N826" t="n">
        <v>76.7</v>
      </c>
      <c r="O826" s="28">
        <f>(N826+F826)/2</f>
        <v/>
      </c>
      <c r="P826">
        <f>IF(O826="計算不能","計算不能",IF(O826&gt;=80,5,IF(O826&gt;=60,4,IF(O826&gt;=40,3,IF(O826&gt;=28,2,1)))))</f>
        <v/>
      </c>
      <c r="Q826" t="n">
        <v>1090</v>
      </c>
      <c r="R826" t="n">
        <v>0</v>
      </c>
      <c r="S826" s="27">
        <f>R826/Q826</f>
        <v/>
      </c>
      <c r="T826" t="inlineStr">
        <is>
          <t>忍野村は2045年までの人口減少率が約1.5%と全国平均より緩やかで、概ね横ばいの安定推移。生産年齢人口の維持により、賃貸需要の急減リスクは相対的に低い。</t>
        </is>
      </c>
      <c r="U826" t="inlineStr">
        <is>
          <t>忍野村は人口密度366人/km²と低密度で、賃貸需要は限定的。持ち家比率が高く、駐車場完備の戸建て賃貸が有利。 借家の空室率は約0%と需給は比較的引き締まっている。</t>
        </is>
      </c>
      <c r="V826" t="inlineStr">
        <is>
          <t>忍野村（山梨県）：富士川・笛吹川の氾濫、富士山の火山リスク、急峻な山地の土砂災害に留意。</t>
        </is>
      </c>
    </row>
    <row r="827">
      <c r="A827" t="inlineStr">
        <is>
          <t>山梨県</t>
        </is>
      </c>
      <c r="B827" t="inlineStr">
        <is>
          <t>山中湖村</t>
        </is>
      </c>
      <c r="C827" t="n">
        <v>2666</v>
      </c>
      <c r="D827" t="n">
        <v>5045</v>
      </c>
      <c r="E827" s="6" t="n">
        <v>98.3</v>
      </c>
      <c r="F827" s="7" t="n">
        <v>19.8</v>
      </c>
      <c r="G827" t="n">
        <v>5179</v>
      </c>
      <c r="H827" t="n">
        <v>5045</v>
      </c>
      <c r="I827" t="n">
        <v>4878</v>
      </c>
      <c r="J827" t="n">
        <v>4258</v>
      </c>
      <c r="K827" s="27">
        <f>(H827/D827-1)</f>
        <v/>
      </c>
      <c r="L827" s="27">
        <f>(I827/D827-1)</f>
        <v/>
      </c>
      <c r="M827" s="27">
        <f>(J827/D827-1)</f>
        <v/>
      </c>
      <c r="N827" t="n">
        <v>60</v>
      </c>
      <c r="O827" s="28">
        <f>(N827+F827)/2</f>
        <v/>
      </c>
      <c r="P827">
        <f>IF(O827="計算不能","計算不能",IF(O827&gt;=80,5,IF(O827&gt;=60,4,IF(O827&gt;=40,3,IF(O827&gt;=28,2,1)))))</f>
        <v/>
      </c>
      <c r="Q827" t="n">
        <v>687</v>
      </c>
      <c r="R827" t="n">
        <v>0</v>
      </c>
      <c r="S827" s="27">
        <f>R827/Q827</f>
        <v/>
      </c>
      <c r="T827" t="inlineStr">
        <is>
          <t>山中湖村は2045年までに人口が約15.6%減と明確な減少トレンド。高齢化の進行と世帯数の縮小により、中長期では賃貸需要の構造的縮小に警戒が必要。</t>
        </is>
      </c>
      <c r="U827" t="inlineStr">
        <is>
          <t>山中湖村は人口密度98人/km²と過疎的水準で、民間賃貸の新規需要は薄い。実需に裏付けられた格安戸建ての指値取得のみが現実的。 借家の空室率は約0%と需給は比較的引き締まっている。</t>
        </is>
      </c>
      <c r="V827" t="inlineStr">
        <is>
          <t>山中湖村（山梨県）：富士川・笛吹川の氾濫、富士山の火山リスク、急峻な山地の土砂災害に留意。</t>
        </is>
      </c>
    </row>
    <row r="828">
      <c r="A828" t="inlineStr">
        <is>
          <t>山梨県</t>
        </is>
      </c>
      <c r="B828" t="inlineStr">
        <is>
          <t>鳴沢村</t>
        </is>
      </c>
      <c r="C828" t="n">
        <v>1360</v>
      </c>
      <c r="D828" t="n">
        <v>2739</v>
      </c>
      <c r="E828" s="6" t="n">
        <v>30.8</v>
      </c>
      <c r="F828" s="7" t="n">
        <v>13.1</v>
      </c>
      <c r="G828" t="n">
        <v>2824</v>
      </c>
      <c r="H828" t="n">
        <v>2739</v>
      </c>
      <c r="I828" t="n">
        <v>2665</v>
      </c>
      <c r="J828" t="n">
        <v>2333</v>
      </c>
      <c r="K828" s="27">
        <f>(H828/D828-1)</f>
        <v/>
      </c>
      <c r="L828" s="27">
        <f>(I828/D828-1)</f>
        <v/>
      </c>
      <c r="M828" s="27">
        <f>(J828/D828-1)</f>
        <v/>
      </c>
      <c r="N828" t="n">
        <v>60</v>
      </c>
      <c r="O828" s="28">
        <f>(N828+F828)/2</f>
        <v/>
      </c>
      <c r="P828">
        <f>IF(O828="計算不能","計算不能",IF(O828&gt;=80,5,IF(O828&gt;=60,4,IF(O828&gt;=40,3,IF(O828&gt;=28,2,1)))))</f>
        <v/>
      </c>
      <c r="Q828" t="n">
        <v>350</v>
      </c>
      <c r="R828" t="n">
        <v>0</v>
      </c>
      <c r="S828" s="27">
        <f>R828/Q828</f>
        <v/>
      </c>
      <c r="T828" t="inlineStr">
        <is>
          <t>鳴沢村は2045年までに人口が約14.8%減と緩やかな減少局面。若年層の都市部流出と高齢化が進むが、当面の賃貸稼働は一定程度維持される見通し。</t>
        </is>
      </c>
      <c r="U828" t="inlineStr">
        <is>
          <t>鳴沢村は人口密度31人/km²と過疎的水準で、民間賃貸の新規需要は薄い。実需に裏付けられた格安戸建ての指値取得のみが現実的。 借家の空室率は約0%と需給は比較的引き締まっている。</t>
        </is>
      </c>
      <c r="V828" t="inlineStr">
        <is>
          <t>鳴沢村（山梨県）：富士川・笛吹川の氾濫、富士山の火山リスク、急峻な山地の土砂災害に留意。</t>
        </is>
      </c>
    </row>
    <row r="829">
      <c r="A829" t="inlineStr">
        <is>
          <t>山梨県</t>
        </is>
      </c>
      <c r="B829" t="inlineStr">
        <is>
          <t>富士河口湖町</t>
        </is>
      </c>
      <c r="C829" t="n">
        <v>10980</v>
      </c>
      <c r="D829" t="n">
        <v>26424</v>
      </c>
      <c r="E829" s="6" t="n">
        <v>167.3</v>
      </c>
      <c r="F829" s="7" t="n">
        <v>26.7</v>
      </c>
      <c r="G829" t="n">
        <v>26082</v>
      </c>
      <c r="H829" t="n">
        <v>26424</v>
      </c>
      <c r="I829" t="n">
        <v>26104</v>
      </c>
      <c r="J829" t="n">
        <v>24772</v>
      </c>
      <c r="K829" s="27">
        <f>(H829/D829-1)</f>
        <v/>
      </c>
      <c r="L829" s="27">
        <f>(I829/D829-1)</f>
        <v/>
      </c>
      <c r="M829" s="27">
        <f>(J829/D829-1)</f>
        <v/>
      </c>
      <c r="N829" t="n">
        <v>73.59999999999999</v>
      </c>
      <c r="O829" s="28">
        <f>(N829+F829)/2</f>
        <v/>
      </c>
      <c r="P829">
        <f>IF(O829="計算不能","計算不能",IF(O829&gt;=80,5,IF(O829&gt;=60,4,IF(O829&gt;=40,3,IF(O829&gt;=28,2,1)))))</f>
        <v/>
      </c>
      <c r="Q829" t="n">
        <v>2830</v>
      </c>
      <c r="R829" t="n">
        <v>800</v>
      </c>
      <c r="S829" s="27">
        <f>R829/Q829</f>
        <v/>
      </c>
      <c r="T829" t="inlineStr">
        <is>
          <t>富士河口湖町は2045年までに人口が約6.3%減と緩やかな減少局面。若年層の都市部流出と高齢化が進むが、当面の賃貸稼働は一定程度維持される見通し。</t>
        </is>
      </c>
      <c r="U829" t="inlineStr">
        <is>
          <t>富士河口湖町は人口密度167人/km²と過疎的水準で、民間賃貸の新規需要は薄い。実需に裏付けられた格安戸建ての指値取得のみが現実的。 借家の空室率は約28%と供給過多気味で、空室長期化リスクに要警戒。</t>
        </is>
      </c>
      <c r="V829" t="inlineStr">
        <is>
          <t>富士河口湖町（山梨県）：富士川・笛吹川の氾濫、富士山の火山リスク、急峻な山地の土砂災害に留意。</t>
        </is>
      </c>
    </row>
    <row r="830">
      <c r="A830" t="inlineStr">
        <is>
          <t>山梨県</t>
        </is>
      </c>
      <c r="B830" t="inlineStr">
        <is>
          <t>小菅村</t>
        </is>
      </c>
      <c r="C830" t="n">
        <v>331</v>
      </c>
      <c r="D830" t="n">
        <v>588</v>
      </c>
      <c r="E830" s="6" t="n">
        <v>11.4</v>
      </c>
      <c r="F830" s="7" t="n">
        <v>11.1</v>
      </c>
      <c r="G830" t="n">
        <v>684</v>
      </c>
      <c r="H830" t="n">
        <v>588</v>
      </c>
      <c r="I830" t="n">
        <v>506</v>
      </c>
      <c r="J830" t="n">
        <v>362</v>
      </c>
      <c r="K830" s="27">
        <f>(H830/D830-1)</f>
        <v/>
      </c>
      <c r="L830" s="27">
        <f>(I830/D830-1)</f>
        <v/>
      </c>
      <c r="M830" s="27">
        <f>(J830/D830-1)</f>
        <v/>
      </c>
      <c r="N830" t="n">
        <v>33.5</v>
      </c>
      <c r="O830" s="28">
        <f>(N830+F830)/2</f>
        <v/>
      </c>
      <c r="P830">
        <f>IF(O830="計算不能","計算不能",IF(O830&gt;=80,5,IF(O830&gt;=60,4,IF(O830&gt;=40,3,IF(O830&gt;=28,2,1)))))</f>
        <v/>
      </c>
      <c r="Q830" t="n">
        <v>85</v>
      </c>
      <c r="R830" t="n">
        <v>0</v>
      </c>
      <c r="S830" s="27">
        <f>R830/Q830</f>
        <v/>
      </c>
      <c r="T830" t="inlineStr">
        <is>
          <t>小菅村は2045年までに人口が約38.4%減と急激な過疎・超高齢化が進行。若年労働世代の流出と自然減が重なり、賃貸事業としての持続性は極めて限定的。</t>
        </is>
      </c>
      <c r="U830" t="inlineStr">
        <is>
          <t>小菅村は人口密度11人/km²と過疎的水準で、民間賃貸の新規需要は薄い。実需に裏付けられた格安戸建ての指値取得のみが現実的。 借家の空室率は約0%と需給は比較的引き締まっている。</t>
        </is>
      </c>
      <c r="V830" t="inlineStr">
        <is>
          <t>小菅村（山梨県）：富士川・笛吹川の氾濫、富士山の火山リスク、急峻な山地の土砂災害に留意。</t>
        </is>
      </c>
    </row>
    <row r="831">
      <c r="A831" t="inlineStr">
        <is>
          <t>山梨県</t>
        </is>
      </c>
      <c r="B831" t="inlineStr">
        <is>
          <t>丹波山村</t>
        </is>
      </c>
      <c r="C831" t="n">
        <v>291</v>
      </c>
      <c r="D831" t="n">
        <v>465</v>
      </c>
      <c r="E831" s="6" t="n">
        <v>5.1</v>
      </c>
      <c r="F831" s="7" t="n">
        <v>10.5</v>
      </c>
      <c r="G831" t="n">
        <v>530</v>
      </c>
      <c r="H831" t="n">
        <v>465</v>
      </c>
      <c r="I831" t="n">
        <v>418</v>
      </c>
      <c r="J831" t="n">
        <v>344</v>
      </c>
      <c r="K831" s="27">
        <f>(H831/D831-1)</f>
        <v/>
      </c>
      <c r="L831" s="27">
        <f>(I831/D831-1)</f>
        <v/>
      </c>
      <c r="M831" s="27">
        <f>(J831/D831-1)</f>
        <v/>
      </c>
      <c r="N831" t="n">
        <v>38.9</v>
      </c>
      <c r="O831" s="28">
        <f>(N831+F831)/2</f>
        <v/>
      </c>
      <c r="P831">
        <f>IF(O831="計算不能","計算不能",IF(O831&gt;=80,5,IF(O831&gt;=60,4,IF(O831&gt;=40,3,IF(O831&gt;=28,2,1)))))</f>
        <v/>
      </c>
      <c r="Q831" t="n">
        <v>75</v>
      </c>
      <c r="R831" t="n">
        <v>0</v>
      </c>
      <c r="S831" s="27">
        <f>R831/Q831</f>
        <v/>
      </c>
      <c r="T831" t="inlineStr">
        <is>
          <t>丹波山村は2045年までに人口が約26.0%減と明確な減少トレンド。高齢化の進行と世帯数の縮小により、中長期では賃貸需要の構造的縮小に警戒が必要。</t>
        </is>
      </c>
      <c r="U831" t="inlineStr">
        <is>
          <t>丹波山村は人口密度5人/km²と過疎的水準で、民間賃貸の新規需要は薄い。実需に裏付けられた格安戸建ての指値取得のみが現実的。 借家の空室率は約0%と需給は比較的引き締まっている。</t>
        </is>
      </c>
      <c r="V831" t="inlineStr">
        <is>
          <t>丹波山村（山梨県）：富士川・笛吹川の氾濫、富士山の火山リスク、急峻な山地の土砂災害に留意。</t>
        </is>
      </c>
    </row>
    <row r="832">
      <c r="A832" t="inlineStr">
        <is>
          <t>長野県</t>
        </is>
      </c>
      <c r="B832" t="inlineStr">
        <is>
          <t>長野市</t>
        </is>
      </c>
      <c r="C832" t="n">
        <v>157480</v>
      </c>
      <c r="D832" t="n">
        <v>363086</v>
      </c>
      <c r="E832" s="6" t="n">
        <v>427.8</v>
      </c>
      <c r="F832" s="7" t="n">
        <v>41.4</v>
      </c>
      <c r="G832" t="n">
        <v>372760</v>
      </c>
      <c r="H832" t="n">
        <v>363086</v>
      </c>
      <c r="I832" t="n">
        <v>352346</v>
      </c>
      <c r="J832" t="n">
        <v>317061</v>
      </c>
      <c r="K832" s="27">
        <f>(H832/D832-1)</f>
        <v/>
      </c>
      <c r="L832" s="27">
        <f>(I832/D832-1)</f>
        <v/>
      </c>
      <c r="M832" s="27">
        <f>(J832/D832-1)</f>
        <v/>
      </c>
      <c r="N832" t="n">
        <v>61.6</v>
      </c>
      <c r="O832" s="28">
        <f>(N832+F832)/2</f>
        <v/>
      </c>
      <c r="P832">
        <f>IF(O832="計算不能","計算不能",IF(O832&gt;=80,5,IF(O832&gt;=60,4,IF(O832&gt;=40,3,IF(O832&gt;=28,2,1)))))</f>
        <v/>
      </c>
      <c r="Q832" t="n">
        <v>38836</v>
      </c>
      <c r="R832" t="n">
        <v>11340</v>
      </c>
      <c r="S832" s="27">
        <f>R832/Q832</f>
        <v/>
      </c>
      <c r="T832" t="inlineStr">
        <is>
          <t>長野市は2045年までに人口が約12.7%減と緩やかな減少局面。若年層の都市部流出と高齢化が進むが、当面の賃貸稼働は一定程度維持される見通し。</t>
        </is>
      </c>
      <c r="U832" t="inlineStr">
        <is>
          <t>長野市は人口密度428人/km²と低密度で、賃貸需要は限定的。持ち家比率が高く、駐車場完備の戸建て賃貸が有利。 借家の空室率は約29%と供給過多気味で、空室長期化リスクに要警戒。</t>
        </is>
      </c>
      <c r="V832" t="inlineStr">
        <is>
          <t>長野市（長野県）：千曲川・天竜川水系の氾濫、内陸の活断層地震、山間部の土砂災害・雪害に注意。</t>
        </is>
      </c>
    </row>
    <row r="833">
      <c r="A833" t="inlineStr">
        <is>
          <t>長野県</t>
        </is>
      </c>
      <c r="B833" t="inlineStr">
        <is>
          <t>松本市</t>
        </is>
      </c>
      <c r="C833" t="n">
        <v>105540</v>
      </c>
      <c r="D833" t="n">
        <v>236049</v>
      </c>
      <c r="E833" s="6" t="n">
        <v>237.5</v>
      </c>
      <c r="F833" s="7" t="n">
        <v>31.9</v>
      </c>
      <c r="G833" t="n">
        <v>241145</v>
      </c>
      <c r="H833" t="n">
        <v>236049</v>
      </c>
      <c r="I833" t="n">
        <v>230687</v>
      </c>
      <c r="J833" t="n">
        <v>213304</v>
      </c>
      <c r="K833" s="27">
        <f>(H833/D833-1)</f>
        <v/>
      </c>
      <c r="L833" s="27">
        <f>(I833/D833-1)</f>
        <v/>
      </c>
      <c r="M833" s="27">
        <f>(J833/D833-1)</f>
        <v/>
      </c>
      <c r="N833" t="n">
        <v>64.5</v>
      </c>
      <c r="O833" s="28">
        <f>(N833+F833)/2</f>
        <v/>
      </c>
      <c r="P833">
        <f>IF(O833="計算不能","計算不能",IF(O833&gt;=80,5,IF(O833&gt;=60,4,IF(O833&gt;=40,3,IF(O833&gt;=28,2,1)))))</f>
        <v/>
      </c>
      <c r="Q833" t="n">
        <v>26027</v>
      </c>
      <c r="R833" t="n">
        <v>8850</v>
      </c>
      <c r="S833" s="27">
        <f>R833/Q833</f>
        <v/>
      </c>
      <c r="T833" t="inlineStr">
        <is>
          <t>松本市は2045年までに人口が約9.6%減と緩やかな減少局面。若年層の都市部流出と高齢化が進むが、当面の賃貸稼働は一定程度維持される見通し。</t>
        </is>
      </c>
      <c r="U833" t="inlineStr">
        <is>
          <t>松本市は人口密度238人/km²と低密度で、賃貸需要は限定的。持ち家比率が高く、駐車場完備の戸建て賃貸が有利。 借家の空室率は約34%と供給過多気味で、空室長期化リスクに要警戒。</t>
        </is>
      </c>
      <c r="V833" t="inlineStr">
        <is>
          <t>松本市（長野県）：千曲川・天竜川水系の氾濫、内陸の活断層地震、山間部の土砂災害・雪害に注意。</t>
        </is>
      </c>
    </row>
    <row r="834">
      <c r="A834" t="inlineStr">
        <is>
          <t>長野県</t>
        </is>
      </c>
      <c r="B834" t="inlineStr">
        <is>
          <t>上田市</t>
        </is>
      </c>
      <c r="C834" t="n">
        <v>63870</v>
      </c>
      <c r="D834" t="n">
        <v>149188</v>
      </c>
      <c r="E834" s="6" t="n">
        <v>261.5</v>
      </c>
      <c r="F834" s="7" t="n">
        <v>33.1</v>
      </c>
      <c r="G834" t="n">
        <v>154055</v>
      </c>
      <c r="H834" t="n">
        <v>149188</v>
      </c>
      <c r="I834" t="n">
        <v>144037</v>
      </c>
      <c r="J834" t="n">
        <v>127104</v>
      </c>
      <c r="K834" s="27">
        <f>(H834/D834-1)</f>
        <v/>
      </c>
      <c r="L834" s="27">
        <f>(I834/D834-1)</f>
        <v/>
      </c>
      <c r="M834" s="27">
        <f>(J834/D834-1)</f>
        <v/>
      </c>
      <c r="N834" t="n">
        <v>59.2</v>
      </c>
      <c r="O834" s="28">
        <f>(N834+F834)/2</f>
        <v/>
      </c>
      <c r="P834">
        <f>IF(O834="計算不能","計算不能",IF(O834&gt;=80,5,IF(O834&gt;=60,4,IF(O834&gt;=40,3,IF(O834&gt;=28,2,1)))))</f>
        <v/>
      </c>
      <c r="Q834" t="n">
        <v>15751</v>
      </c>
      <c r="R834" t="n">
        <v>3440</v>
      </c>
      <c r="S834" s="27">
        <f>R834/Q834</f>
        <v/>
      </c>
      <c r="T834" t="inlineStr">
        <is>
          <t>上田市は2045年までに人口が約14.8%減と緩やかな減少局面。若年層の都市部流出と高齢化が進むが、当面の賃貸稼働は一定程度維持される見通し。</t>
        </is>
      </c>
      <c r="U834" t="inlineStr">
        <is>
          <t>上田市は人口密度262人/km²と低密度で、賃貸需要は限定的。持ち家比率が高く、駐車場完備の戸建て賃貸が有利。 借家の空室率は約22%とやや高めで、競合との差別化が必要。</t>
        </is>
      </c>
      <c r="V834" t="inlineStr">
        <is>
          <t>上田市（長野県）：千曲川・天竜川水系の氾濫、内陸の活断層地震、山間部の土砂災害・雪害に注意。</t>
        </is>
      </c>
    </row>
    <row r="835">
      <c r="A835" t="inlineStr">
        <is>
          <t>長野県</t>
        </is>
      </c>
      <c r="B835" t="inlineStr">
        <is>
          <t>岡谷市</t>
        </is>
      </c>
      <c r="C835" t="n">
        <v>18920</v>
      </c>
      <c r="D835" t="n">
        <v>44932</v>
      </c>
      <c r="E835" s="6" t="n">
        <v>523.3</v>
      </c>
      <c r="F835" s="7" t="n">
        <v>45.5</v>
      </c>
      <c r="G835" t="n">
        <v>47790</v>
      </c>
      <c r="H835" t="n">
        <v>44932</v>
      </c>
      <c r="I835" t="n">
        <v>42053</v>
      </c>
      <c r="J835" t="n">
        <v>33973</v>
      </c>
      <c r="K835" s="27">
        <f>(H835/D835-1)</f>
        <v/>
      </c>
      <c r="L835" s="27">
        <f>(I835/D835-1)</f>
        <v/>
      </c>
      <c r="M835" s="27">
        <f>(J835/D835-1)</f>
        <v/>
      </c>
      <c r="N835" t="n">
        <v>47.4</v>
      </c>
      <c r="O835" s="28">
        <f>(N835+F835)/2</f>
        <v/>
      </c>
      <c r="P835">
        <f>IF(O835="計算不能","計算不能",IF(O835&gt;=80,5,IF(O835&gt;=60,4,IF(O835&gt;=40,3,IF(O835&gt;=28,2,1)))))</f>
        <v/>
      </c>
      <c r="Q835" t="n">
        <v>4665</v>
      </c>
      <c r="R835" t="n">
        <v>1490</v>
      </c>
      <c r="S835" s="27">
        <f>R835/Q835</f>
        <v/>
      </c>
      <c r="T835" t="inlineStr">
        <is>
          <t>岡谷市は2045年までに人口が約24.4%減と明確な減少トレンド。高齢化の進行と世帯数の縮小により、中長期では賃貸需要の構造的縮小に警戒が必要。</t>
        </is>
      </c>
      <c r="U835" t="inlineStr">
        <is>
          <t>岡谷市は人口密度523人/km²で、主要道路沿いや中心市街地に一定の賃貸需要が局在。立地選別が稼働を左右する。 借家の空室率は約32%と供給過多気味で、空室長期化リスクに要警戒。</t>
        </is>
      </c>
      <c r="V835" t="inlineStr">
        <is>
          <t>岡谷市（長野県）：千曲川・天竜川水系の氾濫、内陸の活断層地震、山間部の土砂災害・雪害に注意。</t>
        </is>
      </c>
    </row>
    <row r="836">
      <c r="A836" t="inlineStr">
        <is>
          <t>長野県</t>
        </is>
      </c>
      <c r="B836" t="inlineStr">
        <is>
          <t>飯田市</t>
        </is>
      </c>
      <c r="C836" t="n">
        <v>38150</v>
      </c>
      <c r="D836" t="n">
        <v>93909</v>
      </c>
      <c r="E836" s="6" t="n">
        <v>137.6</v>
      </c>
      <c r="F836" s="7" t="n">
        <v>23.8</v>
      </c>
      <c r="G836" t="n">
        <v>98164</v>
      </c>
      <c r="H836" t="n">
        <v>93909</v>
      </c>
      <c r="I836" t="n">
        <v>89644</v>
      </c>
      <c r="J836" t="n">
        <v>77092</v>
      </c>
      <c r="K836" s="27">
        <f>(H836/D836-1)</f>
        <v/>
      </c>
      <c r="L836" s="27">
        <f>(I836/D836-1)</f>
        <v/>
      </c>
      <c r="M836" s="27">
        <f>(J836/D836-1)</f>
        <v/>
      </c>
      <c r="N836" t="n">
        <v>54.7</v>
      </c>
      <c r="O836" s="28">
        <f>(N836+F836)/2</f>
        <v/>
      </c>
      <c r="P836">
        <f>IF(O836="計算不能","計算不能",IF(O836&gt;=80,5,IF(O836&gt;=60,4,IF(O836&gt;=40,3,IF(O836&gt;=28,2,1)))))</f>
        <v/>
      </c>
      <c r="Q836" t="n">
        <v>9408</v>
      </c>
      <c r="R836" t="n">
        <v>2620</v>
      </c>
      <c r="S836" s="27">
        <f>R836/Q836</f>
        <v/>
      </c>
      <c r="T836" t="inlineStr">
        <is>
          <t>飯田市は2045年までに人口が約17.9%減と明確な減少トレンド。高齢化の進行と世帯数の縮小により、中長期では賃貸需要の構造的縮小に警戒が必要。</t>
        </is>
      </c>
      <c r="U836" t="inlineStr">
        <is>
          <t>飯田市は人口密度138人/km²と過疎的水準で、民間賃貸の新規需要は薄い。実需に裏付けられた格安戸建ての指値取得のみが現実的。 借家の空室率は約28%と供給過多気味で、空室長期化リスクに要警戒。</t>
        </is>
      </c>
      <c r="V836" t="inlineStr">
        <is>
          <t>飯田市（長野県）：千曲川・天竜川水系の氾濫、内陸の活断層地震、山間部の土砂災害・雪害に注意。</t>
        </is>
      </c>
    </row>
    <row r="837">
      <c r="A837" t="inlineStr">
        <is>
          <t>長野県</t>
        </is>
      </c>
      <c r="B837" t="inlineStr">
        <is>
          <t>諏訪市</t>
        </is>
      </c>
      <c r="C837" t="n">
        <v>21180</v>
      </c>
      <c r="D837" t="n">
        <v>46897</v>
      </c>
      <c r="E837" s="6" t="n">
        <v>425</v>
      </c>
      <c r="F837" s="7" t="n">
        <v>41.2</v>
      </c>
      <c r="G837" t="n">
        <v>48729</v>
      </c>
      <c r="H837" t="n">
        <v>46897</v>
      </c>
      <c r="I837" t="n">
        <v>44885</v>
      </c>
      <c r="J837" t="n">
        <v>38871</v>
      </c>
      <c r="K837" s="27">
        <f>(H837/D837-1)</f>
        <v/>
      </c>
      <c r="L837" s="27">
        <f>(I837/D837-1)</f>
        <v/>
      </c>
      <c r="M837" s="27">
        <f>(J837/D837-1)</f>
        <v/>
      </c>
      <c r="N837" t="n">
        <v>56.4</v>
      </c>
      <c r="O837" s="28">
        <f>(N837+F837)/2</f>
        <v/>
      </c>
      <c r="P837">
        <f>IF(O837="計算不能","計算不能",IF(O837&gt;=80,5,IF(O837&gt;=60,4,IF(O837&gt;=40,3,IF(O837&gt;=28,2,1)))))</f>
        <v/>
      </c>
      <c r="Q837" t="n">
        <v>5223</v>
      </c>
      <c r="R837" t="n">
        <v>2080</v>
      </c>
      <c r="S837" s="27">
        <f>R837/Q837</f>
        <v/>
      </c>
      <c r="T837" t="inlineStr">
        <is>
          <t>諏訪市は2045年までに人口が約17.1%減と明確な減少トレンド。高齢化の進行と世帯数の縮小により、中長期では賃貸需要の構造的縮小に警戒が必要。</t>
        </is>
      </c>
      <c r="U837" t="inlineStr">
        <is>
          <t>諏訪市は人口密度425人/km²と低密度で、賃貸需要は限定的。持ち家比率が高く、駐車場完備の戸建て賃貸が有利。 借家の空室率は約40%と供給過多気味で、空室長期化リスクに要警戒。</t>
        </is>
      </c>
      <c r="V837" t="inlineStr">
        <is>
          <t>諏訪市（長野県）：千曲川・天竜川水系の氾濫、内陸の活断層地震、山間部の土砂災害・雪害に注意。</t>
        </is>
      </c>
    </row>
    <row r="838">
      <c r="A838" t="inlineStr">
        <is>
          <t>長野県</t>
        </is>
      </c>
      <c r="B838" t="inlineStr">
        <is>
          <t>須坂市</t>
        </is>
      </c>
      <c r="C838" t="n">
        <v>18870</v>
      </c>
      <c r="D838" t="n">
        <v>47834</v>
      </c>
      <c r="E838" s="6" t="n">
        <v>319.4</v>
      </c>
      <c r="F838" s="7" t="n">
        <v>36</v>
      </c>
      <c r="G838" t="n">
        <v>49559</v>
      </c>
      <c r="H838" t="n">
        <v>47834</v>
      </c>
      <c r="I838" t="n">
        <v>45703</v>
      </c>
      <c r="J838" t="n">
        <v>39019</v>
      </c>
      <c r="K838" s="27">
        <f>(H838/D838-1)</f>
        <v/>
      </c>
      <c r="L838" s="27">
        <f>(I838/D838-1)</f>
        <v/>
      </c>
      <c r="M838" s="27">
        <f>(J838/D838-1)</f>
        <v/>
      </c>
      <c r="N838" t="n">
        <v>56.1</v>
      </c>
      <c r="O838" s="28">
        <f>(N838+F838)/2</f>
        <v/>
      </c>
      <c r="P838">
        <f>IF(O838="計算不能","計算不能",IF(O838&gt;=80,5,IF(O838&gt;=60,4,IF(O838&gt;=40,3,IF(O838&gt;=28,2,1)))))</f>
        <v/>
      </c>
      <c r="Q838" t="n">
        <v>4653</v>
      </c>
      <c r="R838" t="n">
        <v>1050</v>
      </c>
      <c r="S838" s="27">
        <f>R838/Q838</f>
        <v/>
      </c>
      <c r="T838" t="inlineStr">
        <is>
          <t>須坂市は2045年までに人口が約18.4%減と明確な減少トレンド。高齢化の進行と世帯数の縮小により、中長期では賃貸需要の構造的縮小に警戒が必要。</t>
        </is>
      </c>
      <c r="U838" t="inlineStr">
        <is>
          <t>須坂市は人口密度319人/km²と低密度で、賃貸需要は限定的。持ち家比率が高く、駐車場完備の戸建て賃貸が有利。 借家の空室率は約23%とやや高めで、競合との差別化が必要。</t>
        </is>
      </c>
      <c r="V838" t="inlineStr">
        <is>
          <t>須坂市（長野県）：千曲川・天竜川水系の氾濫、内陸の活断層地震、山間部の土砂災害・雪害に注意。</t>
        </is>
      </c>
    </row>
    <row r="839">
      <c r="A839" t="inlineStr">
        <is>
          <t>長野県</t>
        </is>
      </c>
      <c r="B839" t="inlineStr">
        <is>
          <t>小諸市</t>
        </is>
      </c>
      <c r="C839" t="n">
        <v>17490</v>
      </c>
      <c r="D839" t="n">
        <v>39100</v>
      </c>
      <c r="E839" s="6" t="n">
        <v>408.1</v>
      </c>
      <c r="F839" s="7" t="n">
        <v>40.4</v>
      </c>
      <c r="G839" t="n">
        <v>40991</v>
      </c>
      <c r="H839" t="n">
        <v>39100</v>
      </c>
      <c r="I839" t="n">
        <v>37041</v>
      </c>
      <c r="J839" t="n">
        <v>30698</v>
      </c>
      <c r="K839" s="27">
        <f>(H839/D839-1)</f>
        <v/>
      </c>
      <c r="L839" s="27">
        <f>(I839/D839-1)</f>
        <v/>
      </c>
      <c r="M839" s="27">
        <f>(J839/D839-1)</f>
        <v/>
      </c>
      <c r="N839" t="n">
        <v>52</v>
      </c>
      <c r="O839" s="28">
        <f>(N839+F839)/2</f>
        <v/>
      </c>
      <c r="P839">
        <f>IF(O839="計算不能","計算不能",IF(O839&gt;=80,5,IF(O839&gt;=60,4,IF(O839&gt;=40,3,IF(O839&gt;=28,2,1)))))</f>
        <v/>
      </c>
      <c r="Q839" t="n">
        <v>4313</v>
      </c>
      <c r="R839" t="n">
        <v>2260</v>
      </c>
      <c r="S839" s="27">
        <f>R839/Q839</f>
        <v/>
      </c>
      <c r="T839" t="inlineStr">
        <is>
          <t>小諸市は2045年までに人口が約21.5%減と明確な減少トレンド。高齢化の進行と世帯数の縮小により、中長期では賃貸需要の構造的縮小に警戒が必要。</t>
        </is>
      </c>
      <c r="U839" t="inlineStr">
        <is>
          <t>小諸市は人口密度408人/km²と低密度で、賃貸需要は限定的。持ち家比率が高く、駐車場完備の戸建て賃貸が有利。 借家の空室率は約52%と供給過多気味で、空室長期化リスクに要警戒。</t>
        </is>
      </c>
      <c r="V839" t="inlineStr">
        <is>
          <t>小諸市（長野県）：千曲川・天竜川水系の氾濫、内陸の活断層地震、山間部の土砂災害・雪害に注意。</t>
        </is>
      </c>
    </row>
    <row r="840">
      <c r="A840" t="inlineStr">
        <is>
          <t>長野県</t>
        </is>
      </c>
      <c r="B840" t="inlineStr">
        <is>
          <t>伊那市</t>
        </is>
      </c>
      <c r="C840" t="n">
        <v>25340</v>
      </c>
      <c r="D840" t="n">
        <v>62912</v>
      </c>
      <c r="E840" s="6" t="n">
        <v>95.2</v>
      </c>
      <c r="F840" s="7" t="n">
        <v>19.5</v>
      </c>
      <c r="G840" t="n">
        <v>66125</v>
      </c>
      <c r="H840" t="n">
        <v>62912</v>
      </c>
      <c r="I840" t="n">
        <v>60392</v>
      </c>
      <c r="J840" t="n">
        <v>52841</v>
      </c>
      <c r="K840" s="27">
        <f>(H840/D840-1)</f>
        <v/>
      </c>
      <c r="L840" s="27">
        <f>(I840/D840-1)</f>
        <v/>
      </c>
      <c r="M840" s="27">
        <f>(J840/D840-1)</f>
        <v/>
      </c>
      <c r="N840" t="n">
        <v>55</v>
      </c>
      <c r="O840" s="28">
        <f>(N840+F840)/2</f>
        <v/>
      </c>
      <c r="P840">
        <f>IF(O840="計算不能","計算不能",IF(O840&gt;=80,5,IF(O840&gt;=60,4,IF(O840&gt;=40,3,IF(O840&gt;=28,2,1)))))</f>
        <v/>
      </c>
      <c r="Q840" t="n">
        <v>6249</v>
      </c>
      <c r="R840" t="n">
        <v>2340</v>
      </c>
      <c r="S840" s="27">
        <f>R840/Q840</f>
        <v/>
      </c>
      <c r="T840" t="inlineStr">
        <is>
          <t>伊那市は2045年までに人口が約16.0%減と明確な減少トレンド。高齢化の進行と世帯数の縮小により、中長期では賃貸需要の構造的縮小に警戒が必要。</t>
        </is>
      </c>
      <c r="U840" t="inlineStr">
        <is>
          <t>伊那市は人口密度95人/km²と過疎的水準で、民間賃貸の新規需要は薄い。実需に裏付けられた格安戸建ての指値取得のみが現実的。 借家の空室率は約37%と供給過多気味で、空室長期化リスクに要警戒。</t>
        </is>
      </c>
      <c r="V840" t="inlineStr">
        <is>
          <t>伊那市（長野県）：千曲川・天竜川水系の氾濫、内陸の活断層地震、山間部の土砂災害・雪害に注意。</t>
        </is>
      </c>
    </row>
    <row r="841">
      <c r="A841" t="inlineStr">
        <is>
          <t>長野県</t>
        </is>
      </c>
      <c r="B841" t="inlineStr">
        <is>
          <t>駒ヶ根市</t>
        </is>
      </c>
      <c r="C841" t="n">
        <v>13100</v>
      </c>
      <c r="D841" t="n">
        <v>31056</v>
      </c>
      <c r="E841" s="6" t="n">
        <v>186.2</v>
      </c>
      <c r="F841" s="7" t="n">
        <v>28.6</v>
      </c>
      <c r="G841" t="n">
        <v>32202</v>
      </c>
      <c r="H841" t="n">
        <v>31056</v>
      </c>
      <c r="I841" t="n">
        <v>29907</v>
      </c>
      <c r="J841" t="n">
        <v>26493</v>
      </c>
      <c r="K841" s="27">
        <f>(H841/D841-1)</f>
        <v/>
      </c>
      <c r="L841" s="27">
        <f>(I841/D841-1)</f>
        <v/>
      </c>
      <c r="M841" s="27">
        <f>(J841/D841-1)</f>
        <v/>
      </c>
      <c r="N841" t="n">
        <v>58.3</v>
      </c>
      <c r="O841" s="28">
        <f>(N841+F841)/2</f>
        <v/>
      </c>
      <c r="P841">
        <f>IF(O841="計算不能","計算不能",IF(O841&gt;=80,5,IF(O841&gt;=60,4,IF(O841&gt;=40,3,IF(O841&gt;=28,2,1)))))</f>
        <v/>
      </c>
      <c r="Q841" t="n">
        <v>3230</v>
      </c>
      <c r="R841" t="n">
        <v>1060</v>
      </c>
      <c r="S841" s="27">
        <f>R841/Q841</f>
        <v/>
      </c>
      <c r="T841" t="inlineStr">
        <is>
          <t>駒ヶ根市は2045年までに人口が約14.7%減と緩やかな減少局面。若年層の都市部流出と高齢化が進むが、当面の賃貸稼働は一定程度維持される見通し。</t>
        </is>
      </c>
      <c r="U841" t="inlineStr">
        <is>
          <t>駒ヶ根市は人口密度186人/km²と過疎的水準で、民間賃貸の新規需要は薄い。実需に裏付けられた格安戸建ての指値取得のみが現実的。 借家の空室率は約33%と供給過多気味で、空室長期化リスクに要警戒。</t>
        </is>
      </c>
      <c r="V841" t="inlineStr">
        <is>
          <t>駒ヶ根市（長野県）：千曲川・天竜川水系の氾濫、内陸の活断層地震、山間部の土砂災害・雪害に注意。</t>
        </is>
      </c>
    </row>
    <row r="842">
      <c r="A842" t="inlineStr">
        <is>
          <t>長野県</t>
        </is>
      </c>
      <c r="B842" t="inlineStr">
        <is>
          <t>中野市</t>
        </is>
      </c>
      <c r="C842" t="n">
        <v>15900</v>
      </c>
      <c r="D842" t="n">
        <v>40487</v>
      </c>
      <c r="E842" s="6" t="n">
        <v>358.8</v>
      </c>
      <c r="F842" s="7" t="n">
        <v>37.9</v>
      </c>
      <c r="G842" t="n">
        <v>42338</v>
      </c>
      <c r="H842" t="n">
        <v>40487</v>
      </c>
      <c r="I842" t="n">
        <v>38452</v>
      </c>
      <c r="J842" t="n">
        <v>31853</v>
      </c>
      <c r="K842" s="27">
        <f>(H842/D842-1)</f>
        <v/>
      </c>
      <c r="L842" s="27">
        <f>(I842/D842-1)</f>
        <v/>
      </c>
      <c r="M842" s="27">
        <f>(J842/D842-1)</f>
        <v/>
      </c>
      <c r="N842" t="n">
        <v>52.7</v>
      </c>
      <c r="O842" s="28">
        <f>(N842+F842)/2</f>
        <v/>
      </c>
      <c r="P842">
        <f>IF(O842="計算不能","計算不能",IF(O842&gt;=80,5,IF(O842&gt;=60,4,IF(O842&gt;=40,3,IF(O842&gt;=28,2,1)))))</f>
        <v/>
      </c>
      <c r="Q842" t="n">
        <v>3921</v>
      </c>
      <c r="R842" t="n">
        <v>880</v>
      </c>
      <c r="S842" s="27">
        <f>R842/Q842</f>
        <v/>
      </c>
      <c r="T842" t="inlineStr">
        <is>
          <t>中野市は2045年までに人口が約21.3%減と明確な減少トレンド。高齢化の進行と世帯数の縮小により、中長期では賃貸需要の構造的縮小に警戒が必要。</t>
        </is>
      </c>
      <c r="U842" t="inlineStr">
        <is>
          <t>中野市は人口密度359人/km²と低密度で、賃貸需要は限定的。持ち家比率が高く、駐車場完備の戸建て賃貸が有利。 借家の空室率は約22%とやや高めで、競合との差別化が必要。</t>
        </is>
      </c>
      <c r="V842" t="inlineStr">
        <is>
          <t>中野市（長野県）：千曲川・天竜川水系の氾濫、内陸の活断層地震、山間部の土砂災害・雪害に注意。</t>
        </is>
      </c>
    </row>
    <row r="843">
      <c r="A843" t="inlineStr">
        <is>
          <t>長野県</t>
        </is>
      </c>
      <c r="B843" t="inlineStr">
        <is>
          <t>大町市</t>
        </is>
      </c>
      <c r="C843" t="n">
        <v>10420</v>
      </c>
      <c r="D843" t="n">
        <v>23939</v>
      </c>
      <c r="E843" s="6" t="n">
        <v>42.4</v>
      </c>
      <c r="F843" s="7" t="n">
        <v>14.2</v>
      </c>
      <c r="G843" t="n">
        <v>26029</v>
      </c>
      <c r="H843" t="n">
        <v>23939</v>
      </c>
      <c r="I843" t="n">
        <v>21851</v>
      </c>
      <c r="J843" t="n">
        <v>16147</v>
      </c>
      <c r="K843" s="27">
        <f>(H843/D843-1)</f>
        <v/>
      </c>
      <c r="L843" s="27">
        <f>(I843/D843-1)</f>
        <v/>
      </c>
      <c r="M843" s="27">
        <f>(J843/D843-1)</f>
        <v/>
      </c>
      <c r="N843" t="n">
        <v>41.7</v>
      </c>
      <c r="O843" s="28">
        <f>(N843+F843)/2</f>
        <v/>
      </c>
      <c r="P843">
        <f>IF(O843="計算不能","計算不能",IF(O843&gt;=80,5,IF(O843&gt;=60,4,IF(O843&gt;=40,3,IF(O843&gt;=28,2,1)))))</f>
        <v/>
      </c>
      <c r="Q843" t="n">
        <v>2569</v>
      </c>
      <c r="R843" t="n">
        <v>710</v>
      </c>
      <c r="S843" s="27">
        <f>R843/Q843</f>
        <v/>
      </c>
      <c r="T843" t="inlineStr">
        <is>
          <t>大町市は2045年までに人口が約32.5%減と急激な過疎・超高齢化が進行。若年労働世代の流出と自然減が重なり、賃貸事業としての持続性は極めて限定的。</t>
        </is>
      </c>
      <c r="U843" t="inlineStr">
        <is>
          <t>大町市は人口密度42人/km²と過疎的水準で、民間賃貸の新規需要は薄い。実需に裏付けられた格安戸建ての指値取得のみが現実的。 借家の空室率は約28%と供給過多気味で、空室長期化リスクに要警戒。</t>
        </is>
      </c>
      <c r="V843" t="inlineStr">
        <is>
          <t>大町市（長野県）：千曲川・天竜川水系の氾濫、内陸の活断層地震、山間部の土砂災害・雪害に注意。</t>
        </is>
      </c>
    </row>
    <row r="844">
      <c r="A844" t="inlineStr">
        <is>
          <t>長野県</t>
        </is>
      </c>
      <c r="B844" t="inlineStr">
        <is>
          <t>飯山市</t>
        </is>
      </c>
      <c r="C844" t="n">
        <v>7250</v>
      </c>
      <c r="D844" t="n">
        <v>17819</v>
      </c>
      <c r="E844" s="6" t="n">
        <v>87.40000000000001</v>
      </c>
      <c r="F844" s="7" t="n">
        <v>18.7</v>
      </c>
      <c r="G844" t="n">
        <v>19539</v>
      </c>
      <c r="H844" t="n">
        <v>17819</v>
      </c>
      <c r="I844" t="n">
        <v>16208</v>
      </c>
      <c r="J844" t="n">
        <v>11753</v>
      </c>
      <c r="K844" s="27">
        <f>(H844/D844-1)</f>
        <v/>
      </c>
      <c r="L844" s="27">
        <f>(I844/D844-1)</f>
        <v/>
      </c>
      <c r="M844" s="27">
        <f>(J844/D844-1)</f>
        <v/>
      </c>
      <c r="N844" t="n">
        <v>40.5</v>
      </c>
      <c r="O844" s="28">
        <f>(N844+F844)/2</f>
        <v/>
      </c>
      <c r="P844">
        <f>IF(O844="計算不能","計算不能",IF(O844&gt;=80,5,IF(O844&gt;=60,4,IF(O844&gt;=40,3,IF(O844&gt;=28,2,1)))))</f>
        <v/>
      </c>
      <c r="Q844" t="n">
        <v>1787</v>
      </c>
      <c r="R844" t="n">
        <v>300</v>
      </c>
      <c r="S844" s="27">
        <f>R844/Q844</f>
        <v/>
      </c>
      <c r="T844" t="inlineStr">
        <is>
          <t>飯山市は2045年までに人口が約34.0%減と急激な過疎・超高齢化が進行。若年労働世代の流出と自然減が重なり、賃貸事業としての持続性は極めて限定的。</t>
        </is>
      </c>
      <c r="U844" t="inlineStr">
        <is>
          <t>飯山市は人口密度87人/km²と過疎的水準で、民間賃貸の新規需要は薄い。実需に裏付けられた格安戸建ての指値取得のみが現実的。 借家の空室率は約17%と需給は比較的引き締まっている。</t>
        </is>
      </c>
      <c r="V844" t="inlineStr">
        <is>
          <t>飯山市（長野県）：千曲川・天竜川水系の氾濫、内陸の活断層地震、山間部の土砂災害・雪害に注意。</t>
        </is>
      </c>
    </row>
    <row r="845">
      <c r="A845" t="inlineStr">
        <is>
          <t>長野県</t>
        </is>
      </c>
      <c r="B845" t="inlineStr">
        <is>
          <t>茅野市</t>
        </is>
      </c>
      <c r="C845" t="n">
        <v>23890</v>
      </c>
      <c r="D845" t="n">
        <v>55025</v>
      </c>
      <c r="E845" s="6" t="n">
        <v>204.3</v>
      </c>
      <c r="F845" s="7" t="n">
        <v>30.2</v>
      </c>
      <c r="G845" t="n">
        <v>56400</v>
      </c>
      <c r="H845" t="n">
        <v>55025</v>
      </c>
      <c r="I845" t="n">
        <v>53465</v>
      </c>
      <c r="J845" t="n">
        <v>48461</v>
      </c>
      <c r="K845" s="27">
        <f>(H845/D845-1)</f>
        <v/>
      </c>
      <c r="L845" s="27">
        <f>(I845/D845-1)</f>
        <v/>
      </c>
      <c r="M845" s="27">
        <f>(J845/D845-1)</f>
        <v/>
      </c>
      <c r="N845" t="n">
        <v>62.4</v>
      </c>
      <c r="O845" s="28">
        <f>(N845+F845)/2</f>
        <v/>
      </c>
      <c r="P845">
        <f>IF(O845="計算不能","計算不能",IF(O845&gt;=80,5,IF(O845&gt;=60,4,IF(O845&gt;=40,3,IF(O845&gt;=28,2,1)))))</f>
        <v/>
      </c>
      <c r="Q845" t="n">
        <v>5891</v>
      </c>
      <c r="R845" t="n">
        <v>1980</v>
      </c>
      <c r="S845" s="27">
        <f>R845/Q845</f>
        <v/>
      </c>
      <c r="T845" t="inlineStr">
        <is>
          <t>茅野市は2045年までに人口が約11.9%減と緩やかな減少局面。若年層の都市部流出と高齢化が進むが、当面の賃貸稼働は一定程度維持される見通し。</t>
        </is>
      </c>
      <c r="U845" t="inlineStr">
        <is>
          <t>茅野市は人口密度204人/km²と低密度で、賃貸需要は限定的。持ち家比率が高く、駐車場完備の戸建て賃貸が有利。 借家の空室率は約34%と供給過多気味で、空室長期化リスクに要警戒。</t>
        </is>
      </c>
      <c r="V845" t="inlineStr">
        <is>
          <t>茅野市（長野県）：千曲川・天竜川水系の氾濫、内陸の活断層地震、山間部の土砂災害・雪害に注意。</t>
        </is>
      </c>
    </row>
    <row r="846">
      <c r="A846" t="inlineStr">
        <is>
          <t>長野県</t>
        </is>
      </c>
      <c r="B846" t="inlineStr">
        <is>
          <t>塩尻市</t>
        </is>
      </c>
      <c r="C846" t="n">
        <v>28180</v>
      </c>
      <c r="D846" t="n">
        <v>66085</v>
      </c>
      <c r="E846" s="6" t="n">
        <v>225.9</v>
      </c>
      <c r="F846" s="7" t="n">
        <v>31.3</v>
      </c>
      <c r="G846" t="n">
        <v>67241</v>
      </c>
      <c r="H846" t="n">
        <v>66085</v>
      </c>
      <c r="I846" t="n">
        <v>64684</v>
      </c>
      <c r="J846" t="n">
        <v>59460</v>
      </c>
      <c r="K846" s="27">
        <f>(H846/D846-1)</f>
        <v/>
      </c>
      <c r="L846" s="27">
        <f>(I846/D846-1)</f>
        <v/>
      </c>
      <c r="M846" s="27">
        <f>(J846/D846-1)</f>
        <v/>
      </c>
      <c r="N846" t="n">
        <v>65.2</v>
      </c>
      <c r="O846" s="28">
        <f>(N846+F846)/2</f>
        <v/>
      </c>
      <c r="P846">
        <f>IF(O846="計算不能","計算不能",IF(O846&gt;=80,5,IF(O846&gt;=60,4,IF(O846&gt;=40,3,IF(O846&gt;=28,2,1)))))</f>
        <v/>
      </c>
      <c r="Q846" t="n">
        <v>6949</v>
      </c>
      <c r="R846" t="n">
        <v>1710</v>
      </c>
      <c r="S846" s="27">
        <f>R846/Q846</f>
        <v/>
      </c>
      <c r="T846" t="inlineStr">
        <is>
          <t>塩尻市は2045年までに人口が約10.0%減と緩やかな減少局面。若年層の都市部流出と高齢化が進むが、当面の賃貸稼働は一定程度維持される見通し。</t>
        </is>
      </c>
      <c r="U846" t="inlineStr">
        <is>
          <t>塩尻市は人口密度226人/km²と低密度で、賃貸需要は限定的。持ち家比率が高く、駐車場完備の戸建て賃貸が有利。 借家の空室率は約25%とやや高めで、競合との差別化が必要。</t>
        </is>
      </c>
      <c r="V846" t="inlineStr">
        <is>
          <t>塩尻市（長野県）：千曲川・天竜川水系の氾濫、内陸の活断層地震、山間部の土砂災害・雪害に注意。</t>
        </is>
      </c>
    </row>
    <row r="847">
      <c r="A847" t="inlineStr">
        <is>
          <t>長野県</t>
        </is>
      </c>
      <c r="B847" t="inlineStr">
        <is>
          <t>佐久市</t>
        </is>
      </c>
      <c r="C847" t="n">
        <v>41020</v>
      </c>
      <c r="D847" t="n">
        <v>96517</v>
      </c>
      <c r="E847" s="6" t="n">
        <v>229.2</v>
      </c>
      <c r="F847" s="7" t="n">
        <v>31.5</v>
      </c>
      <c r="G847" t="n">
        <v>98199</v>
      </c>
      <c r="H847" t="n">
        <v>96517</v>
      </c>
      <c r="I847" t="n">
        <v>94660</v>
      </c>
      <c r="J847" t="n">
        <v>88176</v>
      </c>
      <c r="K847" s="27">
        <f>(H847/D847-1)</f>
        <v/>
      </c>
      <c r="L847" s="27">
        <f>(I847/D847-1)</f>
        <v/>
      </c>
      <c r="M847" s="27">
        <f>(J847/D847-1)</f>
        <v/>
      </c>
      <c r="N847" t="n">
        <v>66</v>
      </c>
      <c r="O847" s="28">
        <f>(N847+F847)/2</f>
        <v/>
      </c>
      <c r="P847">
        <f>IF(O847="計算不能","計算不能",IF(O847&gt;=80,5,IF(O847&gt;=60,4,IF(O847&gt;=40,3,IF(O847&gt;=28,2,1)))))</f>
        <v/>
      </c>
      <c r="Q847" t="n">
        <v>10115</v>
      </c>
      <c r="R847" t="n">
        <v>3440</v>
      </c>
      <c r="S847" s="27">
        <f>R847/Q847</f>
        <v/>
      </c>
      <c r="T847" t="inlineStr">
        <is>
          <t>佐久市は2045年までに人口が約8.6%減と緩やかな減少局面。若年層の都市部流出と高齢化が進むが、当面の賃貸稼働は一定程度維持される見通し。</t>
        </is>
      </c>
      <c r="U847" t="inlineStr">
        <is>
          <t>佐久市は人口密度229人/km²と低密度で、賃貸需要は限定的。持ち家比率が高く、駐車場完備の戸建て賃貸が有利。 借家の空室率は約34%と供給過多気味で、空室長期化リスクに要警戒。</t>
        </is>
      </c>
      <c r="V847" t="inlineStr">
        <is>
          <t>佐久市（長野県）：千曲川・天竜川水系の氾濫、内陸の活断層地震、山間部の土砂災害・雪害に注意。</t>
        </is>
      </c>
    </row>
    <row r="848">
      <c r="A848" t="inlineStr">
        <is>
          <t>長野県</t>
        </is>
      </c>
      <c r="B848" t="inlineStr">
        <is>
          <t>千曲市</t>
        </is>
      </c>
      <c r="C848" t="n">
        <v>22000</v>
      </c>
      <c r="D848" t="n">
        <v>56606</v>
      </c>
      <c r="E848" s="6" t="n">
        <v>477.2</v>
      </c>
      <c r="F848" s="7" t="n">
        <v>43.9</v>
      </c>
      <c r="G848" t="n">
        <v>58852</v>
      </c>
      <c r="H848" t="n">
        <v>56606</v>
      </c>
      <c r="I848" t="n">
        <v>54149</v>
      </c>
      <c r="J848" t="n">
        <v>45594</v>
      </c>
      <c r="K848" s="27">
        <f>(H848/D848-1)</f>
        <v/>
      </c>
      <c r="L848" s="27">
        <f>(I848/D848-1)</f>
        <v/>
      </c>
      <c r="M848" s="27">
        <f>(J848/D848-1)</f>
        <v/>
      </c>
      <c r="N848" t="n">
        <v>55.1</v>
      </c>
      <c r="O848" s="28">
        <f>(N848+F848)/2</f>
        <v/>
      </c>
      <c r="P848">
        <f>IF(O848="計算不能","計算不能",IF(O848&gt;=80,5,IF(O848&gt;=60,4,IF(O848&gt;=40,3,IF(O848&gt;=28,2,1)))))</f>
        <v/>
      </c>
      <c r="Q848" t="n">
        <v>5425</v>
      </c>
      <c r="R848" t="n">
        <v>1670</v>
      </c>
      <c r="S848" s="27">
        <f>R848/Q848</f>
        <v/>
      </c>
      <c r="T848" t="inlineStr">
        <is>
          <t>千曲市は2045年までに人口が約19.5%減と明確な減少トレンド。高齢化の進行と世帯数の縮小により、中長期では賃貸需要の構造的縮小に警戒が必要。</t>
        </is>
      </c>
      <c r="U848" t="inlineStr">
        <is>
          <t>千曲市は人口密度477人/km²と低密度で、賃貸需要は限定的。持ち家比率が高く、駐車場完備の戸建て賃貸が有利。 借家の空室率は約31%と供給過多気味で、空室長期化リスクに要警戒。</t>
        </is>
      </c>
      <c r="V848" t="inlineStr">
        <is>
          <t>千曲市（長野県）：千曲川・天竜川水系の氾濫、内陸の活断層地震、山間部の土砂災害・雪害に注意。</t>
        </is>
      </c>
    </row>
    <row r="849">
      <c r="A849" t="inlineStr">
        <is>
          <t>長野県</t>
        </is>
      </c>
      <c r="B849" t="inlineStr">
        <is>
          <t>東御市</t>
        </is>
      </c>
      <c r="C849" t="n">
        <v>11370</v>
      </c>
      <c r="D849" t="n">
        <v>29446</v>
      </c>
      <c r="E849" s="6" t="n">
        <v>254.4</v>
      </c>
      <c r="F849" s="7" t="n">
        <v>32.7</v>
      </c>
      <c r="G849" t="n">
        <v>30122</v>
      </c>
      <c r="H849" t="n">
        <v>29446</v>
      </c>
      <c r="I849" t="n">
        <v>28685</v>
      </c>
      <c r="J849" t="n">
        <v>25750</v>
      </c>
      <c r="K849" s="27">
        <f>(H849/D849-1)</f>
        <v/>
      </c>
      <c r="L849" s="27">
        <f>(I849/D849-1)</f>
        <v/>
      </c>
      <c r="M849" s="27">
        <f>(J849/D849-1)</f>
        <v/>
      </c>
      <c r="N849" t="n">
        <v>62.6</v>
      </c>
      <c r="O849" s="28">
        <f>(N849+F849)/2</f>
        <v/>
      </c>
      <c r="P849">
        <f>IF(O849="計算不能","計算不能",IF(O849&gt;=80,5,IF(O849&gt;=60,4,IF(O849&gt;=40,3,IF(O849&gt;=28,2,1)))))</f>
        <v/>
      </c>
      <c r="Q849" t="n">
        <v>2803</v>
      </c>
      <c r="R849" t="n">
        <v>500</v>
      </c>
      <c r="S849" s="27">
        <f>R849/Q849</f>
        <v/>
      </c>
      <c r="T849" t="inlineStr">
        <is>
          <t>東御市は2045年までに人口が約12.6%減と緩やかな減少局面。若年層の都市部流出と高齢化が進むが、当面の賃貸稼働は一定程度維持される見通し。</t>
        </is>
      </c>
      <c r="U849" t="inlineStr">
        <is>
          <t>東御市は人口密度254人/km²と低密度で、賃貸需要は限定的。持ち家比率が高く、駐車場完備の戸建て賃貸が有利。 借家の空室率は約18%と需給は比較的引き締まっている。</t>
        </is>
      </c>
      <c r="V849" t="inlineStr">
        <is>
          <t>東御市（長野県）：千曲川・天竜川水系の氾濫、内陸の活断層地震、山間部の土砂災害・雪害に注意。</t>
        </is>
      </c>
    </row>
    <row r="850">
      <c r="A850" t="inlineStr">
        <is>
          <t>長野県</t>
        </is>
      </c>
      <c r="B850" t="inlineStr">
        <is>
          <t>安曇野市</t>
        </is>
      </c>
      <c r="C850" t="n">
        <v>37250</v>
      </c>
      <c r="D850" t="n">
        <v>92161</v>
      </c>
      <c r="E850" s="6" t="n">
        <v>276.9</v>
      </c>
      <c r="F850" s="7" t="n">
        <v>33.8</v>
      </c>
      <c r="G850" t="n">
        <v>94222</v>
      </c>
      <c r="H850" t="n">
        <v>92161</v>
      </c>
      <c r="I850" t="n">
        <v>89673</v>
      </c>
      <c r="J850" t="n">
        <v>81274</v>
      </c>
      <c r="K850" s="27">
        <f>(H850/D850-1)</f>
        <v/>
      </c>
      <c r="L850" s="27">
        <f>(I850/D850-1)</f>
        <v/>
      </c>
      <c r="M850" s="27">
        <f>(J850/D850-1)</f>
        <v/>
      </c>
      <c r="N850" t="n">
        <v>63</v>
      </c>
      <c r="O850" s="28">
        <f>(N850+F850)/2</f>
        <v/>
      </c>
      <c r="P850">
        <f>IF(O850="計算不能","計算不能",IF(O850&gt;=80,5,IF(O850&gt;=60,4,IF(O850&gt;=40,3,IF(O850&gt;=28,2,1)))))</f>
        <v/>
      </c>
      <c r="Q850" t="n">
        <v>9186</v>
      </c>
      <c r="R850" t="n">
        <v>1910</v>
      </c>
      <c r="S850" s="27">
        <f>R850/Q850</f>
        <v/>
      </c>
      <c r="T850" t="inlineStr">
        <is>
          <t>安曇野市は2045年までに人口が約11.8%減と緩やかな減少局面。若年層の都市部流出と高齢化が進むが、当面の賃貸稼働は一定程度維持される見通し。</t>
        </is>
      </c>
      <c r="U850" t="inlineStr">
        <is>
          <t>安曇野市は人口密度277人/km²と低密度で、賃貸需要は限定的。持ち家比率が高く、駐車場完備の戸建て賃貸が有利。 借家の空室率は約21%とやや高めで、競合との差別化が必要。</t>
        </is>
      </c>
      <c r="V850" t="inlineStr">
        <is>
          <t>安曇野市（長野県）：千曲川・天竜川水系の氾濫、内陸の活断層地震、山間部の土砂災害・雪害に注意。</t>
        </is>
      </c>
    </row>
    <row r="851">
      <c r="A851" t="inlineStr">
        <is>
          <t>長野県</t>
        </is>
      </c>
      <c r="B851" t="inlineStr">
        <is>
          <t>小海町</t>
        </is>
      </c>
      <c r="C851" t="n">
        <v>1942</v>
      </c>
      <c r="D851" t="n">
        <v>3980</v>
      </c>
      <c r="E851" s="6" t="n">
        <v>35.5</v>
      </c>
      <c r="F851" s="7" t="n">
        <v>13.6</v>
      </c>
      <c r="G851" t="n">
        <v>4353</v>
      </c>
      <c r="H851" t="n">
        <v>3980</v>
      </c>
      <c r="I851" t="n">
        <v>3642</v>
      </c>
      <c r="J851" t="n">
        <v>2688</v>
      </c>
      <c r="K851" s="27">
        <f>(H851/D851-1)</f>
        <v/>
      </c>
      <c r="L851" s="27">
        <f>(I851/D851-1)</f>
        <v/>
      </c>
      <c r="M851" s="27">
        <f>(J851/D851-1)</f>
        <v/>
      </c>
      <c r="N851" t="n">
        <v>41.3</v>
      </c>
      <c r="O851" s="28">
        <f>(N851+F851)/2</f>
        <v/>
      </c>
      <c r="P851">
        <f>IF(O851="計算不能","計算不能",IF(O851&gt;=80,5,IF(O851&gt;=60,4,IF(O851&gt;=40,3,IF(O851&gt;=28,2,1)))))</f>
        <v/>
      </c>
      <c r="Q851" t="n">
        <v>478</v>
      </c>
      <c r="R851" t="n">
        <v>0</v>
      </c>
      <c r="S851" s="27">
        <f>R851/Q851</f>
        <v/>
      </c>
      <c r="T851" t="inlineStr">
        <is>
          <t>小海町は2045年までに人口が約32.5%減と急激な過疎・超高齢化が進行。若年労働世代の流出と自然減が重なり、賃貸事業としての持続性は極めて限定的。</t>
        </is>
      </c>
      <c r="U851" t="inlineStr">
        <is>
          <t>小海町は人口密度36人/km²と過疎的水準で、民間賃貸の新規需要は薄い。実需に裏付けられた格安戸建ての指値取得のみが現実的。 借家の空室率は約0%と需給は比較的引き締まっている。</t>
        </is>
      </c>
      <c r="V851" t="inlineStr">
        <is>
          <t>小海町（長野県）：千曲川・天竜川水系の氾濫、内陸の活断層地震、山間部の土砂災害・雪害に注意。</t>
        </is>
      </c>
    </row>
    <row r="852">
      <c r="A852" t="inlineStr">
        <is>
          <t>長野県</t>
        </is>
      </c>
      <c r="B852" t="inlineStr">
        <is>
          <t>川上村</t>
        </is>
      </c>
      <c r="C852" t="n">
        <v>717</v>
      </c>
      <c r="D852" t="n">
        <v>4199</v>
      </c>
      <c r="E852" s="6" t="n">
        <v>3.6</v>
      </c>
      <c r="F852" s="7" t="n">
        <v>10.4</v>
      </c>
      <c r="G852" t="n">
        <v>4344</v>
      </c>
      <c r="H852" t="n">
        <v>4199</v>
      </c>
      <c r="I852" t="n">
        <v>3974</v>
      </c>
      <c r="J852" t="n">
        <v>3234</v>
      </c>
      <c r="K852" s="27">
        <f>(H852/D852-1)</f>
        <v/>
      </c>
      <c r="L852" s="27">
        <f>(I852/D852-1)</f>
        <v/>
      </c>
      <c r="M852" s="27">
        <f>(J852/D852-1)</f>
        <v/>
      </c>
      <c r="N852" t="n">
        <v>53.6</v>
      </c>
      <c r="O852" s="28">
        <f>(N852+F852)/2</f>
        <v/>
      </c>
      <c r="P852">
        <f>IF(O852="計算不能","計算不能",IF(O852&gt;=80,5,IF(O852&gt;=60,4,IF(O852&gt;=40,3,IF(O852&gt;=28,2,1)))))</f>
        <v/>
      </c>
      <c r="Q852" t="n">
        <v>176</v>
      </c>
      <c r="R852" t="n">
        <v>0</v>
      </c>
      <c r="S852" s="27">
        <f>R852/Q852</f>
        <v/>
      </c>
      <c r="T852" t="inlineStr">
        <is>
          <t>川上村は2045年までに人口が約23.0%減と明確な減少トレンド。高齢化の進行と世帯数の縮小により、中長期では賃貸需要の構造的縮小に警戒が必要。</t>
        </is>
      </c>
      <c r="U852" t="inlineStr">
        <is>
          <t>川上村は人口密度4人/km²と過疎的水準で、民間賃貸の新規需要は薄い。実需に裏付けられた格安戸建ての指値取得のみが現実的。 借家の空室率は約0%と需給は比較的引き締まっている。</t>
        </is>
      </c>
      <c r="V852" t="inlineStr">
        <is>
          <t>川上村（長野県）：千曲川・天竜川水系の氾濫、内陸の活断層地震、山間部の土砂災害・雪害に注意。</t>
        </is>
      </c>
    </row>
    <row r="853">
      <c r="A853" t="inlineStr">
        <is>
          <t>長野県</t>
        </is>
      </c>
      <c r="B853" t="inlineStr">
        <is>
          <t>南牧村</t>
        </is>
      </c>
      <c r="C853" t="n">
        <v>1330</v>
      </c>
      <c r="D853" t="n">
        <v>3061</v>
      </c>
      <c r="E853" s="6" t="n">
        <v>25.1</v>
      </c>
      <c r="F853" s="7" t="n">
        <v>12.5</v>
      </c>
      <c r="G853" t="n">
        <v>3242</v>
      </c>
      <c r="H853" t="n">
        <v>3061</v>
      </c>
      <c r="I853" t="n">
        <v>2989</v>
      </c>
      <c r="J853" t="n">
        <v>2633</v>
      </c>
      <c r="K853" s="27">
        <f>(H853/D853-1)</f>
        <v/>
      </c>
      <c r="L853" s="27">
        <f>(I853/D853-1)</f>
        <v/>
      </c>
      <c r="M853" s="27">
        <f>(J853/D853-1)</f>
        <v/>
      </c>
      <c r="N853" t="n">
        <v>55.7</v>
      </c>
      <c r="O853" s="28">
        <f>(N853+F853)/2</f>
        <v/>
      </c>
      <c r="P853">
        <f>IF(O853="計算不能","計算不能",IF(O853&gt;=80,5,IF(O853&gt;=60,4,IF(O853&gt;=40,3,IF(O853&gt;=28,2,1)))))</f>
        <v/>
      </c>
      <c r="Q853" t="n">
        <v>327</v>
      </c>
      <c r="R853" t="n">
        <v>0</v>
      </c>
      <c r="S853" s="27">
        <f>R853/Q853</f>
        <v/>
      </c>
      <c r="T853" t="inlineStr">
        <is>
          <t>南牧村は2045年までに人口が約14.0%減と緩やかな減少局面。若年層の都市部流出と高齢化が進むが、当面の賃貸稼働は一定程度維持される見通し。</t>
        </is>
      </c>
      <c r="U853" t="inlineStr">
        <is>
          <t>南牧村は人口密度25人/km²と過疎的水準で、民間賃貸の新規需要は薄い。実需に裏付けられた格安戸建ての指値取得のみが現実的。 借家の空室率は約0%と需給は比較的引き締まっている。</t>
        </is>
      </c>
      <c r="V853" t="inlineStr">
        <is>
          <t>南牧村（長野県）：千曲川・天竜川水系の氾濫、内陸の活断層地震、山間部の土砂災害・雪害に注意。</t>
        </is>
      </c>
    </row>
    <row r="854">
      <c r="A854" t="inlineStr">
        <is>
          <t>長野県</t>
        </is>
      </c>
      <c r="B854" t="inlineStr">
        <is>
          <t>南相木村</t>
        </is>
      </c>
      <c r="C854" t="n">
        <v>412</v>
      </c>
      <c r="D854" t="n">
        <v>880</v>
      </c>
      <c r="E854" s="6" t="n">
        <v>13.1</v>
      </c>
      <c r="F854" s="7" t="n">
        <v>11.3</v>
      </c>
      <c r="G854" t="n">
        <v>962</v>
      </c>
      <c r="H854" t="n">
        <v>880</v>
      </c>
      <c r="I854" t="n">
        <v>820</v>
      </c>
      <c r="J854" t="n">
        <v>706</v>
      </c>
      <c r="K854" s="27">
        <f>(H854/D854-1)</f>
        <v/>
      </c>
      <c r="L854" s="27">
        <f>(I854/D854-1)</f>
        <v/>
      </c>
      <c r="M854" s="27">
        <f>(J854/D854-1)</f>
        <v/>
      </c>
      <c r="N854" t="n">
        <v>44.8</v>
      </c>
      <c r="O854" s="28">
        <f>(N854+F854)/2</f>
        <v/>
      </c>
      <c r="P854">
        <f>IF(O854="計算不能","計算不能",IF(O854&gt;=80,5,IF(O854&gt;=60,4,IF(O854&gt;=40,3,IF(O854&gt;=28,2,1)))))</f>
        <v/>
      </c>
      <c r="Q854" t="n">
        <v>101</v>
      </c>
      <c r="R854" t="n">
        <v>0</v>
      </c>
      <c r="S854" s="27">
        <f>R854/Q854</f>
        <v/>
      </c>
      <c r="T854" t="inlineStr">
        <is>
          <t>南相木村は2045年までに人口が約19.8%減と明確な減少トレンド。高齢化の進行と世帯数の縮小により、中長期では賃貸需要の構造的縮小に警戒が必要。</t>
        </is>
      </c>
      <c r="U854" t="inlineStr">
        <is>
          <t>南相木村は人口密度13人/km²と過疎的水準で、民間賃貸の新規需要は薄い。実需に裏付けられた格安戸建ての指値取得のみが現実的。 借家の空室率は約0%と需給は比較的引き締まっている。</t>
        </is>
      </c>
      <c r="V854" t="inlineStr">
        <is>
          <t>南相木村（長野県）：千曲川・天竜川水系の氾濫、内陸の活断層地震、山間部の土砂災害・雪害に注意。</t>
        </is>
      </c>
    </row>
    <row r="855">
      <c r="A855" t="inlineStr">
        <is>
          <t>長野県</t>
        </is>
      </c>
      <c r="B855" t="inlineStr">
        <is>
          <t>北相木村</t>
        </is>
      </c>
      <c r="C855" t="n">
        <v>331</v>
      </c>
      <c r="D855" t="n">
        <v>678</v>
      </c>
      <c r="E855" s="6" t="n">
        <v>10.9</v>
      </c>
      <c r="F855" s="7" t="n">
        <v>11.1</v>
      </c>
      <c r="G855" t="n">
        <v>752</v>
      </c>
      <c r="H855" t="n">
        <v>678</v>
      </c>
      <c r="I855" t="n">
        <v>632</v>
      </c>
      <c r="J855" t="n">
        <v>539</v>
      </c>
      <c r="K855" s="27">
        <f>(H855/D855-1)</f>
        <v/>
      </c>
      <c r="L855" s="27">
        <f>(I855/D855-1)</f>
        <v/>
      </c>
      <c r="M855" s="27">
        <f>(J855/D855-1)</f>
        <v/>
      </c>
      <c r="N855" t="n">
        <v>43.4</v>
      </c>
      <c r="O855" s="28">
        <f>(N855+F855)/2</f>
        <v/>
      </c>
      <c r="P855">
        <f>IF(O855="計算不能","計算不能",IF(O855&gt;=80,5,IF(O855&gt;=60,4,IF(O855&gt;=40,3,IF(O855&gt;=28,2,1)))))</f>
        <v/>
      </c>
      <c r="Q855" t="n">
        <v>81</v>
      </c>
      <c r="R855" t="n">
        <v>0</v>
      </c>
      <c r="S855" s="27">
        <f>R855/Q855</f>
        <v/>
      </c>
      <c r="T855" t="inlineStr">
        <is>
          <t>北相木村は2045年までに人口が約20.5%減と明確な減少トレンド。高齢化の進行と世帯数の縮小により、中長期では賃貸需要の構造的縮小に警戒が必要。</t>
        </is>
      </c>
      <c r="U855" t="inlineStr">
        <is>
          <t>北相木村は人口密度11人/km²と過疎的水準で、民間賃貸の新規需要は薄い。実需に裏付けられた格安戸建ての指値取得のみが現実的。 借家の空室率は約0%と需給は比較的引き締まっている。</t>
        </is>
      </c>
      <c r="V855" t="inlineStr">
        <is>
          <t>北相木村（長野県）：千曲川・天竜川水系の氾濫、内陸の活断層地震、山間部の土砂災害・雪害に注意。</t>
        </is>
      </c>
    </row>
    <row r="856">
      <c r="A856" t="inlineStr">
        <is>
          <t>長野県</t>
        </is>
      </c>
      <c r="B856" t="inlineStr">
        <is>
          <t>佐久穂町</t>
        </is>
      </c>
      <c r="C856" t="n">
        <v>4288</v>
      </c>
      <c r="D856" t="n">
        <v>9379</v>
      </c>
      <c r="E856" s="6" t="n">
        <v>50.9</v>
      </c>
      <c r="F856" s="7" t="n">
        <v>15.1</v>
      </c>
      <c r="G856" t="n">
        <v>10218</v>
      </c>
      <c r="H856" t="n">
        <v>9379</v>
      </c>
      <c r="I856" t="n">
        <v>8588</v>
      </c>
      <c r="J856" t="n">
        <v>6393</v>
      </c>
      <c r="K856" s="27">
        <f>(H856/D856-1)</f>
        <v/>
      </c>
      <c r="L856" s="27">
        <f>(I856/D856-1)</f>
        <v/>
      </c>
      <c r="M856" s="27">
        <f>(J856/D856-1)</f>
        <v/>
      </c>
      <c r="N856" t="n">
        <v>41.8</v>
      </c>
      <c r="O856" s="28">
        <f>(N856+F856)/2</f>
        <v/>
      </c>
      <c r="P856">
        <f>IF(O856="計算不能","計算不能",IF(O856&gt;=80,5,IF(O856&gt;=60,4,IF(O856&gt;=40,3,IF(O856&gt;=28,2,1)))))</f>
        <v/>
      </c>
      <c r="Q856" t="n">
        <v>1057</v>
      </c>
      <c r="R856" t="n">
        <v>0</v>
      </c>
      <c r="S856" s="27">
        <f>R856/Q856</f>
        <v/>
      </c>
      <c r="T856" t="inlineStr">
        <is>
          <t>佐久穂町は2045年までに人口が約31.8%減と急激な過疎・超高齢化が進行。若年労働世代の流出と自然減が重なり、賃貸事業としての持続性は極めて限定的。</t>
        </is>
      </c>
      <c r="U856" t="inlineStr">
        <is>
          <t>佐久穂町は人口密度51人/km²と過疎的水準で、民間賃貸の新規需要は薄い。実需に裏付けられた格安戸建ての指値取得のみが現実的。 借家の空室率は約0%と需給は比較的引き締まっている。</t>
        </is>
      </c>
      <c r="V856" t="inlineStr">
        <is>
          <t>佐久穂町（長野県）：千曲川・天竜川水系の氾濫、内陸の活断層地震、山間部の土砂災害・雪害に注意。</t>
        </is>
      </c>
    </row>
    <row r="857">
      <c r="A857" t="inlineStr">
        <is>
          <t>長野県</t>
        </is>
      </c>
      <c r="B857" t="inlineStr">
        <is>
          <t>軽井沢町</t>
        </is>
      </c>
      <c r="C857" t="n">
        <v>8480</v>
      </c>
      <c r="D857" t="n">
        <v>19600</v>
      </c>
      <c r="E857" s="6" t="n">
        <v>118.3</v>
      </c>
      <c r="F857" s="7" t="n">
        <v>21.8</v>
      </c>
      <c r="G857" t="n">
        <v>19188</v>
      </c>
      <c r="H857" t="n">
        <v>19600</v>
      </c>
      <c r="I857" t="n">
        <v>19429</v>
      </c>
      <c r="J857" t="n">
        <v>18367</v>
      </c>
      <c r="K857" s="27">
        <f>(H857/D857-1)</f>
        <v/>
      </c>
      <c r="L857" s="27">
        <f>(I857/D857-1)</f>
        <v/>
      </c>
      <c r="M857" s="27">
        <f>(J857/D857-1)</f>
        <v/>
      </c>
      <c r="N857" t="n">
        <v>75.5</v>
      </c>
      <c r="O857" s="28">
        <f>(N857+F857)/2</f>
        <v/>
      </c>
      <c r="P857">
        <f>IF(O857="計算不能","計算不能",IF(O857&gt;=80,5,IF(O857&gt;=60,4,IF(O857&gt;=40,3,IF(O857&gt;=28,2,1)))))</f>
        <v/>
      </c>
      <c r="Q857" t="n">
        <v>2091</v>
      </c>
      <c r="R857" t="n">
        <v>310</v>
      </c>
      <c r="S857" s="27">
        <f>R857/Q857</f>
        <v/>
      </c>
      <c r="T857" t="inlineStr">
        <is>
          <t>軽井沢町は2045年までに人口が約6.3%減と緩やかな減少局面。若年層の都市部流出と高齢化が進むが、当面の賃貸稼働は一定程度維持される見通し。</t>
        </is>
      </c>
      <c r="U857" t="inlineStr">
        <is>
          <t>軽井沢町は人口密度118人/km²と過疎的水準で、民間賃貸の新規需要は薄い。実需に裏付けられた格安戸建ての指値取得のみが現実的。 借家の空室率は約15%と需給は比較的引き締まっている。</t>
        </is>
      </c>
      <c r="V857" t="inlineStr">
        <is>
          <t>軽井沢町（長野県）：千曲川・天竜川水系の氾濫、内陸の活断層地震、山間部の土砂災害・雪害に注意。</t>
        </is>
      </c>
    </row>
    <row r="858">
      <c r="A858" t="inlineStr">
        <is>
          <t>長野県</t>
        </is>
      </c>
      <c r="B858" t="inlineStr">
        <is>
          <t>御代田町</t>
        </is>
      </c>
      <c r="C858" t="n">
        <v>6730</v>
      </c>
      <c r="D858" t="n">
        <v>16100</v>
      </c>
      <c r="E858" s="6" t="n">
        <v>281.6</v>
      </c>
      <c r="F858" s="7" t="n">
        <v>34.1</v>
      </c>
      <c r="G858" t="n">
        <v>15555</v>
      </c>
      <c r="H858" t="n">
        <v>16100</v>
      </c>
      <c r="I858" t="n">
        <v>16144</v>
      </c>
      <c r="J858" t="n">
        <v>15677</v>
      </c>
      <c r="K858" s="27">
        <f>(H858/D858-1)</f>
        <v/>
      </c>
      <c r="L858" s="27">
        <f>(I858/D858-1)</f>
        <v/>
      </c>
      <c r="M858" s="27">
        <f>(J858/D858-1)</f>
        <v/>
      </c>
      <c r="N858" t="n">
        <v>80.8</v>
      </c>
      <c r="O858" s="28">
        <f>(N858+F858)/2</f>
        <v/>
      </c>
      <c r="P858">
        <f>IF(O858="計算不能","計算不能",IF(O858&gt;=80,5,IF(O858&gt;=60,4,IF(O858&gt;=40,3,IF(O858&gt;=28,2,1)))))</f>
        <v/>
      </c>
      <c r="Q858" t="n">
        <v>1659</v>
      </c>
      <c r="R858" t="n">
        <v>470</v>
      </c>
      <c r="S858" s="27">
        <f>R858/Q858</f>
        <v/>
      </c>
      <c r="T858" t="inlineStr">
        <is>
          <t>御代田町は2045年までの人口減少率が約2.6%と全国平均より緩やかで、概ね横ばいの安定推移。生産年齢人口の維持により、賃貸需要の急減リスクは相対的に低い。</t>
        </is>
      </c>
      <c r="U858" t="inlineStr">
        <is>
          <t>御代田町は人口密度282人/km²と低密度で、賃貸需要は限定的。持ち家比率が高く、駐車場完備の戸建て賃貸が有利。 借家の空室率は約28%と供給過多気味で、空室長期化リスクに要警戒。</t>
        </is>
      </c>
      <c r="V858" t="inlineStr">
        <is>
          <t>御代田町（長野県）：千曲川・天竜川水系の氾濫、内陸の活断層地震、山間部の土砂災害・雪害に注意。</t>
        </is>
      </c>
    </row>
    <row r="859">
      <c r="A859" t="inlineStr">
        <is>
          <t>長野県</t>
        </is>
      </c>
      <c r="B859" t="inlineStr">
        <is>
          <t>立科町</t>
        </is>
      </c>
      <c r="C859" t="n">
        <v>2922</v>
      </c>
      <c r="D859" t="n">
        <v>6099</v>
      </c>
      <c r="E859" s="6" t="n">
        <v>93</v>
      </c>
      <c r="F859" s="7" t="n">
        <v>19.3</v>
      </c>
      <c r="G859" t="n">
        <v>6612</v>
      </c>
      <c r="H859" t="n">
        <v>6099</v>
      </c>
      <c r="I859" t="n">
        <v>5638</v>
      </c>
      <c r="J859" t="n">
        <v>4205</v>
      </c>
      <c r="K859" s="27">
        <f>(H859/D859-1)</f>
        <v/>
      </c>
      <c r="L859" s="27">
        <f>(I859/D859-1)</f>
        <v/>
      </c>
      <c r="M859" s="27">
        <f>(J859/D859-1)</f>
        <v/>
      </c>
      <c r="N859" t="n">
        <v>42.6</v>
      </c>
      <c r="O859" s="28">
        <f>(N859+F859)/2</f>
        <v/>
      </c>
      <c r="P859">
        <f>IF(O859="計算不能","計算不能",IF(O859&gt;=80,5,IF(O859&gt;=60,4,IF(O859&gt;=40,3,IF(O859&gt;=28,2,1)))))</f>
        <v/>
      </c>
      <c r="Q859" t="n">
        <v>720</v>
      </c>
      <c r="R859" t="n">
        <v>0</v>
      </c>
      <c r="S859" s="27">
        <f>R859/Q859</f>
        <v/>
      </c>
      <c r="T859" t="inlineStr">
        <is>
          <t>立科町は2045年までに人口が約31.1%減と急激な過疎・超高齢化が進行。若年労働世代の流出と自然減が重なり、賃貸事業としての持続性は極めて限定的。</t>
        </is>
      </c>
      <c r="U859" t="inlineStr">
        <is>
          <t>立科町は人口密度93人/km²と過疎的水準で、民間賃貸の新規需要は薄い。実需に裏付けられた格安戸建ての指値取得のみが現実的。 借家の空室率は約0%と需給は比較的引き締まっている。</t>
        </is>
      </c>
      <c r="V859" t="inlineStr">
        <is>
          <t>立科町（長野県）：千曲川・天竜川水系の氾濫、内陸の活断層地震、山間部の土砂災害・雪害に注意。</t>
        </is>
      </c>
    </row>
    <row r="860">
      <c r="A860" t="inlineStr">
        <is>
          <t>長野県</t>
        </is>
      </c>
      <c r="B860" t="inlineStr">
        <is>
          <t>青木村</t>
        </is>
      </c>
      <c r="C860" t="n">
        <v>1760</v>
      </c>
      <c r="D860" t="n">
        <v>3907</v>
      </c>
      <c r="E860" s="6" t="n">
        <v>66.2</v>
      </c>
      <c r="F860" s="7" t="n">
        <v>16.6</v>
      </c>
      <c r="G860" t="n">
        <v>4121</v>
      </c>
      <c r="H860" t="n">
        <v>3907</v>
      </c>
      <c r="I860" t="n">
        <v>3717</v>
      </c>
      <c r="J860" t="n">
        <v>3114</v>
      </c>
      <c r="K860" s="27">
        <f>(H860/D860-1)</f>
        <v/>
      </c>
      <c r="L860" s="27">
        <f>(I860/D860-1)</f>
        <v/>
      </c>
      <c r="M860" s="27">
        <f>(J860/D860-1)</f>
        <v/>
      </c>
      <c r="N860" t="n">
        <v>51.8</v>
      </c>
      <c r="O860" s="28">
        <f>(N860+F860)/2</f>
        <v/>
      </c>
      <c r="P860">
        <f>IF(O860="計算不能","計算不能",IF(O860&gt;=80,5,IF(O860&gt;=60,4,IF(O860&gt;=40,3,IF(O860&gt;=28,2,1)))))</f>
        <v/>
      </c>
      <c r="Q860" t="n">
        <v>434</v>
      </c>
      <c r="R860" t="n">
        <v>0</v>
      </c>
      <c r="S860" s="27">
        <f>R860/Q860</f>
        <v/>
      </c>
      <c r="T860" t="inlineStr">
        <is>
          <t>青木村は2045年までに人口が約20.3%減と明確な減少トレンド。高齢化の進行と世帯数の縮小により、中長期では賃貸需要の構造的縮小に警戒が必要。</t>
        </is>
      </c>
      <c r="U860" t="inlineStr">
        <is>
          <t>青木村は人口密度66人/km²と過疎的水準で、民間賃貸の新規需要は薄い。実需に裏付けられた格安戸建ての指値取得のみが現実的。 借家の空室率は約0%と需給は比較的引き締まっている。</t>
        </is>
      </c>
      <c r="V860" t="inlineStr">
        <is>
          <t>青木村（長野県）：千曲川・天竜川水系の氾濫、内陸の活断層地震、山間部の土砂災害・雪害に注意。</t>
        </is>
      </c>
    </row>
    <row r="861">
      <c r="A861" t="inlineStr">
        <is>
          <t>長野県</t>
        </is>
      </c>
      <c r="B861" t="inlineStr">
        <is>
          <t>長和町</t>
        </is>
      </c>
      <c r="C861" t="n">
        <v>2620</v>
      </c>
      <c r="D861" t="n">
        <v>5067</v>
      </c>
      <c r="E861" s="6" t="n">
        <v>28</v>
      </c>
      <c r="F861" s="7" t="n">
        <v>12.8</v>
      </c>
      <c r="G861" t="n">
        <v>5600</v>
      </c>
      <c r="H861" t="n">
        <v>5067</v>
      </c>
      <c r="I861" t="n">
        <v>4588</v>
      </c>
      <c r="J861" t="n">
        <v>3230</v>
      </c>
      <c r="K861" s="27">
        <f>(H861/D861-1)</f>
        <v/>
      </c>
      <c r="L861" s="27">
        <f>(I861/D861-1)</f>
        <v/>
      </c>
      <c r="M861" s="27">
        <f>(J861/D861-1)</f>
        <v/>
      </c>
      <c r="N861" t="n">
        <v>39.3</v>
      </c>
      <c r="O861" s="28">
        <f>(N861+F861)/2</f>
        <v/>
      </c>
      <c r="P861">
        <f>IF(O861="計算不能","計算不能",IF(O861&gt;=80,5,IF(O861&gt;=60,4,IF(O861&gt;=40,3,IF(O861&gt;=28,2,1)))))</f>
        <v/>
      </c>
      <c r="Q861" t="n">
        <v>646</v>
      </c>
      <c r="R861" t="n">
        <v>0</v>
      </c>
      <c r="S861" s="27">
        <f>R861/Q861</f>
        <v/>
      </c>
      <c r="T861" t="inlineStr">
        <is>
          <t>長和町は2045年までに人口が約36.3%減と急激な過疎・超高齢化が進行。若年労働世代の流出と自然減が重なり、賃貸事業としての持続性は極めて限定的。</t>
        </is>
      </c>
      <c r="U861" t="inlineStr">
        <is>
          <t>長和町は人口密度28人/km²と過疎的水準で、民間賃貸の新規需要は薄い。実需に裏付けられた格安戸建ての指値取得のみが現実的。 借家の空室率は約0%と需給は比較的引き締まっている。</t>
        </is>
      </c>
      <c r="V861" t="inlineStr">
        <is>
          <t>長和町（長野県）：千曲川・天竜川水系の氾濫、内陸の活断層地震、山間部の土砂災害・雪害に注意。</t>
        </is>
      </c>
    </row>
    <row r="862">
      <c r="A862" t="inlineStr">
        <is>
          <t>長野県</t>
        </is>
      </c>
      <c r="B862" t="inlineStr">
        <is>
          <t>下諏訪町</t>
        </is>
      </c>
      <c r="C862" t="n">
        <v>8000</v>
      </c>
      <c r="D862" t="n">
        <v>17837</v>
      </c>
      <c r="E862" s="6" t="n">
        <v>263.7</v>
      </c>
      <c r="F862" s="7" t="n">
        <v>33.2</v>
      </c>
      <c r="G862" t="n">
        <v>19155</v>
      </c>
      <c r="H862" t="n">
        <v>17837</v>
      </c>
      <c r="I862" t="n">
        <v>16515</v>
      </c>
      <c r="J862" t="n">
        <v>12875</v>
      </c>
      <c r="K862" s="27">
        <f>(H862/D862-1)</f>
        <v/>
      </c>
      <c r="L862" s="27">
        <f>(I862/D862-1)</f>
        <v/>
      </c>
      <c r="M862" s="27">
        <f>(J862/D862-1)</f>
        <v/>
      </c>
      <c r="N862" t="n">
        <v>44.2</v>
      </c>
      <c r="O862" s="28">
        <f>(N862+F862)/2</f>
        <v/>
      </c>
      <c r="P862">
        <f>IF(O862="計算不能","計算不能",IF(O862&gt;=80,5,IF(O862&gt;=60,4,IF(O862&gt;=40,3,IF(O862&gt;=28,2,1)))))</f>
        <v/>
      </c>
      <c r="Q862" t="n">
        <v>1972</v>
      </c>
      <c r="R862" t="n">
        <v>740</v>
      </c>
      <c r="S862" s="27">
        <f>R862/Q862</f>
        <v/>
      </c>
      <c r="T862" t="inlineStr">
        <is>
          <t>下諏訪町は2045年までに人口が約27.8%減と明確な減少トレンド。高齢化の進行と世帯数の縮小により、中長期では賃貸需要の構造的縮小に警戒が必要。</t>
        </is>
      </c>
      <c r="U862" t="inlineStr">
        <is>
          <t>下諏訪町は人口密度264人/km²と低密度で、賃貸需要は限定的。持ち家比率が高く、駐車場完備の戸建て賃貸が有利。 借家の空室率は約38%と供給過多気味で、空室長期化リスクに要警戒。</t>
        </is>
      </c>
      <c r="V862" t="inlineStr">
        <is>
          <t>下諏訪町（長野県）：千曲川・天竜川水系の氾濫、内陸の活断層地震、山間部の土砂災害・雪害に注意。</t>
        </is>
      </c>
    </row>
    <row r="863">
      <c r="A863" t="inlineStr">
        <is>
          <t>長野県</t>
        </is>
      </c>
      <c r="B863" t="inlineStr">
        <is>
          <t>富士見町</t>
        </is>
      </c>
      <c r="C863" t="n">
        <v>6285</v>
      </c>
      <c r="D863" t="n">
        <v>13477</v>
      </c>
      <c r="E863" s="6" t="n">
        <v>92.40000000000001</v>
      </c>
      <c r="F863" s="7" t="n">
        <v>19.2</v>
      </c>
      <c r="G863" t="n">
        <v>14084</v>
      </c>
      <c r="H863" t="n">
        <v>13477</v>
      </c>
      <c r="I863" t="n">
        <v>12837</v>
      </c>
      <c r="J863" t="n">
        <v>11120</v>
      </c>
      <c r="K863" s="27">
        <f>(H863/D863-1)</f>
        <v/>
      </c>
      <c r="L863" s="27">
        <f>(I863/D863-1)</f>
        <v/>
      </c>
      <c r="M863" s="27">
        <f>(J863/D863-1)</f>
        <v/>
      </c>
      <c r="N863" t="n">
        <v>54.8</v>
      </c>
      <c r="O863" s="28">
        <f>(N863+F863)/2</f>
        <v/>
      </c>
      <c r="P863">
        <f>IF(O863="計算不能","計算不能",IF(O863&gt;=80,5,IF(O863&gt;=60,4,IF(O863&gt;=40,3,IF(O863&gt;=28,2,1)))))</f>
        <v/>
      </c>
      <c r="Q863" t="n">
        <v>1549</v>
      </c>
      <c r="R863" t="n">
        <v>0</v>
      </c>
      <c r="S863" s="27">
        <f>R863/Q863</f>
        <v/>
      </c>
      <c r="T863" t="inlineStr">
        <is>
          <t>富士見町は2045年までに人口が約17.5%減と明確な減少トレンド。高齢化の進行と世帯数の縮小により、中長期では賃貸需要の構造的縮小に警戒が必要。</t>
        </is>
      </c>
      <c r="U863" t="inlineStr">
        <is>
          <t>富士見町は人口密度92人/km²と過疎的水準で、民間賃貸の新規需要は薄い。実需に裏付けられた格安戸建ての指値取得のみが現実的。 借家の空室率は約0%と需給は比較的引き締まっている。</t>
        </is>
      </c>
      <c r="V863" t="inlineStr">
        <is>
          <t>富士見町（長野県）：千曲川・天竜川水系の氾濫、内陸の活断層地震、山間部の土砂災害・雪害に注意。</t>
        </is>
      </c>
    </row>
    <row r="864">
      <c r="A864" t="inlineStr">
        <is>
          <t>長野県</t>
        </is>
      </c>
      <c r="B864" t="inlineStr">
        <is>
          <t>原村</t>
        </is>
      </c>
      <c r="C864" t="n">
        <v>3578</v>
      </c>
      <c r="D864" t="n">
        <v>7611</v>
      </c>
      <c r="E864" s="6" t="n">
        <v>180.1</v>
      </c>
      <c r="F864" s="7" t="n">
        <v>28</v>
      </c>
      <c r="G864" t="n">
        <v>7680</v>
      </c>
      <c r="H864" t="n">
        <v>7611</v>
      </c>
      <c r="I864" t="n">
        <v>7503</v>
      </c>
      <c r="J864" t="n">
        <v>7084</v>
      </c>
      <c r="K864" s="27">
        <f>(H864/D864-1)</f>
        <v/>
      </c>
      <c r="L864" s="27">
        <f>(I864/D864-1)</f>
        <v/>
      </c>
      <c r="M864" s="27">
        <f>(J864/D864-1)</f>
        <v/>
      </c>
      <c r="N864" t="n">
        <v>68.8</v>
      </c>
      <c r="O864" s="28">
        <f>(N864+F864)/2</f>
        <v/>
      </c>
      <c r="P864">
        <f>IF(O864="計算不能","計算不能",IF(O864&gt;=80,5,IF(O864&gt;=60,4,IF(O864&gt;=40,3,IF(O864&gt;=28,2,1)))))</f>
        <v/>
      </c>
      <c r="Q864" t="n">
        <v>882</v>
      </c>
      <c r="R864" t="n">
        <v>0</v>
      </c>
      <c r="S864" s="27">
        <f>R864/Q864</f>
        <v/>
      </c>
      <c r="T864" t="inlineStr">
        <is>
          <t>原村は2045年までに人口が約6.9%減と緩やかな減少局面。若年層の都市部流出と高齢化が進むが、当面の賃貸稼働は一定程度維持される見通し。</t>
        </is>
      </c>
      <c r="U864" t="inlineStr">
        <is>
          <t>原村は人口密度180人/km²と過疎的水準で、民間賃貸の新規需要は薄い。実需に裏付けられた格安戸建ての指値取得のみが現実的。 借家の空室率は約0%と需給は比較的引き締まっている。</t>
        </is>
      </c>
      <c r="V864" t="inlineStr">
        <is>
          <t>原村（長野県）：千曲川・天竜川水系の氾濫、内陸の活断層地震、山間部の土砂災害・雪害に注意。</t>
        </is>
      </c>
    </row>
    <row r="865">
      <c r="A865" t="inlineStr">
        <is>
          <t>長野県</t>
        </is>
      </c>
      <c r="B865" t="inlineStr">
        <is>
          <t>辰野町</t>
        </is>
      </c>
      <c r="C865" t="n">
        <v>7100</v>
      </c>
      <c r="D865" t="n">
        <v>17262</v>
      </c>
      <c r="E865" s="6" t="n">
        <v>100.8</v>
      </c>
      <c r="F865" s="7" t="n">
        <v>20.1</v>
      </c>
      <c r="G865" t="n">
        <v>18555</v>
      </c>
      <c r="H865" t="n">
        <v>17262</v>
      </c>
      <c r="I865" t="n">
        <v>16008</v>
      </c>
      <c r="J865" t="n">
        <v>12567</v>
      </c>
      <c r="K865" s="27">
        <f>(H865/D865-1)</f>
        <v/>
      </c>
      <c r="L865" s="27">
        <f>(I865/D865-1)</f>
        <v/>
      </c>
      <c r="M865" s="27">
        <f>(J865/D865-1)</f>
        <v/>
      </c>
      <c r="N865" t="n">
        <v>44.3</v>
      </c>
      <c r="O865" s="28">
        <f>(N865+F865)/2</f>
        <v/>
      </c>
      <c r="P865">
        <f>IF(O865="計算不能","計算不能",IF(O865&gt;=80,5,IF(O865&gt;=60,4,IF(O865&gt;=40,3,IF(O865&gt;=28,2,1)))))</f>
        <v/>
      </c>
      <c r="Q865" t="n">
        <v>1750</v>
      </c>
      <c r="R865" t="n">
        <v>450</v>
      </c>
      <c r="S865" s="27">
        <f>R865/Q865</f>
        <v/>
      </c>
      <c r="T865" t="inlineStr">
        <is>
          <t>辰野町は2045年までに人口が約27.2%減と明確な減少トレンド。高齢化の進行と世帯数の縮小により、中長期では賃貸需要の構造的縮小に警戒が必要。</t>
        </is>
      </c>
      <c r="U865" t="inlineStr">
        <is>
          <t>辰野町は人口密度101人/km²と過疎的水準で、民間賃貸の新規需要は薄い。実需に裏付けられた格安戸建ての指値取得のみが現実的。 借家の空室率は約26%と供給過多気味で、空室長期化リスクに要警戒。</t>
        </is>
      </c>
      <c r="V865" t="inlineStr">
        <is>
          <t>辰野町（長野県）：千曲川・天竜川水系の氾濫、内陸の活断層地震、山間部の土砂災害・雪害に注意。</t>
        </is>
      </c>
    </row>
    <row r="866">
      <c r="A866" t="inlineStr">
        <is>
          <t>長野県</t>
        </is>
      </c>
      <c r="B866" t="inlineStr">
        <is>
          <t>箕輪町</t>
        </is>
      </c>
      <c r="C866" t="n">
        <v>10240</v>
      </c>
      <c r="D866" t="n">
        <v>24315</v>
      </c>
      <c r="E866" s="6" t="n">
        <v>277.7</v>
      </c>
      <c r="F866" s="7" t="n">
        <v>33.9</v>
      </c>
      <c r="G866" t="n">
        <v>24989</v>
      </c>
      <c r="H866" t="n">
        <v>24315</v>
      </c>
      <c r="I866" t="n">
        <v>23433</v>
      </c>
      <c r="J866" t="n">
        <v>20573</v>
      </c>
      <c r="K866" s="27">
        <f>(H866/D866-1)</f>
        <v/>
      </c>
      <c r="L866" s="27">
        <f>(I866/D866-1)</f>
        <v/>
      </c>
      <c r="M866" s="27">
        <f>(J866/D866-1)</f>
        <v/>
      </c>
      <c r="N866" t="n">
        <v>59.6</v>
      </c>
      <c r="O866" s="28">
        <f>(N866+F866)/2</f>
        <v/>
      </c>
      <c r="P866">
        <f>IF(O866="計算不能","計算不能",IF(O866&gt;=80,5,IF(O866&gt;=60,4,IF(O866&gt;=40,3,IF(O866&gt;=28,2,1)))))</f>
        <v/>
      </c>
      <c r="Q866" t="n">
        <v>2525</v>
      </c>
      <c r="R866" t="n">
        <v>470</v>
      </c>
      <c r="S866" s="27">
        <f>R866/Q866</f>
        <v/>
      </c>
      <c r="T866" t="inlineStr">
        <is>
          <t>箕輪町は2045年までに人口が約15.4%減と明確な減少トレンド。高齢化の進行と世帯数の縮小により、中長期では賃貸需要の構造的縮小に警戒が必要。</t>
        </is>
      </c>
      <c r="U866" t="inlineStr">
        <is>
          <t>箕輪町は人口密度278人/km²と低密度で、賃貸需要は限定的。持ち家比率が高く、駐車場完備の戸建て賃貸が有利。 借家の空室率は約19%とやや高めで、競合との差別化が必要。</t>
        </is>
      </c>
      <c r="V866" t="inlineStr">
        <is>
          <t>箕輪町（長野県）：千曲川・天竜川水系の氾濫、内陸の活断層地震、山間部の土砂災害・雪害に注意。</t>
        </is>
      </c>
    </row>
    <row r="867">
      <c r="A867" t="inlineStr">
        <is>
          <t>長野県</t>
        </is>
      </c>
      <c r="B867" t="inlineStr">
        <is>
          <t>飯島町</t>
        </is>
      </c>
      <c r="C867" t="n">
        <v>3659</v>
      </c>
      <c r="D867" t="n">
        <v>8454</v>
      </c>
      <c r="E867" s="6" t="n">
        <v>97.7</v>
      </c>
      <c r="F867" s="7" t="n">
        <v>19.8</v>
      </c>
      <c r="G867" t="n">
        <v>9004</v>
      </c>
      <c r="H867" t="n">
        <v>8454</v>
      </c>
      <c r="I867" t="n">
        <v>7898</v>
      </c>
      <c r="J867" t="n">
        <v>6261</v>
      </c>
      <c r="K867" s="27">
        <f>(H867/D867-1)</f>
        <v/>
      </c>
      <c r="L867" s="27">
        <f>(I867/D867-1)</f>
        <v/>
      </c>
      <c r="M867" s="27">
        <f>(J867/D867-1)</f>
        <v/>
      </c>
      <c r="N867" t="n">
        <v>46.3</v>
      </c>
      <c r="O867" s="28">
        <f>(N867+F867)/2</f>
        <v/>
      </c>
      <c r="P867">
        <f>IF(O867="計算不能","計算不能",IF(O867&gt;=80,5,IF(O867&gt;=60,4,IF(O867&gt;=40,3,IF(O867&gt;=28,2,1)))))</f>
        <v/>
      </c>
      <c r="Q867" t="n">
        <v>902</v>
      </c>
      <c r="R867" t="n">
        <v>0</v>
      </c>
      <c r="S867" s="27">
        <f>R867/Q867</f>
        <v/>
      </c>
      <c r="T867" t="inlineStr">
        <is>
          <t>飯島町は2045年までに人口が約25.9%減と明確な減少トレンド。高齢化の進行と世帯数の縮小により、中長期では賃貸需要の構造的縮小に警戒が必要。</t>
        </is>
      </c>
      <c r="U867" t="inlineStr">
        <is>
          <t>飯島町は人口密度98人/km²と過疎的水準で、民間賃貸の新規需要は薄い。実需に裏付けられた格安戸建ての指値取得のみが現実的。 借家の空室率は約0%と需給は比較的引き締まっている。</t>
        </is>
      </c>
      <c r="V867" t="inlineStr">
        <is>
          <t>飯島町（長野県）：千曲川・天竜川水系の氾濫、内陸の活断層地震、山間部の土砂災害・雪害に注意。</t>
        </is>
      </c>
    </row>
    <row r="868">
      <c r="A868" t="inlineStr">
        <is>
          <t>長野県</t>
        </is>
      </c>
      <c r="B868" t="inlineStr">
        <is>
          <t>南箕輪村</t>
        </is>
      </c>
      <c r="C868" t="n">
        <v>6800</v>
      </c>
      <c r="D868" t="n">
        <v>16296</v>
      </c>
      <c r="E868" s="6" t="n">
        <v>390.3</v>
      </c>
      <c r="F868" s="7" t="n">
        <v>39.5</v>
      </c>
      <c r="G868" t="n">
        <v>15797</v>
      </c>
      <c r="H868" t="n">
        <v>16296</v>
      </c>
      <c r="I868" t="n">
        <v>16419</v>
      </c>
      <c r="J868" t="n">
        <v>16180</v>
      </c>
      <c r="K868" s="27">
        <f>(H868/D868-1)</f>
        <v/>
      </c>
      <c r="L868" s="27">
        <f>(I868/D868-1)</f>
        <v/>
      </c>
      <c r="M868" s="27">
        <f>(J868/D868-1)</f>
        <v/>
      </c>
      <c r="N868" t="n">
        <v>81.5</v>
      </c>
      <c r="O868" s="28">
        <f>(N868+F868)/2</f>
        <v/>
      </c>
      <c r="P868">
        <f>IF(O868="計算不能","計算不能",IF(O868&gt;=80,5,IF(O868&gt;=60,4,IF(O868&gt;=40,3,IF(O868&gt;=28,2,1)))))</f>
        <v/>
      </c>
      <c r="Q868" t="n">
        <v>1676</v>
      </c>
      <c r="R868" t="n">
        <v>470</v>
      </c>
      <c r="S868" s="27">
        <f>R868/Q868</f>
        <v/>
      </c>
      <c r="T868" t="inlineStr">
        <is>
          <t>南箕輪村は2045年までの人口減少率が約0.7%と全国平均より緩やかで、概ね横ばいの安定推移。生産年齢人口の維持により、賃貸需要の急減リスクは相対的に低い。</t>
        </is>
      </c>
      <c r="U868" t="inlineStr">
        <is>
          <t>南箕輪村は人口密度390人/km²と低密度で、賃貸需要は限定的。持ち家比率が高く、駐車場完備の戸建て賃貸が有利。 借家の空室率は約28%と供給過多気味で、空室長期化リスクに要警戒。</t>
        </is>
      </c>
      <c r="V868" t="inlineStr">
        <is>
          <t>南箕輪村（長野県）：千曲川・天竜川水系の氾濫、内陸の活断層地震、山間部の土砂災害・雪害に注意。</t>
        </is>
      </c>
    </row>
    <row r="869">
      <c r="A869" t="inlineStr">
        <is>
          <t>長野県</t>
        </is>
      </c>
      <c r="B869" t="inlineStr">
        <is>
          <t>中川村</t>
        </is>
      </c>
      <c r="C869" t="n">
        <v>1707</v>
      </c>
      <c r="D869" t="n">
        <v>4387</v>
      </c>
      <c r="E869" s="6" t="n">
        <v>56.5</v>
      </c>
      <c r="F869" s="7" t="n">
        <v>15.7</v>
      </c>
      <c r="G869" t="n">
        <v>4651</v>
      </c>
      <c r="H869" t="n">
        <v>4387</v>
      </c>
      <c r="I869" t="n">
        <v>4135</v>
      </c>
      <c r="J869" t="n">
        <v>3408</v>
      </c>
      <c r="K869" s="27">
        <f>(H869/D869-1)</f>
        <v/>
      </c>
      <c r="L869" s="27">
        <f>(I869/D869-1)</f>
        <v/>
      </c>
      <c r="M869" s="27">
        <f>(J869/D869-1)</f>
        <v/>
      </c>
      <c r="N869" t="n">
        <v>49.3</v>
      </c>
      <c r="O869" s="28">
        <f>(N869+F869)/2</f>
        <v/>
      </c>
      <c r="P869">
        <f>IF(O869="計算不能","計算不能",IF(O869&gt;=80,5,IF(O869&gt;=60,4,IF(O869&gt;=40,3,IF(O869&gt;=28,2,1)))))</f>
        <v/>
      </c>
      <c r="Q869" t="n">
        <v>420</v>
      </c>
      <c r="R869" t="n">
        <v>0</v>
      </c>
      <c r="S869" s="27">
        <f>R869/Q869</f>
        <v/>
      </c>
      <c r="T869" t="inlineStr">
        <is>
          <t>中川村は2045年までに人口が約22.3%減と明確な減少トレンド。高齢化の進行と世帯数の縮小により、中長期では賃貸需要の構造的縮小に警戒が必要。</t>
        </is>
      </c>
      <c r="U869" t="inlineStr">
        <is>
          <t>中川村は人口密度56人/km²と過疎的水準で、民間賃貸の新規需要は薄い。実需に裏付けられた格安戸建ての指値取得のみが現実的。 借家の空室率は約0%と需給は比較的引き締まっている。</t>
        </is>
      </c>
      <c r="V869" t="inlineStr">
        <is>
          <t>中川村（長野県）：千曲川・天竜川水系の氾濫、内陸の活断層地震、山間部の土砂災害・雪害に注意。</t>
        </is>
      </c>
    </row>
    <row r="870">
      <c r="A870" t="inlineStr">
        <is>
          <t>長野県</t>
        </is>
      </c>
      <c r="B870" t="inlineStr">
        <is>
          <t>宮田村</t>
        </is>
      </c>
      <c r="C870" t="n">
        <v>3595</v>
      </c>
      <c r="D870" t="n">
        <v>8241</v>
      </c>
      <c r="E870" s="6" t="n">
        <v>148.6</v>
      </c>
      <c r="F870" s="7" t="n">
        <v>24.9</v>
      </c>
      <c r="G870" t="n">
        <v>8569</v>
      </c>
      <c r="H870" t="n">
        <v>8241</v>
      </c>
      <c r="I870" t="n">
        <v>7910</v>
      </c>
      <c r="J870" t="n">
        <v>6989</v>
      </c>
      <c r="K870" s="27">
        <f>(H870/D870-1)</f>
        <v/>
      </c>
      <c r="L870" s="27">
        <f>(I870/D870-1)</f>
        <v/>
      </c>
      <c r="M870" s="27">
        <f>(J870/D870-1)</f>
        <v/>
      </c>
      <c r="N870" t="n">
        <v>57.3</v>
      </c>
      <c r="O870" s="28">
        <f>(N870+F870)/2</f>
        <v/>
      </c>
      <c r="P870">
        <f>IF(O870="計算不能","計算不能",IF(O870&gt;=80,5,IF(O870&gt;=60,4,IF(O870&gt;=40,3,IF(O870&gt;=28,2,1)))))</f>
        <v/>
      </c>
      <c r="Q870" t="n">
        <v>886</v>
      </c>
      <c r="R870" t="n">
        <v>0</v>
      </c>
      <c r="S870" s="27">
        <f>R870/Q870</f>
        <v/>
      </c>
      <c r="T870" t="inlineStr">
        <is>
          <t>宮田村は2045年までに人口が約15.2%減と明確な減少トレンド。高齢化の進行と世帯数の縮小により、中長期では賃貸需要の構造的縮小に警戒が必要。</t>
        </is>
      </c>
      <c r="U870" t="inlineStr">
        <is>
          <t>宮田村は人口密度149人/km²と過疎的水準で、民間賃貸の新規需要は薄い。実需に裏付けられた格安戸建ての指値取得のみが現実的。 借家の空室率は約0%と需給は比較的引き締まっている。</t>
        </is>
      </c>
      <c r="V870" t="inlineStr">
        <is>
          <t>宮田村（長野県）：千曲川・天竜川水系の氾濫、内陸の活断層地震、山間部の土砂災害・雪害に注意。</t>
        </is>
      </c>
    </row>
    <row r="871">
      <c r="A871" t="inlineStr">
        <is>
          <t>長野県</t>
        </is>
      </c>
      <c r="B871" t="inlineStr">
        <is>
          <t>松川町</t>
        </is>
      </c>
      <c r="C871" t="n">
        <v>4786</v>
      </c>
      <c r="D871" t="n">
        <v>11928</v>
      </c>
      <c r="E871" s="6" t="n">
        <v>162.6</v>
      </c>
      <c r="F871" s="7" t="n">
        <v>26.3</v>
      </c>
      <c r="G871" t="n">
        <v>12530</v>
      </c>
      <c r="H871" t="n">
        <v>11928</v>
      </c>
      <c r="I871" t="n">
        <v>11302</v>
      </c>
      <c r="J871" t="n">
        <v>9379</v>
      </c>
      <c r="K871" s="27">
        <f>(H871/D871-1)</f>
        <v/>
      </c>
      <c r="L871" s="27">
        <f>(I871/D871-1)</f>
        <v/>
      </c>
      <c r="M871" s="27">
        <f>(J871/D871-1)</f>
        <v/>
      </c>
      <c r="N871" t="n">
        <v>51.7</v>
      </c>
      <c r="O871" s="28">
        <f>(N871+F871)/2</f>
        <v/>
      </c>
      <c r="P871">
        <f>IF(O871="計算不能","計算不能",IF(O871&gt;=80,5,IF(O871&gt;=60,4,IF(O871&gt;=40,3,IF(O871&gt;=28,2,1)))))</f>
        <v/>
      </c>
      <c r="Q871" t="n">
        <v>1180</v>
      </c>
      <c r="R871" t="n">
        <v>0</v>
      </c>
      <c r="S871" s="27">
        <f>R871/Q871</f>
        <v/>
      </c>
      <c r="T871" t="inlineStr">
        <is>
          <t>松川町は2045年までに人口が約21.4%減と明確な減少トレンド。高齢化の進行と世帯数の縮小により、中長期では賃貸需要の構造的縮小に警戒が必要。</t>
        </is>
      </c>
      <c r="U871" t="inlineStr">
        <is>
          <t>松川町は人口密度163人/km²と過疎的水準で、民間賃貸の新規需要は薄い。実需に裏付けられた格安戸建ての指値取得のみが現実的。 借家の空室率は約0%と需給は比較的引き締まっている。</t>
        </is>
      </c>
      <c r="V871" t="inlineStr">
        <is>
          <t>松川町（長野県）：千曲川・天竜川水系の氾濫、内陸の活断層地震、山間部の土砂災害・雪害に注意。</t>
        </is>
      </c>
    </row>
    <row r="872">
      <c r="A872" t="inlineStr">
        <is>
          <t>長野県</t>
        </is>
      </c>
      <c r="B872" t="inlineStr">
        <is>
          <t>高森町</t>
        </is>
      </c>
      <c r="C872" t="n">
        <v>2934</v>
      </c>
      <c r="D872" t="n">
        <v>12346</v>
      </c>
      <c r="E872" s="6" t="n">
        <v>30.7</v>
      </c>
      <c r="F872" s="7" t="n">
        <v>13.1</v>
      </c>
      <c r="G872" t="n">
        <v>12811</v>
      </c>
      <c r="H872" t="n">
        <v>12346</v>
      </c>
      <c r="I872" t="n">
        <v>11894</v>
      </c>
      <c r="J872" t="n">
        <v>10637</v>
      </c>
      <c r="K872" s="27">
        <f>(H872/D872-1)</f>
        <v/>
      </c>
      <c r="L872" s="27">
        <f>(I872/D872-1)</f>
        <v/>
      </c>
      <c r="M872" s="27">
        <f>(J872/D872-1)</f>
        <v/>
      </c>
      <c r="N872" t="n">
        <v>58.6</v>
      </c>
      <c r="O872" s="28">
        <f>(N872+F872)/2</f>
        <v/>
      </c>
      <c r="P872">
        <f>IF(O872="計算不能","計算不能",IF(O872&gt;=80,5,IF(O872&gt;=60,4,IF(O872&gt;=40,3,IF(O872&gt;=28,2,1)))))</f>
        <v/>
      </c>
      <c r="Q872" t="n">
        <v>723</v>
      </c>
      <c r="R872" t="n">
        <v>0</v>
      </c>
      <c r="S872" s="27">
        <f>R872/Q872</f>
        <v/>
      </c>
      <c r="T872" t="inlineStr">
        <is>
          <t>高森町は2045年までに人口が約13.8%減と緩やかな減少局面。若年層の都市部流出と高齢化が進むが、当面の賃貸稼働は一定程度維持される見通し。</t>
        </is>
      </c>
      <c r="U872" t="inlineStr">
        <is>
          <t>高森町は人口密度31人/km²と過疎的水準で、民間賃貸の新規需要は薄い。実需に裏付けられた格安戸建ての指値取得のみが現実的。 借家の空室率は約0%と需給は比較的引き締まっている。</t>
        </is>
      </c>
      <c r="V872" t="inlineStr">
        <is>
          <t>高森町（長野県）：千曲川・天竜川水系の氾濫、内陸の活断層地震、山間部の土砂災害・雪害に注意。</t>
        </is>
      </c>
    </row>
    <row r="873">
      <c r="A873" t="inlineStr">
        <is>
          <t>長野県</t>
        </is>
      </c>
      <c r="B873" t="inlineStr">
        <is>
          <t>阿南町</t>
        </is>
      </c>
      <c r="C873" t="n">
        <v>1909</v>
      </c>
      <c r="D873" t="n">
        <v>3652</v>
      </c>
      <c r="E873" s="6" t="n">
        <v>29.9</v>
      </c>
      <c r="F873" s="7" t="n">
        <v>13</v>
      </c>
      <c r="G873" t="n">
        <v>4299</v>
      </c>
      <c r="H873" t="n">
        <v>3652</v>
      </c>
      <c r="I873" t="n">
        <v>3295</v>
      </c>
      <c r="J873" t="n">
        <v>2305</v>
      </c>
      <c r="K873" s="27">
        <f>(H873/D873-1)</f>
        <v/>
      </c>
      <c r="L873" s="27">
        <f>(I873/D873-1)</f>
        <v/>
      </c>
      <c r="M873" s="27">
        <f>(J873/D873-1)</f>
        <v/>
      </c>
      <c r="N873" t="n">
        <v>34.2</v>
      </c>
      <c r="O873" s="28">
        <f>(N873+F873)/2</f>
        <v/>
      </c>
      <c r="P873">
        <f>IF(O873="計算不能","計算不能",IF(O873&gt;=80,5,IF(O873&gt;=60,4,IF(O873&gt;=40,3,IF(O873&gt;=28,2,1)))))</f>
        <v/>
      </c>
      <c r="Q873" t="n">
        <v>470</v>
      </c>
      <c r="R873" t="n">
        <v>0</v>
      </c>
      <c r="S873" s="27">
        <f>R873/Q873</f>
        <v/>
      </c>
      <c r="T873" t="inlineStr">
        <is>
          <t>阿南町は2045年までに人口が約36.9%減と急激な過疎・超高齢化が進行。若年労働世代の流出と自然減が重なり、賃貸事業としての持続性は極めて限定的。</t>
        </is>
      </c>
      <c r="U873" t="inlineStr">
        <is>
          <t>阿南町は人口密度30人/km²と過疎的水準で、民間賃貸の新規需要は薄い。実需に裏付けられた格安戸建ての指値取得のみが現実的。 借家の空室率は約0%と需給は比較的引き締まっている。</t>
        </is>
      </c>
      <c r="V873" t="inlineStr">
        <is>
          <t>阿南町（長野県）：千曲川・天竜川水系の氾濫、内陸の活断層地震、山間部の土砂災害・雪害に注意。</t>
        </is>
      </c>
    </row>
    <row r="874">
      <c r="A874" t="inlineStr">
        <is>
          <t>長野県</t>
        </is>
      </c>
      <c r="B874" t="inlineStr">
        <is>
          <t>阿智村</t>
        </is>
      </c>
      <c r="C874" t="n">
        <v>2397</v>
      </c>
      <c r="D874" t="n">
        <v>5609</v>
      </c>
      <c r="E874" s="6" t="n">
        <v>26.7</v>
      </c>
      <c r="F874" s="7" t="n">
        <v>12.7</v>
      </c>
      <c r="G874" t="n">
        <v>6068</v>
      </c>
      <c r="H874" t="n">
        <v>5609</v>
      </c>
      <c r="I874" t="n">
        <v>5177</v>
      </c>
      <c r="J874" t="n">
        <v>3961</v>
      </c>
      <c r="K874" s="27">
        <f>(H874/D874-1)</f>
        <v/>
      </c>
      <c r="L874" s="27">
        <f>(I874/D874-1)</f>
        <v/>
      </c>
      <c r="M874" s="27">
        <f>(J874/D874-1)</f>
        <v/>
      </c>
      <c r="N874" t="n">
        <v>43.2</v>
      </c>
      <c r="O874" s="28">
        <f>(N874+F874)/2</f>
        <v/>
      </c>
      <c r="P874">
        <f>IF(O874="計算不能","計算不能",IF(O874&gt;=80,5,IF(O874&gt;=60,4,IF(O874&gt;=40,3,IF(O874&gt;=28,2,1)))))</f>
        <v/>
      </c>
      <c r="Q874" t="n">
        <v>591</v>
      </c>
      <c r="R874" t="n">
        <v>0</v>
      </c>
      <c r="S874" s="27">
        <f>R874/Q874</f>
        <v/>
      </c>
      <c r="T874" t="inlineStr">
        <is>
          <t>阿智村は2045年までに人口が約29.4%減と明確な減少トレンド。高齢化の進行と世帯数の縮小により、中長期では賃貸需要の構造的縮小に警戒が必要。</t>
        </is>
      </c>
      <c r="U874" t="inlineStr">
        <is>
          <t>阿智村は人口密度27人/km²と過疎的水準で、民間賃貸の新規需要は薄い。実需に裏付けられた格安戸建ての指値取得のみが現実的。 借家の空室率は約0%と需給は比較的引き締まっている。</t>
        </is>
      </c>
      <c r="V874" t="inlineStr">
        <is>
          <t>阿智村（長野県）：千曲川・天竜川水系の氾濫、内陸の活断層地震、山間部の土砂災害・雪害に注意。</t>
        </is>
      </c>
    </row>
    <row r="875">
      <c r="A875" t="inlineStr">
        <is>
          <t>長野県</t>
        </is>
      </c>
      <c r="B875" t="inlineStr">
        <is>
          <t>平谷村</t>
        </is>
      </c>
      <c r="C875" t="n">
        <v>191</v>
      </c>
      <c r="D875" t="n">
        <v>326</v>
      </c>
      <c r="E875" s="6" t="n">
        <v>4.6</v>
      </c>
      <c r="F875" s="7" t="n">
        <v>10.5</v>
      </c>
      <c r="G875" t="n">
        <v>387</v>
      </c>
      <c r="H875" t="n">
        <v>326</v>
      </c>
      <c r="I875" t="n">
        <v>273</v>
      </c>
      <c r="J875" t="n">
        <v>175</v>
      </c>
      <c r="K875" s="27">
        <f>(H875/D875-1)</f>
        <v/>
      </c>
      <c r="L875" s="27">
        <f>(I875/D875-1)</f>
        <v/>
      </c>
      <c r="M875" s="27">
        <f>(J875/D875-1)</f>
        <v/>
      </c>
      <c r="N875" t="n">
        <v>29.8</v>
      </c>
      <c r="O875" s="28">
        <f>(N875+F875)/2</f>
        <v/>
      </c>
      <c r="P875">
        <f>IF(O875="計算不能","計算不能",IF(O875&gt;=80,5,IF(O875&gt;=60,4,IF(O875&gt;=40,3,IF(O875&gt;=28,2,1)))))</f>
        <v/>
      </c>
      <c r="Q875" t="n">
        <v>47</v>
      </c>
      <c r="R875" t="n">
        <v>0</v>
      </c>
      <c r="S875" s="27">
        <f>R875/Q875</f>
        <v/>
      </c>
      <c r="T875" t="inlineStr">
        <is>
          <t>平谷村は2045年までに人口が約46.3%減と急激な過疎・超高齢化が進行。若年労働世代の流出と自然減が重なり、賃貸事業としての持続性は極めて限定的。</t>
        </is>
      </c>
      <c r="U875" t="inlineStr">
        <is>
          <t>平谷村は人口密度5人/km²と過疎的水準で、民間賃貸の新規需要は薄い。実需に裏付けられた格安戸建ての指値取得のみが現実的。 借家の空室率は約0%と需給は比較的引き締まっている。</t>
        </is>
      </c>
      <c r="V875" t="inlineStr">
        <is>
          <t>平谷村（長野県）：千曲川・天竜川水系の氾濫、内陸の活断層地震、山間部の土砂災害・雪害に注意。</t>
        </is>
      </c>
    </row>
    <row r="876">
      <c r="A876" t="inlineStr">
        <is>
          <t>長野県</t>
        </is>
      </c>
      <c r="B876" t="inlineStr">
        <is>
          <t>根羽村</t>
        </is>
      </c>
      <c r="C876" t="n">
        <v>400</v>
      </c>
      <c r="D876" t="n">
        <v>729</v>
      </c>
      <c r="E876" s="6" t="n">
        <v>8.699999999999999</v>
      </c>
      <c r="F876" s="7" t="n">
        <v>10.9</v>
      </c>
      <c r="G876" t="n">
        <v>852</v>
      </c>
      <c r="H876" t="n">
        <v>729</v>
      </c>
      <c r="I876" t="n">
        <v>639</v>
      </c>
      <c r="J876" t="n">
        <v>434</v>
      </c>
      <c r="K876" s="27">
        <f>(H876/D876-1)</f>
        <v/>
      </c>
      <c r="L876" s="27">
        <f>(I876/D876-1)</f>
        <v/>
      </c>
      <c r="M876" s="27">
        <f>(J876/D876-1)</f>
        <v/>
      </c>
      <c r="N876" t="n">
        <v>33.2</v>
      </c>
      <c r="O876" s="28">
        <f>(N876+F876)/2</f>
        <v/>
      </c>
      <c r="P876">
        <f>IF(O876="計算不能","計算不能",IF(O876&gt;=80,5,IF(O876&gt;=60,4,IF(O876&gt;=40,3,IF(O876&gt;=28,2,1)))))</f>
        <v/>
      </c>
      <c r="Q876" t="n">
        <v>98</v>
      </c>
      <c r="R876" t="n">
        <v>0</v>
      </c>
      <c r="S876" s="27">
        <f>R876/Q876</f>
        <v/>
      </c>
      <c r="T876" t="inlineStr">
        <is>
          <t>根羽村は2045年までに人口が約40.5%減と急激な過疎・超高齢化が進行。若年労働世代の流出と自然減が重なり、賃貸事業としての持続性は極めて限定的。</t>
        </is>
      </c>
      <c r="U876" t="inlineStr">
        <is>
          <t>根羽村は人口密度9人/km²と過疎的水準で、民間賃貸の新規需要は薄い。実需に裏付けられた格安戸建ての指値取得のみが現実的。 借家の空室率は約0%と需給は比較的引き締まっている。</t>
        </is>
      </c>
      <c r="V876" t="inlineStr">
        <is>
          <t>根羽村（長野県）：千曲川・天竜川水系の氾濫、内陸の活断層地震、山間部の土砂災害・雪害に注意。</t>
        </is>
      </c>
    </row>
    <row r="877">
      <c r="A877" t="inlineStr">
        <is>
          <t>長野県</t>
        </is>
      </c>
      <c r="B877" t="inlineStr">
        <is>
          <t>下條村</t>
        </is>
      </c>
      <c r="C877" t="n">
        <v>1263</v>
      </c>
      <c r="D877" t="n">
        <v>3296</v>
      </c>
      <c r="E877" s="6" t="n">
        <v>82.3</v>
      </c>
      <c r="F877" s="7" t="n">
        <v>18.2</v>
      </c>
      <c r="G877" t="n">
        <v>3545</v>
      </c>
      <c r="H877" t="n">
        <v>3296</v>
      </c>
      <c r="I877" t="n">
        <v>3078</v>
      </c>
      <c r="J877" t="n">
        <v>2473</v>
      </c>
      <c r="K877" s="27">
        <f>(H877/D877-1)</f>
        <v/>
      </c>
      <c r="L877" s="27">
        <f>(I877/D877-1)</f>
        <v/>
      </c>
      <c r="M877" s="27">
        <f>(J877/D877-1)</f>
        <v/>
      </c>
      <c r="N877" t="n">
        <v>45</v>
      </c>
      <c r="O877" s="28">
        <f>(N877+F877)/2</f>
        <v/>
      </c>
      <c r="P877">
        <f>IF(O877="計算不能","計算不能",IF(O877&gt;=80,5,IF(O877&gt;=60,4,IF(O877&gt;=40,3,IF(O877&gt;=28,2,1)))))</f>
        <v/>
      </c>
      <c r="Q877" t="n">
        <v>311</v>
      </c>
      <c r="R877" t="n">
        <v>0</v>
      </c>
      <c r="S877" s="27">
        <f>R877/Q877</f>
        <v/>
      </c>
      <c r="T877" t="inlineStr">
        <is>
          <t>下條村は2045年までに人口が約25.0%減と明確な減少トレンド。高齢化の進行と世帯数の縮小により、中長期では賃貸需要の構造的縮小に警戒が必要。</t>
        </is>
      </c>
      <c r="U877" t="inlineStr">
        <is>
          <t>下條村は人口密度82人/km²と過疎的水準で、民間賃貸の新規需要は薄い。実需に裏付けられた格安戸建ての指値取得のみが現実的。 借家の空室率は約0%と需給は比較的引き締まっている。</t>
        </is>
      </c>
      <c r="V877" t="inlineStr">
        <is>
          <t>下條村（長野県）：千曲川・天竜川水系の氾濫、内陸の活断層地震、山間部の土砂災害・雪害に注意。</t>
        </is>
      </c>
    </row>
    <row r="878">
      <c r="A878" t="inlineStr">
        <is>
          <t>長野県</t>
        </is>
      </c>
      <c r="B878" t="inlineStr">
        <is>
          <t>売木村</t>
        </is>
      </c>
      <c r="C878" t="n">
        <v>263</v>
      </c>
      <c r="D878" t="n">
        <v>490</v>
      </c>
      <c r="E878" s="6" t="n">
        <v>10.4</v>
      </c>
      <c r="F878" s="7" t="n">
        <v>11</v>
      </c>
      <c r="G878" t="n">
        <v>548</v>
      </c>
      <c r="H878" t="n">
        <v>490</v>
      </c>
      <c r="I878" t="n">
        <v>444</v>
      </c>
      <c r="J878" t="n">
        <v>357</v>
      </c>
      <c r="K878" s="27">
        <f>(H878/D878-1)</f>
        <v/>
      </c>
      <c r="L878" s="27">
        <f>(I878/D878-1)</f>
        <v/>
      </c>
      <c r="M878" s="27">
        <f>(J878/D878-1)</f>
        <v/>
      </c>
      <c r="N878" t="n">
        <v>40.4</v>
      </c>
      <c r="O878" s="28">
        <f>(N878+F878)/2</f>
        <v/>
      </c>
      <c r="P878">
        <f>IF(O878="計算不能","計算不能",IF(O878&gt;=80,5,IF(O878&gt;=60,4,IF(O878&gt;=40,3,IF(O878&gt;=28,2,1)))))</f>
        <v/>
      </c>
      <c r="Q878" t="n">
        <v>64</v>
      </c>
      <c r="R878" t="n">
        <v>0</v>
      </c>
      <c r="S878" s="27">
        <f>R878/Q878</f>
        <v/>
      </c>
      <c r="T878" t="inlineStr">
        <is>
          <t>売木村は2045年までに人口が約27.1%減と明確な減少トレンド。高齢化の進行と世帯数の縮小により、中長期では賃貸需要の構造的縮小に警戒が必要。</t>
        </is>
      </c>
      <c r="U878" t="inlineStr">
        <is>
          <t>売木村は人口密度10人/km²と過疎的水準で、民間賃貸の新規需要は薄い。実需に裏付けられた格安戸建ての指値取得のみが現実的。 借家の空室率は約0%と需給は比較的引き締まっている。</t>
        </is>
      </c>
      <c r="V878" t="inlineStr">
        <is>
          <t>売木村（長野県）：千曲川・天竜川水系の氾濫、内陸の活断層地震、山間部の土砂災害・雪害に注意。</t>
        </is>
      </c>
    </row>
    <row r="879">
      <c r="A879" t="inlineStr">
        <is>
          <t>長野県</t>
        </is>
      </c>
      <c r="B879" t="inlineStr">
        <is>
          <t>天龍村</t>
        </is>
      </c>
      <c r="C879" t="n">
        <v>596</v>
      </c>
      <c r="D879" t="n">
        <v>911</v>
      </c>
      <c r="E879" s="6" t="n">
        <v>8.800000000000001</v>
      </c>
      <c r="F879" s="7" t="n">
        <v>10.9</v>
      </c>
      <c r="G879" t="n">
        <v>1178</v>
      </c>
      <c r="H879" t="n">
        <v>911</v>
      </c>
      <c r="I879" t="n">
        <v>779</v>
      </c>
      <c r="J879" t="n">
        <v>445</v>
      </c>
      <c r="K879" s="27">
        <f>(H879/D879-1)</f>
        <v/>
      </c>
      <c r="L879" s="27">
        <f>(I879/D879-1)</f>
        <v/>
      </c>
      <c r="M879" s="27">
        <f>(J879/D879-1)</f>
        <v/>
      </c>
      <c r="N879" t="n">
        <v>26.8</v>
      </c>
      <c r="O879" s="28">
        <f>(N879+F879)/2</f>
        <v/>
      </c>
      <c r="P879">
        <f>IF(O879="計算不能","計算不能",IF(O879&gt;=80,5,IF(O879&gt;=60,4,IF(O879&gt;=40,3,IF(O879&gt;=28,2,1)))))</f>
        <v/>
      </c>
      <c r="Q879" t="n">
        <v>146</v>
      </c>
      <c r="R879" t="n">
        <v>0</v>
      </c>
      <c r="S879" s="27">
        <f>R879/Q879</f>
        <v/>
      </c>
      <c r="T879" t="inlineStr">
        <is>
          <t>天龍村は2045年までに人口が約51.2%減と急激な過疎・超高齢化が進行。若年労働世代の流出と自然減が重なり、賃貸事業としての持続性は極めて限定的。</t>
        </is>
      </c>
      <c r="U879" t="inlineStr">
        <is>
          <t>天龍村は人口密度9人/km²と過疎的水準で、民間賃貸の新規需要は薄い。実需に裏付けられた格安戸建ての指値取得のみが現実的。 借家の空室率は約0%と需給は比較的引き締まっている。</t>
        </is>
      </c>
      <c r="V879" t="inlineStr">
        <is>
          <t>天龍村（長野県）：千曲川・天竜川水系の氾濫、内陸の活断層地震、山間部の土砂災害・雪害に注意。</t>
        </is>
      </c>
    </row>
    <row r="880">
      <c r="A880" t="inlineStr">
        <is>
          <t>長野県</t>
        </is>
      </c>
      <c r="B880" t="inlineStr">
        <is>
          <t>泰阜村</t>
        </is>
      </c>
      <c r="C880" t="n">
        <v>644</v>
      </c>
      <c r="D880" t="n">
        <v>1347</v>
      </c>
      <c r="E880" s="6" t="n">
        <v>21.3</v>
      </c>
      <c r="F880" s="7" t="n">
        <v>12.1</v>
      </c>
      <c r="G880" t="n">
        <v>1542</v>
      </c>
      <c r="H880" t="n">
        <v>1347</v>
      </c>
      <c r="I880" t="n">
        <v>1258</v>
      </c>
      <c r="J880" t="n">
        <v>992</v>
      </c>
      <c r="K880" s="27">
        <f>(H880/D880-1)</f>
        <v/>
      </c>
      <c r="L880" s="27">
        <f>(I880/D880-1)</f>
        <v/>
      </c>
      <c r="M880" s="27">
        <f>(J880/D880-1)</f>
        <v/>
      </c>
      <c r="N880" t="n">
        <v>39.6</v>
      </c>
      <c r="O880" s="28">
        <f>(N880+F880)/2</f>
        <v/>
      </c>
      <c r="P880">
        <f>IF(O880="計算不能","計算不能",IF(O880&gt;=80,5,IF(O880&gt;=60,4,IF(O880&gt;=40,3,IF(O880&gt;=28,2,1)))))</f>
        <v/>
      </c>
      <c r="Q880" t="n">
        <v>158</v>
      </c>
      <c r="R880" t="n">
        <v>0</v>
      </c>
      <c r="S880" s="27">
        <f>R880/Q880</f>
        <v/>
      </c>
      <c r="T880" t="inlineStr">
        <is>
          <t>泰阜村は2045年までに人口が約26.4%減と明確な減少トレンド。高齢化の進行と世帯数の縮小により、中長期では賃貸需要の構造的縮小に警戒が必要。</t>
        </is>
      </c>
      <c r="U880" t="inlineStr">
        <is>
          <t>泰阜村は人口密度21人/km²と過疎的水準で、民間賃貸の新規需要は薄い。実需に裏付けられた格安戸建ての指値取得のみが現実的。 借家の空室率は約0%と需給は比較的引き締まっている。</t>
        </is>
      </c>
      <c r="V880" t="inlineStr">
        <is>
          <t>泰阜村（長野県）：千曲川・天竜川水系の氾濫、内陸の活断層地震、山間部の土砂災害・雪害に注意。</t>
        </is>
      </c>
    </row>
    <row r="881">
      <c r="A881" t="inlineStr">
        <is>
          <t>長野県</t>
        </is>
      </c>
      <c r="B881" t="inlineStr">
        <is>
          <t>喬木村</t>
        </is>
      </c>
      <c r="C881" t="n">
        <v>2156</v>
      </c>
      <c r="D881" t="n">
        <v>5634</v>
      </c>
      <c r="E881" s="6" t="n">
        <v>82.8</v>
      </c>
      <c r="F881" s="7" t="n">
        <v>18.3</v>
      </c>
      <c r="G881" t="n">
        <v>5973</v>
      </c>
      <c r="H881" t="n">
        <v>5634</v>
      </c>
      <c r="I881" t="n">
        <v>5314</v>
      </c>
      <c r="J881" t="n">
        <v>4406</v>
      </c>
      <c r="K881" s="27">
        <f>(H881/D881-1)</f>
        <v/>
      </c>
      <c r="L881" s="27">
        <f>(I881/D881-1)</f>
        <v/>
      </c>
      <c r="M881" s="27">
        <f>(J881/D881-1)</f>
        <v/>
      </c>
      <c r="N881" t="n">
        <v>49.6</v>
      </c>
      <c r="O881" s="28">
        <f>(N881+F881)/2</f>
        <v/>
      </c>
      <c r="P881">
        <f>IF(O881="計算不能","計算不能",IF(O881&gt;=80,5,IF(O881&gt;=60,4,IF(O881&gt;=40,3,IF(O881&gt;=28,2,1)))))</f>
        <v/>
      </c>
      <c r="Q881" t="n">
        <v>531</v>
      </c>
      <c r="R881" t="n">
        <v>0</v>
      </c>
      <c r="S881" s="27">
        <f>R881/Q881</f>
        <v/>
      </c>
      <c r="T881" t="inlineStr">
        <is>
          <t>喬木村は2045年までに人口が約21.8%減と明確な減少トレンド。高齢化の進行と世帯数の縮小により、中長期では賃貸需要の構造的縮小に警戒が必要。</t>
        </is>
      </c>
      <c r="U881" t="inlineStr">
        <is>
          <t>喬木村は人口密度83人/km²と過疎的水準で、民間賃貸の新規需要は薄い。実需に裏付けられた格安戸建ての指値取得のみが現実的。 借家の空室率は約0%と需給は比較的引き締まっている。</t>
        </is>
      </c>
      <c r="V881" t="inlineStr">
        <is>
          <t>喬木村（長野県）：千曲川・天竜川水系の氾濫、内陸の活断層地震、山間部の土砂災害・雪害に注意。</t>
        </is>
      </c>
    </row>
    <row r="882">
      <c r="A882" t="inlineStr">
        <is>
          <t>長野県</t>
        </is>
      </c>
      <c r="B882" t="inlineStr">
        <is>
          <t>豊丘村</t>
        </is>
      </c>
      <c r="C882" t="n">
        <v>2253</v>
      </c>
      <c r="D882" t="n">
        <v>6144</v>
      </c>
      <c r="E882" s="6" t="n">
        <v>80.90000000000001</v>
      </c>
      <c r="F882" s="7" t="n">
        <v>18.1</v>
      </c>
      <c r="G882" t="n">
        <v>6426</v>
      </c>
      <c r="H882" t="n">
        <v>6144</v>
      </c>
      <c r="I882" t="n">
        <v>5891</v>
      </c>
      <c r="J882" t="n">
        <v>5133</v>
      </c>
      <c r="K882" s="27">
        <f>(H882/D882-1)</f>
        <v/>
      </c>
      <c r="L882" s="27">
        <f>(I882/D882-1)</f>
        <v/>
      </c>
      <c r="M882" s="27">
        <f>(J882/D882-1)</f>
        <v/>
      </c>
      <c r="N882" t="n">
        <v>55.6</v>
      </c>
      <c r="O882" s="28">
        <f>(N882+F882)/2</f>
        <v/>
      </c>
      <c r="P882">
        <f>IF(O882="計算不能","計算不能",IF(O882&gt;=80,5,IF(O882&gt;=60,4,IF(O882&gt;=40,3,IF(O882&gt;=28,2,1)))))</f>
        <v/>
      </c>
      <c r="Q882" t="n">
        <v>555</v>
      </c>
      <c r="R882" t="n">
        <v>0</v>
      </c>
      <c r="S882" s="27">
        <f>R882/Q882</f>
        <v/>
      </c>
      <c r="T882" t="inlineStr">
        <is>
          <t>豊丘村は2045年までに人口が約16.5%減と明確な減少トレンド。高齢化の進行と世帯数の縮小により、中長期では賃貸需要の構造的縮小に警戒が必要。</t>
        </is>
      </c>
      <c r="U882" t="inlineStr">
        <is>
          <t>豊丘村は人口密度81人/km²と過疎的水準で、民間賃貸の新規需要は薄い。実需に裏付けられた格安戸建ての指値取得のみが現実的。 借家の空室率は約0%と需給は比較的引き締まっている。</t>
        </is>
      </c>
      <c r="V882" t="inlineStr">
        <is>
          <t>豊丘村（長野県）：千曲川・天竜川水系の氾濫、内陸の活断層地震、山間部の土砂災害・雪害に注意。</t>
        </is>
      </c>
    </row>
    <row r="883">
      <c r="A883" t="inlineStr">
        <is>
          <t>長野県</t>
        </is>
      </c>
      <c r="B883" t="inlineStr">
        <is>
          <t>大鹿村</t>
        </is>
      </c>
      <c r="C883" t="n">
        <v>455</v>
      </c>
      <c r="D883" t="n">
        <v>878</v>
      </c>
      <c r="E883" s="6" t="n">
        <v>3.8</v>
      </c>
      <c r="F883" s="7" t="n">
        <v>10.4</v>
      </c>
      <c r="G883" t="n">
        <v>1023</v>
      </c>
      <c r="H883" t="n">
        <v>878</v>
      </c>
      <c r="I883" t="n">
        <v>773</v>
      </c>
      <c r="J883" t="n">
        <v>562</v>
      </c>
      <c r="K883" s="27">
        <f>(H883/D883-1)</f>
        <v/>
      </c>
      <c r="L883" s="27">
        <f>(I883/D883-1)</f>
        <v/>
      </c>
      <c r="M883" s="27">
        <f>(J883/D883-1)</f>
        <v/>
      </c>
      <c r="N883" t="n">
        <v>34.5</v>
      </c>
      <c r="O883" s="28">
        <f>(N883+F883)/2</f>
        <v/>
      </c>
      <c r="P883">
        <f>IF(O883="計算不能","計算不能",IF(O883&gt;=80,5,IF(O883&gt;=60,4,IF(O883&gt;=40,3,IF(O883&gt;=28,2,1)))))</f>
        <v/>
      </c>
      <c r="Q883" t="n">
        <v>112</v>
      </c>
      <c r="R883" t="n">
        <v>0</v>
      </c>
      <c r="S883" s="27">
        <f>R883/Q883</f>
        <v/>
      </c>
      <c r="T883" t="inlineStr">
        <is>
          <t>大鹿村は2045年までに人口が約36.0%減と急激な過疎・超高齢化が進行。若年労働世代の流出と自然減が重なり、賃貸事業としての持続性は極めて限定的。</t>
        </is>
      </c>
      <c r="U883" t="inlineStr">
        <is>
          <t>大鹿村は人口密度4人/km²と過疎的水準で、民間賃貸の新規需要は薄い。実需に裏付けられた格安戸建ての指値取得のみが現実的。 借家の空室率は約0%と需給は比較的引き締まっている。</t>
        </is>
      </c>
      <c r="V883" t="inlineStr">
        <is>
          <t>大鹿村（長野県）：千曲川・天竜川水系の氾濫、内陸の活断層地震、山間部の土砂災害・雪害に注意。</t>
        </is>
      </c>
    </row>
    <row r="884">
      <c r="A884" t="inlineStr">
        <is>
          <t>長野県</t>
        </is>
      </c>
      <c r="B884" t="inlineStr">
        <is>
          <t>上松町</t>
        </is>
      </c>
      <c r="C884" t="n">
        <v>1973</v>
      </c>
      <c r="D884" t="n">
        <v>3581</v>
      </c>
      <c r="E884" s="6" t="n">
        <v>21.7</v>
      </c>
      <c r="F884" s="7" t="n">
        <v>12.2</v>
      </c>
      <c r="G884" t="n">
        <v>4131</v>
      </c>
      <c r="H884" t="n">
        <v>3581</v>
      </c>
      <c r="I884" t="n">
        <v>3252</v>
      </c>
      <c r="J884" t="n">
        <v>2284</v>
      </c>
      <c r="K884" s="27">
        <f>(H884/D884-1)</f>
        <v/>
      </c>
      <c r="L884" s="27">
        <f>(I884/D884-1)</f>
        <v/>
      </c>
      <c r="M884" s="27">
        <f>(J884/D884-1)</f>
        <v/>
      </c>
      <c r="N884" t="n">
        <v>36</v>
      </c>
      <c r="O884" s="28">
        <f>(N884+F884)/2</f>
        <v/>
      </c>
      <c r="P884">
        <f>IF(O884="計算不能","計算不能",IF(O884&gt;=80,5,IF(O884&gt;=60,4,IF(O884&gt;=40,3,IF(O884&gt;=28,2,1)))))</f>
        <v/>
      </c>
      <c r="Q884" t="n">
        <v>486</v>
      </c>
      <c r="R884" t="n">
        <v>0</v>
      </c>
      <c r="S884" s="27">
        <f>R884/Q884</f>
        <v/>
      </c>
      <c r="T884" t="inlineStr">
        <is>
          <t>上松町は2045年までに人口が約36.2%減と急激な過疎・超高齢化が進行。若年労働世代の流出と自然減が重なり、賃貸事業としての持続性は極めて限定的。</t>
        </is>
      </c>
      <c r="U884" t="inlineStr">
        <is>
          <t>上松町は人口密度22人/km²と過疎的水準で、民間賃貸の新規需要は薄い。実需に裏付けられた格安戸建ての指値取得のみが現実的。 借家の空室率は約0%と需給は比較的引き締まっている。</t>
        </is>
      </c>
      <c r="V884" t="inlineStr">
        <is>
          <t>上松町（長野県）：千曲川・天竜川水系の氾濫、内陸の活断層地震、山間部の土砂災害・雪害に注意。</t>
        </is>
      </c>
    </row>
    <row r="885">
      <c r="A885" t="inlineStr">
        <is>
          <t>長野県</t>
        </is>
      </c>
      <c r="B885" t="inlineStr">
        <is>
          <t>南木曽町</t>
        </is>
      </c>
      <c r="C885" t="n">
        <v>1632</v>
      </c>
      <c r="D885" t="n">
        <v>3381</v>
      </c>
      <c r="E885" s="6" t="n">
        <v>16.4</v>
      </c>
      <c r="F885" s="7" t="n">
        <v>11.6</v>
      </c>
      <c r="G885" t="n">
        <v>3915</v>
      </c>
      <c r="H885" t="n">
        <v>3381</v>
      </c>
      <c r="I885" t="n">
        <v>3072</v>
      </c>
      <c r="J885" t="n">
        <v>2246</v>
      </c>
      <c r="K885" s="27">
        <f>(H885/D885-1)</f>
        <v/>
      </c>
      <c r="L885" s="27">
        <f>(I885/D885-1)</f>
        <v/>
      </c>
      <c r="M885" s="27">
        <f>(J885/D885-1)</f>
        <v/>
      </c>
      <c r="N885" t="n">
        <v>36.3</v>
      </c>
      <c r="O885" s="28">
        <f>(N885+F885)/2</f>
        <v/>
      </c>
      <c r="P885">
        <f>IF(O885="計算不能","計算不能",IF(O885&gt;=80,5,IF(O885&gt;=60,4,IF(O885&gt;=40,3,IF(O885&gt;=28,2,1)))))</f>
        <v/>
      </c>
      <c r="Q885" t="n">
        <v>402</v>
      </c>
      <c r="R885" t="n">
        <v>0</v>
      </c>
      <c r="S885" s="27">
        <f>R885/Q885</f>
        <v/>
      </c>
      <c r="T885" t="inlineStr">
        <is>
          <t>南木曽町は2045年までに人口が約33.6%減と急激な過疎・超高齢化が進行。若年労働世代の流出と自然減が重なり、賃貸事業としての持続性は極めて限定的。</t>
        </is>
      </c>
      <c r="U885" t="inlineStr">
        <is>
          <t>南木曽町は人口密度16人/km²と過疎的水準で、民間賃貸の新規需要は薄い。実需に裏付けられた格安戸建ての指値取得のみが現実的。 借家の空室率は約0%と需給は比較的引き締まっている。</t>
        </is>
      </c>
      <c r="V885" t="inlineStr">
        <is>
          <t>南木曽町（長野県）：千曲川・天竜川水系の氾濫、内陸の活断層地震、山間部の土砂災害・雪害に注意。</t>
        </is>
      </c>
    </row>
    <row r="886">
      <c r="A886" t="inlineStr">
        <is>
          <t>長野県</t>
        </is>
      </c>
      <c r="B886" t="inlineStr">
        <is>
          <t>木祖村</t>
        </is>
      </c>
      <c r="C886" t="n">
        <v>1079</v>
      </c>
      <c r="D886" t="n">
        <v>2402</v>
      </c>
      <c r="E886" s="6" t="n">
        <v>16.7</v>
      </c>
      <c r="F886" s="7" t="n">
        <v>11.7</v>
      </c>
      <c r="G886" t="n">
        <v>2692</v>
      </c>
      <c r="H886" t="n">
        <v>2402</v>
      </c>
      <c r="I886" t="n">
        <v>2229</v>
      </c>
      <c r="J886" t="n">
        <v>1725</v>
      </c>
      <c r="K886" s="27">
        <f>(H886/D886-1)</f>
        <v/>
      </c>
      <c r="L886" s="27">
        <f>(I886/D886-1)</f>
        <v/>
      </c>
      <c r="M886" s="27">
        <f>(J886/D886-1)</f>
        <v/>
      </c>
      <c r="N886" t="n">
        <v>40.7</v>
      </c>
      <c r="O886" s="28">
        <f>(N886+F886)/2</f>
        <v/>
      </c>
      <c r="P886">
        <f>IF(O886="計算不能","計算不能",IF(O886&gt;=80,5,IF(O886&gt;=60,4,IF(O886&gt;=40,3,IF(O886&gt;=28,2,1)))))</f>
        <v/>
      </c>
      <c r="Q886" t="n">
        <v>266</v>
      </c>
      <c r="R886" t="n">
        <v>0</v>
      </c>
      <c r="S886" s="27">
        <f>R886/Q886</f>
        <v/>
      </c>
      <c r="T886" t="inlineStr">
        <is>
          <t>木祖村は2045年までに人口が約28.2%減と明確な減少トレンド。高齢化の進行と世帯数の縮小により、中長期では賃貸需要の構造的縮小に警戒が必要。</t>
        </is>
      </c>
      <c r="U886" t="inlineStr">
        <is>
          <t>木祖村は人口密度17人/km²と過疎的水準で、民間賃貸の新規需要は薄い。実需に裏付けられた格安戸建ての指値取得のみが現実的。 借家の空室率は約0%と需給は比較的引き締まっている。</t>
        </is>
      </c>
      <c r="V886" t="inlineStr">
        <is>
          <t>木祖村（長野県）：千曲川・天竜川水系の氾濫、内陸の活断層地震、山間部の土砂災害・雪害に注意。</t>
        </is>
      </c>
    </row>
    <row r="887">
      <c r="A887" t="inlineStr">
        <is>
          <t>長野県</t>
        </is>
      </c>
      <c r="B887" t="inlineStr">
        <is>
          <t>王滝村</t>
        </is>
      </c>
      <c r="C887" t="n">
        <v>356</v>
      </c>
      <c r="D887" t="n">
        <v>618</v>
      </c>
      <c r="E887" s="6" t="n">
        <v>1.9</v>
      </c>
      <c r="F887" s="7" t="n">
        <v>10.2</v>
      </c>
      <c r="G887" t="n">
        <v>715</v>
      </c>
      <c r="H887" t="n">
        <v>618</v>
      </c>
      <c r="I887" t="n">
        <v>539</v>
      </c>
      <c r="J887" t="n">
        <v>344</v>
      </c>
      <c r="K887" s="27">
        <f>(H887/D887-1)</f>
        <v/>
      </c>
      <c r="L887" s="27">
        <f>(I887/D887-1)</f>
        <v/>
      </c>
      <c r="M887" s="27">
        <f>(J887/D887-1)</f>
        <v/>
      </c>
      <c r="N887" t="n">
        <v>33</v>
      </c>
      <c r="O887" s="28">
        <f>(N887+F887)/2</f>
        <v/>
      </c>
      <c r="P887">
        <f>IF(O887="計算不能","計算不能",IF(O887&gt;=80,5,IF(O887&gt;=60,4,IF(O887&gt;=40,3,IF(O887&gt;=28,2,1)))))</f>
        <v/>
      </c>
      <c r="Q887" t="n">
        <v>87</v>
      </c>
      <c r="R887" t="n">
        <v>0</v>
      </c>
      <c r="S887" s="27">
        <f>R887/Q887</f>
        <v/>
      </c>
      <c r="T887" t="inlineStr">
        <is>
          <t>王滝村は2045年までに人口が約44.3%減と急激な過疎・超高齢化が進行。若年労働世代の流出と自然減が重なり、賃貸事業としての持続性は極めて限定的。</t>
        </is>
      </c>
      <c r="U887" t="inlineStr">
        <is>
          <t>王滝村は人口密度2人/km²と過疎的水準で、民間賃貸の新規需要は薄い。実需に裏付けられた格安戸建ての指値取得のみが現実的。 借家の空室率は約0%と需給は比較的引き締まっている。</t>
        </is>
      </c>
      <c r="V887" t="inlineStr">
        <is>
          <t>王滝村（長野県）：千曲川・天竜川水系の氾濫、内陸の活断層地震、山間部の土砂災害・雪害に注意。</t>
        </is>
      </c>
    </row>
    <row r="888">
      <c r="A888" t="inlineStr">
        <is>
          <t>長野県</t>
        </is>
      </c>
      <c r="B888" t="inlineStr">
        <is>
          <t>大桑村</t>
        </is>
      </c>
      <c r="C888" t="n">
        <v>1460</v>
      </c>
      <c r="D888" t="n">
        <v>3096</v>
      </c>
      <c r="E888" s="6" t="n">
        <v>12.7</v>
      </c>
      <c r="F888" s="7" t="n">
        <v>11.3</v>
      </c>
      <c r="G888" t="n">
        <v>3439</v>
      </c>
      <c r="H888" t="n">
        <v>3096</v>
      </c>
      <c r="I888" t="n">
        <v>2791</v>
      </c>
      <c r="J888" t="n">
        <v>1974</v>
      </c>
      <c r="K888" s="27">
        <f>(H888/D888-1)</f>
        <v/>
      </c>
      <c r="L888" s="27">
        <f>(I888/D888-1)</f>
        <v/>
      </c>
      <c r="M888" s="27">
        <f>(J888/D888-1)</f>
        <v/>
      </c>
      <c r="N888" t="n">
        <v>38.8</v>
      </c>
      <c r="O888" s="28">
        <f>(N888+F888)/2</f>
        <v/>
      </c>
      <c r="P888">
        <f>IF(O888="計算不能","計算不能",IF(O888&gt;=80,5,IF(O888&gt;=60,4,IF(O888&gt;=40,3,IF(O888&gt;=28,2,1)))))</f>
        <v/>
      </c>
      <c r="Q888" t="n">
        <v>360</v>
      </c>
      <c r="R888" t="n">
        <v>0</v>
      </c>
      <c r="S888" s="27">
        <f>R888/Q888</f>
        <v/>
      </c>
      <c r="T888" t="inlineStr">
        <is>
          <t>大桑村は2045年までに人口が約36.2%減と急激な過疎・超高齢化が進行。若年労働世代の流出と自然減が重なり、賃貸事業としての持続性は極めて限定的。</t>
        </is>
      </c>
      <c r="U888" t="inlineStr">
        <is>
          <t>大桑村は人口密度13人/km²と過疎的水準で、民間賃貸の新規需要は薄い。実需に裏付けられた格安戸建ての指値取得のみが現実的。 借家の空室率は約0%と需給は比較的引き締まっている。</t>
        </is>
      </c>
      <c r="V888" t="inlineStr">
        <is>
          <t>大桑村（長野県）：千曲川・天竜川水系の氾濫、内陸の活断層地震、山間部の土砂災害・雪害に注意。</t>
        </is>
      </c>
    </row>
    <row r="889">
      <c r="A889" t="inlineStr">
        <is>
          <t>長野県</t>
        </is>
      </c>
      <c r="B889" t="inlineStr">
        <is>
          <t>木曽町</t>
        </is>
      </c>
      <c r="C889" t="n">
        <v>4794</v>
      </c>
      <c r="D889" t="n">
        <v>9271</v>
      </c>
      <c r="E889" s="6" t="n">
        <v>20</v>
      </c>
      <c r="F889" s="7" t="n">
        <v>12</v>
      </c>
      <c r="G889" t="n">
        <v>10584</v>
      </c>
      <c r="H889" t="n">
        <v>9271</v>
      </c>
      <c r="I889" t="n">
        <v>8476</v>
      </c>
      <c r="J889" t="n">
        <v>6104</v>
      </c>
      <c r="K889" s="27">
        <f>(H889/D889-1)</f>
        <v/>
      </c>
      <c r="L889" s="27">
        <f>(I889/D889-1)</f>
        <v/>
      </c>
      <c r="M889" s="27">
        <f>(J889/D889-1)</f>
        <v/>
      </c>
      <c r="N889" t="n">
        <v>37.5</v>
      </c>
      <c r="O889" s="28">
        <f>(N889+F889)/2</f>
        <v/>
      </c>
      <c r="P889">
        <f>IF(O889="計算不能","計算不能",IF(O889&gt;=80,5,IF(O889&gt;=60,4,IF(O889&gt;=40,3,IF(O889&gt;=28,2,1)))))</f>
        <v/>
      </c>
      <c r="Q889" t="n">
        <v>1182</v>
      </c>
      <c r="R889" t="n">
        <v>0</v>
      </c>
      <c r="S889" s="27">
        <f>R889/Q889</f>
        <v/>
      </c>
      <c r="T889" t="inlineStr">
        <is>
          <t>木曽町は2045年までに人口が約34.2%減と急激な過疎・超高齢化が進行。若年労働世代の流出と自然減が重なり、賃貸事業としての持続性は極めて限定的。</t>
        </is>
      </c>
      <c r="U889" t="inlineStr">
        <is>
          <t>木曽町は人口密度20人/km²と過疎的水準で、民間賃貸の新規需要は薄い。実需に裏付けられた格安戸建ての指値取得のみが現実的。 借家の空室率は約0%と需給は比較的引き締まっている。</t>
        </is>
      </c>
      <c r="V889" t="inlineStr">
        <is>
          <t>木曽町（長野県）：千曲川・天竜川水系の氾濫、内陸の活断層地震、山間部の土砂災害・雪害に注意。</t>
        </is>
      </c>
    </row>
    <row r="890">
      <c r="A890" t="inlineStr">
        <is>
          <t>長野県</t>
        </is>
      </c>
      <c r="B890" t="inlineStr">
        <is>
          <t>麻績村</t>
        </is>
      </c>
      <c r="C890" t="n">
        <v>1039</v>
      </c>
      <c r="D890" t="n">
        <v>2311</v>
      </c>
      <c r="E890" s="6" t="n">
        <v>67.3</v>
      </c>
      <c r="F890" s="7" t="n">
        <v>16.7</v>
      </c>
      <c r="G890" t="n">
        <v>2593</v>
      </c>
      <c r="H890" t="n">
        <v>2311</v>
      </c>
      <c r="I890" t="n">
        <v>2195</v>
      </c>
      <c r="J890" t="n">
        <v>1790</v>
      </c>
      <c r="K890" s="27">
        <f>(H890/D890-1)</f>
        <v/>
      </c>
      <c r="L890" s="27">
        <f>(I890/D890-1)</f>
        <v/>
      </c>
      <c r="M890" s="27">
        <f>(J890/D890-1)</f>
        <v/>
      </c>
      <c r="N890" t="n">
        <v>42.5</v>
      </c>
      <c r="O890" s="28">
        <f>(N890+F890)/2</f>
        <v/>
      </c>
      <c r="P890">
        <f>IF(O890="計算不能","計算不能",IF(O890&gt;=80,5,IF(O890&gt;=60,4,IF(O890&gt;=40,3,IF(O890&gt;=28,2,1)))))</f>
        <v/>
      </c>
      <c r="Q890" t="n">
        <v>256</v>
      </c>
      <c r="R890" t="n">
        <v>0</v>
      </c>
      <c r="S890" s="27">
        <f>R890/Q890</f>
        <v/>
      </c>
      <c r="T890" t="inlineStr">
        <is>
          <t>麻績村は2045年までに人口が約22.5%減と明確な減少トレンド。高齢化の進行と世帯数の縮小により、中長期では賃貸需要の構造的縮小に警戒が必要。</t>
        </is>
      </c>
      <c r="U890" t="inlineStr">
        <is>
          <t>麻績村は人口密度67人/km²と過疎的水準で、民間賃貸の新規需要は薄い。実需に裏付けられた格安戸建ての指値取得のみが現実的。 借家の空室率は約0%と需給は比較的引き締まっている。</t>
        </is>
      </c>
      <c r="V890" t="inlineStr">
        <is>
          <t>麻績村（長野県）：千曲川・天竜川水系の氾濫、内陸の活断層地震、山間部の土砂災害・雪害に注意。</t>
        </is>
      </c>
    </row>
    <row r="891">
      <c r="A891" t="inlineStr">
        <is>
          <t>長野県</t>
        </is>
      </c>
      <c r="B891" t="inlineStr">
        <is>
          <t>生坂村</t>
        </is>
      </c>
      <c r="C891" t="n">
        <v>714</v>
      </c>
      <c r="D891" t="n">
        <v>1476</v>
      </c>
      <c r="E891" s="6" t="n">
        <v>38.3</v>
      </c>
      <c r="F891" s="7" t="n">
        <v>13.8</v>
      </c>
      <c r="G891" t="n">
        <v>1639</v>
      </c>
      <c r="H891" t="n">
        <v>1476</v>
      </c>
      <c r="I891" t="n">
        <v>1336</v>
      </c>
      <c r="J891" t="n">
        <v>993</v>
      </c>
      <c r="K891" s="27">
        <f>(H891/D891-1)</f>
        <v/>
      </c>
      <c r="L891" s="27">
        <f>(I891/D891-1)</f>
        <v/>
      </c>
      <c r="M891" s="27">
        <f>(J891/D891-1)</f>
        <v/>
      </c>
      <c r="N891" t="n">
        <v>39.7</v>
      </c>
      <c r="O891" s="28">
        <f>(N891+F891)/2</f>
        <v/>
      </c>
      <c r="P891">
        <f>IF(O891="計算不能","計算不能",IF(O891&gt;=80,5,IF(O891&gt;=60,4,IF(O891&gt;=40,3,IF(O891&gt;=28,2,1)))))</f>
        <v/>
      </c>
      <c r="Q891" t="n">
        <v>176</v>
      </c>
      <c r="R891" t="n">
        <v>0</v>
      </c>
      <c r="S891" s="27">
        <f>R891/Q891</f>
        <v/>
      </c>
      <c r="T891" t="inlineStr">
        <is>
          <t>生坂村は2045年までに人口が約32.7%減と急激な過疎・超高齢化が進行。若年労働世代の流出と自然減が重なり、賃貸事業としての持続性は極めて限定的。</t>
        </is>
      </c>
      <c r="U891" t="inlineStr">
        <is>
          <t>生坂村は人口密度38人/km²と過疎的水準で、民間賃貸の新規需要は薄い。実需に裏付けられた格安戸建ての指値取得のみが現実的。 借家の空室率は約0%と需給は比較的引き締まっている。</t>
        </is>
      </c>
      <c r="V891" t="inlineStr">
        <is>
          <t>生坂村（長野県）：千曲川・天竜川水系の氾濫、内陸の活断層地震、山間部の土砂災害・雪害に注意。</t>
        </is>
      </c>
    </row>
    <row r="892">
      <c r="A892" t="inlineStr">
        <is>
          <t>長野県</t>
        </is>
      </c>
      <c r="B892" t="inlineStr">
        <is>
          <t>山形村</t>
        </is>
      </c>
      <c r="C892" t="n">
        <v>3232</v>
      </c>
      <c r="D892" t="n">
        <v>8136</v>
      </c>
      <c r="E892" s="6" t="n">
        <v>324.7</v>
      </c>
      <c r="F892" s="7" t="n">
        <v>36.2</v>
      </c>
      <c r="G892" t="n">
        <v>8400</v>
      </c>
      <c r="H892" t="n">
        <v>8136</v>
      </c>
      <c r="I892" t="n">
        <v>8094</v>
      </c>
      <c r="J892" t="n">
        <v>7677</v>
      </c>
      <c r="K892" s="27">
        <f>(H892/D892-1)</f>
        <v/>
      </c>
      <c r="L892" s="27">
        <f>(I892/D892-1)</f>
        <v/>
      </c>
      <c r="M892" s="27">
        <f>(J892/D892-1)</f>
        <v/>
      </c>
      <c r="N892" t="n">
        <v>65.59999999999999</v>
      </c>
      <c r="O892" s="28">
        <f>(N892+F892)/2</f>
        <v/>
      </c>
      <c r="P892">
        <f>IF(O892="計算不能","計算不能",IF(O892&gt;=80,5,IF(O892&gt;=60,4,IF(O892&gt;=40,3,IF(O892&gt;=28,2,1)))))</f>
        <v/>
      </c>
      <c r="Q892" t="n">
        <v>797</v>
      </c>
      <c r="R892" t="n">
        <v>0</v>
      </c>
      <c r="S892" s="27">
        <f>R892/Q892</f>
        <v/>
      </c>
      <c r="T892" t="inlineStr">
        <is>
          <t>山形村は2045年までに人口が約5.6%減と緩やかな減少局面。若年層の都市部流出と高齢化が進むが、当面の賃貸稼働は一定程度維持される見通し。</t>
        </is>
      </c>
      <c r="U892" t="inlineStr">
        <is>
          <t>山形村は人口密度325人/km²と低密度で、賃貸需要は限定的。持ち家比率が高く、駐車場完備の戸建て賃貸が有利。 借家の空室率は約0%と需給は比較的引き締まっている。</t>
        </is>
      </c>
      <c r="V892" t="inlineStr">
        <is>
          <t>山形村（長野県）：千曲川・天竜川水系の氾濫、内陸の活断層地震、山間部の土砂災害・雪害に注意。</t>
        </is>
      </c>
    </row>
    <row r="893">
      <c r="A893" t="inlineStr">
        <is>
          <t>長野県</t>
        </is>
      </c>
      <c r="B893" t="inlineStr">
        <is>
          <t>朝日村</t>
        </is>
      </c>
      <c r="C893" t="n">
        <v>1557</v>
      </c>
      <c r="D893" t="n">
        <v>4098</v>
      </c>
      <c r="E893" s="6" t="n">
        <v>57.3</v>
      </c>
      <c r="F893" s="7" t="n">
        <v>15.7</v>
      </c>
      <c r="G893" t="n">
        <v>4279</v>
      </c>
      <c r="H893" t="n">
        <v>4098</v>
      </c>
      <c r="I893" t="n">
        <v>3894</v>
      </c>
      <c r="J893" t="n">
        <v>3195</v>
      </c>
      <c r="K893" s="27">
        <f>(H893/D893-1)</f>
        <v/>
      </c>
      <c r="L893" s="27">
        <f>(I893/D893-1)</f>
        <v/>
      </c>
      <c r="M893" s="27">
        <f>(J893/D893-1)</f>
        <v/>
      </c>
      <c r="N893" t="n">
        <v>52.7</v>
      </c>
      <c r="O893" s="28">
        <f>(N893+F893)/2</f>
        <v/>
      </c>
      <c r="P893">
        <f>IF(O893="計算不能","計算不能",IF(O893&gt;=80,5,IF(O893&gt;=60,4,IF(O893&gt;=40,3,IF(O893&gt;=28,2,1)))))</f>
        <v/>
      </c>
      <c r="Q893" t="n">
        <v>383</v>
      </c>
      <c r="R893" t="n">
        <v>0</v>
      </c>
      <c r="S893" s="27">
        <f>R893/Q893</f>
        <v/>
      </c>
      <c r="T893" t="inlineStr">
        <is>
          <t>朝日村は2045年までに人口が約22.0%減と明確な減少トレンド。高齢化の進行と世帯数の縮小により、中長期では賃貸需要の構造的縮小に警戒が必要。</t>
        </is>
      </c>
      <c r="U893" t="inlineStr">
        <is>
          <t>朝日村は人口密度57人/km²と過疎的水準で、民間賃貸の新規需要は薄い。実需に裏付けられた格安戸建ての指値取得のみが現実的。 借家の空室率は約0%と需給は比較的引き締まっている。</t>
        </is>
      </c>
      <c r="V893" t="inlineStr">
        <is>
          <t>朝日村（長野県）：千曲川・天竜川水系の氾濫、内陸の活断層地震、山間部の土砂災害・雪害に注意。</t>
        </is>
      </c>
    </row>
    <row r="894">
      <c r="A894" t="inlineStr">
        <is>
          <t>長野県</t>
        </is>
      </c>
      <c r="B894" t="inlineStr">
        <is>
          <t>筑北村</t>
        </is>
      </c>
      <c r="C894" t="n">
        <v>1776</v>
      </c>
      <c r="D894" t="n">
        <v>3673</v>
      </c>
      <c r="E894" s="6" t="n">
        <v>37.7</v>
      </c>
      <c r="F894" s="7" t="n">
        <v>13.8</v>
      </c>
      <c r="G894" t="n">
        <v>4149</v>
      </c>
      <c r="H894" t="n">
        <v>3673</v>
      </c>
      <c r="I894" t="n">
        <v>3241</v>
      </c>
      <c r="J894" t="n">
        <v>2085</v>
      </c>
      <c r="K894" s="27">
        <f>(H894/D894-1)</f>
        <v/>
      </c>
      <c r="L894" s="27">
        <f>(I894/D894-1)</f>
        <v/>
      </c>
      <c r="M894" s="27">
        <f>(J894/D894-1)</f>
        <v/>
      </c>
      <c r="N894" t="n">
        <v>35.3</v>
      </c>
      <c r="O894" s="28">
        <f>(N894+F894)/2</f>
        <v/>
      </c>
      <c r="P894">
        <f>IF(O894="計算不能","計算不能",IF(O894&gt;=80,5,IF(O894&gt;=60,4,IF(O894&gt;=40,3,IF(O894&gt;=28,2,1)))))</f>
        <v/>
      </c>
      <c r="Q894" t="n">
        <v>437</v>
      </c>
      <c r="R894" t="n">
        <v>0</v>
      </c>
      <c r="S894" s="27">
        <f>R894/Q894</f>
        <v/>
      </c>
      <c r="T894" t="inlineStr">
        <is>
          <t>筑北村は2045年までに人口が約43.2%減と急激な過疎・超高齢化が進行。若年労働世代の流出と自然減が重なり、賃貸事業としての持続性は極めて限定的。</t>
        </is>
      </c>
      <c r="U894" t="inlineStr">
        <is>
          <t>筑北村は人口密度38人/km²と過疎的水準で、民間賃貸の新規需要は薄い。実需に裏付けられた格安戸建ての指値取得のみが現実的。 借家の空室率は約0%と需給は比較的引き締まっている。</t>
        </is>
      </c>
      <c r="V894" t="inlineStr">
        <is>
          <t>筑北村（長野県）：千曲川・天竜川水系の氾濫、内陸の活断層地震、山間部の土砂災害・雪害に注意。</t>
        </is>
      </c>
    </row>
    <row r="895">
      <c r="A895" t="inlineStr">
        <is>
          <t>長野県</t>
        </is>
      </c>
      <c r="B895" t="inlineStr">
        <is>
          <t>池田町</t>
        </is>
      </c>
      <c r="C895" t="n">
        <v>8724</v>
      </c>
      <c r="D895" t="n">
        <v>8571</v>
      </c>
      <c r="E895" s="6" t="n">
        <v>555.7</v>
      </c>
      <c r="F895" s="7" t="n">
        <v>46.1</v>
      </c>
      <c r="G895" t="n">
        <v>9382</v>
      </c>
      <c r="H895" t="n">
        <v>8571</v>
      </c>
      <c r="I895" t="n">
        <v>8142</v>
      </c>
      <c r="J895" t="n">
        <v>6674</v>
      </c>
      <c r="K895" s="27">
        <f>(H895/D895-1)</f>
        <v/>
      </c>
      <c r="L895" s="27">
        <f>(I895/D895-1)</f>
        <v/>
      </c>
      <c r="M895" s="27">
        <f>(J895/D895-1)</f>
        <v/>
      </c>
      <c r="N895" t="n">
        <v>44.7</v>
      </c>
      <c r="O895" s="28">
        <f>(N895+F895)/2</f>
        <v/>
      </c>
      <c r="P895">
        <f>IF(O895="計算不能","計算不能",IF(O895&gt;=80,5,IF(O895&gt;=60,4,IF(O895&gt;=40,3,IF(O895&gt;=28,2,1)))))</f>
        <v/>
      </c>
      <c r="Q895" t="n">
        <v>2151</v>
      </c>
      <c r="R895" t="n">
        <v>0</v>
      </c>
      <c r="S895" s="27">
        <f>R895/Q895</f>
        <v/>
      </c>
      <c r="T895" t="inlineStr">
        <is>
          <t>池田町は2045年までに人口が約22.1%減と明確な減少トレンド。高齢化の進行と世帯数の縮小により、中長期では賃貸需要の構造的縮小に警戒が必要。</t>
        </is>
      </c>
      <c r="U895" t="inlineStr">
        <is>
          <t>池田町は人口密度556人/km²で、主要道路沿いや中心市街地に一定の賃貸需要が局在。立地選別が稼働を左右する。 借家の空室率は約0%と需給は比較的引き締まっている。</t>
        </is>
      </c>
      <c r="V895" t="inlineStr">
        <is>
          <t>池田町（長野県）：千曲川・天竜川水系の氾濫、内陸の活断層地震、山間部の土砂災害・雪害に注意。</t>
        </is>
      </c>
    </row>
    <row r="896">
      <c r="A896" t="inlineStr">
        <is>
          <t>長野県</t>
        </is>
      </c>
      <c r="B896" t="inlineStr">
        <is>
          <t>松川村</t>
        </is>
      </c>
      <c r="C896" t="n">
        <v>4116</v>
      </c>
      <c r="D896" t="n">
        <v>9225</v>
      </c>
      <c r="E896" s="6" t="n">
        <v>200.4</v>
      </c>
      <c r="F896" s="7" t="n">
        <v>30</v>
      </c>
      <c r="G896" t="n">
        <v>9599</v>
      </c>
      <c r="H896" t="n">
        <v>9225</v>
      </c>
      <c r="I896" t="n">
        <v>8830</v>
      </c>
      <c r="J896" t="n">
        <v>7634</v>
      </c>
      <c r="K896" s="27">
        <f>(H896/D896-1)</f>
        <v/>
      </c>
      <c r="L896" s="27">
        <f>(I896/D896-1)</f>
        <v/>
      </c>
      <c r="M896" s="27">
        <f>(J896/D896-1)</f>
        <v/>
      </c>
      <c r="N896" t="n">
        <v>56</v>
      </c>
      <c r="O896" s="28">
        <f>(N896+F896)/2</f>
        <v/>
      </c>
      <c r="P896">
        <f>IF(O896="計算不能","計算不能",IF(O896&gt;=80,5,IF(O896&gt;=60,4,IF(O896&gt;=40,3,IF(O896&gt;=28,2,1)))))</f>
        <v/>
      </c>
      <c r="Q896" t="n">
        <v>1015</v>
      </c>
      <c r="R896" t="n">
        <v>0</v>
      </c>
      <c r="S896" s="27">
        <f>R896/Q896</f>
        <v/>
      </c>
      <c r="T896" t="inlineStr">
        <is>
          <t>松川村は2045年までに人口が約17.2%減と明確な減少トレンド。高齢化の進行と世帯数の縮小により、中長期では賃貸需要の構造的縮小に警戒が必要。</t>
        </is>
      </c>
      <c r="U896" t="inlineStr">
        <is>
          <t>松川村は人口密度200人/km²と低密度で、賃貸需要は限定的。持ち家比率が高く、駐車場完備の戸建て賃貸が有利。 借家の空室率は約0%と需給は比較的引き締まっている。</t>
        </is>
      </c>
      <c r="V896" t="inlineStr">
        <is>
          <t>松川村（長野県）：千曲川・天竜川水系の氾濫、内陸の活断層地震、山間部の土砂災害・雪害に注意。</t>
        </is>
      </c>
    </row>
    <row r="897">
      <c r="A897" t="inlineStr">
        <is>
          <t>長野県</t>
        </is>
      </c>
      <c r="B897" t="inlineStr">
        <is>
          <t>白馬村</t>
        </is>
      </c>
      <c r="C897" t="n">
        <v>5276</v>
      </c>
      <c r="D897" t="n">
        <v>8187</v>
      </c>
      <c r="E897" s="6" t="n">
        <v>44.3</v>
      </c>
      <c r="F897" s="7" t="n">
        <v>14.4</v>
      </c>
      <c r="G897" t="n">
        <v>8575</v>
      </c>
      <c r="H897" t="n">
        <v>8187</v>
      </c>
      <c r="I897" t="n">
        <v>7805</v>
      </c>
      <c r="J897" t="n">
        <v>6696</v>
      </c>
      <c r="K897" s="27">
        <f>(H897/D897-1)</f>
        <v/>
      </c>
      <c r="L897" s="27">
        <f>(I897/D897-1)</f>
        <v/>
      </c>
      <c r="M897" s="27">
        <f>(J897/D897-1)</f>
        <v/>
      </c>
      <c r="N897" t="n">
        <v>54.1</v>
      </c>
      <c r="O897" s="28">
        <f>(N897+F897)/2</f>
        <v/>
      </c>
      <c r="P897">
        <f>IF(O897="計算不能","計算不能",IF(O897&gt;=80,5,IF(O897&gt;=60,4,IF(O897&gt;=40,3,IF(O897&gt;=28,2,1)))))</f>
        <v/>
      </c>
      <c r="Q897" t="n">
        <v>1301</v>
      </c>
      <c r="R897" t="n">
        <v>0</v>
      </c>
      <c r="S897" s="27">
        <f>R897/Q897</f>
        <v/>
      </c>
      <c r="T897" t="inlineStr">
        <is>
          <t>白馬村は2045年までに人口が約18.2%減と明確な減少トレンド。高齢化の進行と世帯数の縮小により、中長期では賃貸需要の構造的縮小に警戒が必要。</t>
        </is>
      </c>
      <c r="U897" t="inlineStr">
        <is>
          <t>白馬村は人口密度44人/km²と過疎的水準で、民間賃貸の新規需要は薄い。実需に裏付けられた格安戸建ての指値取得のみが現実的。 借家の空室率は約0%と需給は比較的引き締まっている。</t>
        </is>
      </c>
      <c r="V897" t="inlineStr">
        <is>
          <t>白馬村（長野県）：千曲川・天竜川水系の氾濫、内陸の活断層地震、山間部の土砂災害・雪害に注意。</t>
        </is>
      </c>
    </row>
    <row r="898">
      <c r="A898" t="inlineStr">
        <is>
          <t>長野県</t>
        </is>
      </c>
      <c r="B898" t="inlineStr">
        <is>
          <t>小谷村</t>
        </is>
      </c>
      <c r="C898" t="n">
        <v>1424</v>
      </c>
      <c r="D898" t="n">
        <v>2330</v>
      </c>
      <c r="E898" s="6" t="n">
        <v>9</v>
      </c>
      <c r="F898" s="7" t="n">
        <v>10.9</v>
      </c>
      <c r="G898" t="n">
        <v>2647</v>
      </c>
      <c r="H898" t="n">
        <v>2330</v>
      </c>
      <c r="I898" t="n">
        <v>2060</v>
      </c>
      <c r="J898" t="n">
        <v>1410</v>
      </c>
      <c r="K898" s="27">
        <f>(H898/D898-1)</f>
        <v/>
      </c>
      <c r="L898" s="27">
        <f>(I898/D898-1)</f>
        <v/>
      </c>
      <c r="M898" s="27">
        <f>(J898/D898-1)</f>
        <v/>
      </c>
      <c r="N898" t="n">
        <v>35.8</v>
      </c>
      <c r="O898" s="28">
        <f>(N898+F898)/2</f>
        <v/>
      </c>
      <c r="P898">
        <f>IF(O898="計算不能","計算不能",IF(O898&gt;=80,5,IF(O898&gt;=60,4,IF(O898&gt;=40,3,IF(O898&gt;=28,2,1)))))</f>
        <v/>
      </c>
      <c r="Q898" t="n">
        <v>351</v>
      </c>
      <c r="R898" t="n">
        <v>0</v>
      </c>
      <c r="S898" s="27">
        <f>R898/Q898</f>
        <v/>
      </c>
      <c r="T898" t="inlineStr">
        <is>
          <t>小谷村は2045年までに人口が約39.5%減と急激な過疎・超高齢化が進行。若年労働世代の流出と自然減が重なり、賃貸事業としての持続性は極めて限定的。</t>
        </is>
      </c>
      <c r="U898" t="inlineStr">
        <is>
          <t>小谷村は人口密度9人/km²と過疎的水準で、民間賃貸の新規需要は薄い。実需に裏付けられた格安戸建ての指値取得のみが現実的。 借家の空室率は約0%と需給は比較的引き締まっている。</t>
        </is>
      </c>
      <c r="V898" t="inlineStr">
        <is>
          <t>小谷村（長野県）：千曲川・天竜川水系の氾濫、内陸の活断層地震、山間部の土砂災害・雪害に注意。</t>
        </is>
      </c>
    </row>
    <row r="899">
      <c r="A899" t="inlineStr">
        <is>
          <t>長野県</t>
        </is>
      </c>
      <c r="B899" t="inlineStr">
        <is>
          <t>坂城町</t>
        </is>
      </c>
      <c r="C899" t="n">
        <v>6222</v>
      </c>
      <c r="D899" t="n">
        <v>12694</v>
      </c>
      <c r="E899" s="6" t="n">
        <v>240.5</v>
      </c>
      <c r="F899" s="7" t="n">
        <v>32</v>
      </c>
      <c r="G899" t="n">
        <v>14004</v>
      </c>
      <c r="H899" t="n">
        <v>12694</v>
      </c>
      <c r="I899" t="n">
        <v>11906</v>
      </c>
      <c r="J899" t="n">
        <v>9364</v>
      </c>
      <c r="K899" s="27">
        <f>(H899/D899-1)</f>
        <v/>
      </c>
      <c r="L899" s="27">
        <f>(I899/D899-1)</f>
        <v/>
      </c>
      <c r="M899" s="27">
        <f>(J899/D899-1)</f>
        <v/>
      </c>
      <c r="N899" t="n">
        <v>42.7</v>
      </c>
      <c r="O899" s="28">
        <f>(N899+F899)/2</f>
        <v/>
      </c>
      <c r="P899">
        <f>IF(O899="計算不能","計算不能",IF(O899&gt;=80,5,IF(O899&gt;=60,4,IF(O899&gt;=40,3,IF(O899&gt;=28,2,1)))))</f>
        <v/>
      </c>
      <c r="Q899" t="n">
        <v>1534</v>
      </c>
      <c r="R899" t="n">
        <v>0</v>
      </c>
      <c r="S899" s="27">
        <f>R899/Q899</f>
        <v/>
      </c>
      <c r="T899" t="inlineStr">
        <is>
          <t>坂城町は2045年までに人口が約26.2%減と明確な減少トレンド。高齢化の進行と世帯数の縮小により、中長期では賃貸需要の構造的縮小に警戒が必要。</t>
        </is>
      </c>
      <c r="U899" t="inlineStr">
        <is>
          <t>坂城町は人口密度240人/km²と低密度で、賃貸需要は限定的。持ち家比率が高く、駐車場完備の戸建て賃貸が有利。 借家の空室率は約0%と需給は比較的引き締まっている。</t>
        </is>
      </c>
      <c r="V899" t="inlineStr">
        <is>
          <t>坂城町（長野県）：千曲川・天竜川水系の氾濫、内陸の活断層地震、山間部の土砂災害・雪害に注意。</t>
        </is>
      </c>
    </row>
    <row r="900">
      <c r="A900" t="inlineStr">
        <is>
          <t>長野県</t>
        </is>
      </c>
      <c r="B900" t="inlineStr">
        <is>
          <t>小布施町</t>
        </is>
      </c>
      <c r="C900" t="n">
        <v>4133</v>
      </c>
      <c r="D900" t="n">
        <v>10567</v>
      </c>
      <c r="E900" s="6" t="n">
        <v>547.8</v>
      </c>
      <c r="F900" s="7" t="n">
        <v>46</v>
      </c>
      <c r="G900" t="n">
        <v>10660</v>
      </c>
      <c r="H900" t="n">
        <v>10567</v>
      </c>
      <c r="I900" t="n">
        <v>10070</v>
      </c>
      <c r="J900" t="n">
        <v>8545</v>
      </c>
      <c r="K900" s="27">
        <f>(H900/D900-1)</f>
        <v/>
      </c>
      <c r="L900" s="27">
        <f>(I900/D900-1)</f>
        <v/>
      </c>
      <c r="M900" s="27">
        <f>(J900/D900-1)</f>
        <v/>
      </c>
      <c r="N900" t="n">
        <v>60.5</v>
      </c>
      <c r="O900" s="28">
        <f>(N900+F900)/2</f>
        <v/>
      </c>
      <c r="P900">
        <f>IF(O900="計算不能","計算不能",IF(O900&gt;=80,5,IF(O900&gt;=60,4,IF(O900&gt;=40,3,IF(O900&gt;=28,2,1)))))</f>
        <v/>
      </c>
      <c r="Q900" t="n">
        <v>1019</v>
      </c>
      <c r="R900" t="n">
        <v>0</v>
      </c>
      <c r="S900" s="27">
        <f>R900/Q900</f>
        <v/>
      </c>
      <c r="T900" t="inlineStr">
        <is>
          <t>小布施町は2045年までに人口が約19.1%減と明確な減少トレンド。高齢化の進行と世帯数の縮小により、中長期では賃貸需要の構造的縮小に警戒が必要。</t>
        </is>
      </c>
      <c r="U900" t="inlineStr">
        <is>
          <t>小布施町は人口密度548人/km²で、主要道路沿いや中心市街地に一定の賃貸需要が局在。立地選別が稼働を左右する。 借家の空室率は約0%と需給は比較的引き締まっている。</t>
        </is>
      </c>
      <c r="V900" t="inlineStr">
        <is>
          <t>小布施町（長野県）：千曲川・天竜川水系の氾濫、内陸の活断層地震、山間部の土砂災害・雪害に注意。</t>
        </is>
      </c>
    </row>
    <row r="901">
      <c r="A901" t="inlineStr">
        <is>
          <t>長野県</t>
        </is>
      </c>
      <c r="B901" t="inlineStr">
        <is>
          <t>高山村</t>
        </is>
      </c>
      <c r="C901" t="n">
        <v>2461</v>
      </c>
      <c r="D901" t="n">
        <v>6177</v>
      </c>
      <c r="E901" s="6" t="n">
        <v>62.6</v>
      </c>
      <c r="F901" s="7" t="n">
        <v>16.3</v>
      </c>
      <c r="G901" t="n">
        <v>6617</v>
      </c>
      <c r="H901" t="n">
        <v>6177</v>
      </c>
      <c r="I901" t="n">
        <v>5736</v>
      </c>
      <c r="J901" t="n">
        <v>4398</v>
      </c>
      <c r="K901" s="27">
        <f>(H901/D901-1)</f>
        <v/>
      </c>
      <c r="L901" s="27">
        <f>(I901/D901-1)</f>
        <v/>
      </c>
      <c r="M901" s="27">
        <f>(J901/D901-1)</f>
        <v/>
      </c>
      <c r="N901" t="n">
        <v>44.3</v>
      </c>
      <c r="O901" s="28">
        <f>(N901+F901)/2</f>
        <v/>
      </c>
      <c r="P901">
        <f>IF(O901="計算不能","計算不能",IF(O901&gt;=80,5,IF(O901&gt;=60,4,IF(O901&gt;=40,3,IF(O901&gt;=28,2,1)))))</f>
        <v/>
      </c>
      <c r="Q901" t="n">
        <v>606</v>
      </c>
      <c r="R901" t="n">
        <v>0</v>
      </c>
      <c r="S901" s="27">
        <f>R901/Q901</f>
        <v/>
      </c>
      <c r="T901" t="inlineStr">
        <is>
          <t>高山村は2045年までに人口が約28.8%減と明確な減少トレンド。高齢化の進行と世帯数の縮小により、中長期では賃貸需要の構造的縮小に警戒が必要。</t>
        </is>
      </c>
      <c r="U901" t="inlineStr">
        <is>
          <t>高山村は人口密度63人/km²と過疎的水準で、民間賃貸の新規需要は薄い。実需に裏付けられた格安戸建ての指値取得のみが現実的。 借家の空室率は約0%と需給は比較的引き締まっている。</t>
        </is>
      </c>
      <c r="V901" t="inlineStr">
        <is>
          <t>高山村（長野県）：千曲川・天竜川水系の氾濫、内陸の活断層地震、山間部の土砂災害・雪害に注意。</t>
        </is>
      </c>
    </row>
    <row r="902">
      <c r="A902" t="inlineStr">
        <is>
          <t>長野県</t>
        </is>
      </c>
      <c r="B902" t="inlineStr">
        <is>
          <t>山ノ内町</t>
        </is>
      </c>
      <c r="C902" t="n">
        <v>5132</v>
      </c>
      <c r="D902" t="n">
        <v>10254</v>
      </c>
      <c r="E902" s="6" t="n">
        <v>38.7</v>
      </c>
      <c r="F902" s="7" t="n">
        <v>13.9</v>
      </c>
      <c r="G902" t="n">
        <v>11352</v>
      </c>
      <c r="H902" t="n">
        <v>10254</v>
      </c>
      <c r="I902" t="n">
        <v>9210</v>
      </c>
      <c r="J902" t="n">
        <v>6391</v>
      </c>
      <c r="K902" s="27">
        <f>(H902/D902-1)</f>
        <v/>
      </c>
      <c r="L902" s="27">
        <f>(I902/D902-1)</f>
        <v/>
      </c>
      <c r="M902" s="27">
        <f>(J902/D902-1)</f>
        <v/>
      </c>
      <c r="N902" t="n">
        <v>38.6</v>
      </c>
      <c r="O902" s="28">
        <f>(N902+F902)/2</f>
        <v/>
      </c>
      <c r="P902">
        <f>IF(O902="計算不能","計算不能",IF(O902&gt;=80,5,IF(O902&gt;=60,4,IF(O902&gt;=40,3,IF(O902&gt;=28,2,1)))))</f>
        <v/>
      </c>
      <c r="Q902" t="n">
        <v>1265</v>
      </c>
      <c r="R902" t="n">
        <v>0</v>
      </c>
      <c r="S902" s="27">
        <f>R902/Q902</f>
        <v/>
      </c>
      <c r="T902" t="inlineStr">
        <is>
          <t>山ノ内町は2045年までに人口が約37.7%減と急激な過疎・超高齢化が進行。若年労働世代の流出と自然減が重なり、賃貸事業としての持続性は極めて限定的。</t>
        </is>
      </c>
      <c r="U902" t="inlineStr">
        <is>
          <t>山ノ内町は人口密度39人/km²と過疎的水準で、民間賃貸の新規需要は薄い。実需に裏付けられた格安戸建ての指値取得のみが現実的。 借家の空室率は約0%と需給は比較的引き締まっている。</t>
        </is>
      </c>
      <c r="V902" t="inlineStr">
        <is>
          <t>山ノ内町（長野県）：千曲川・天竜川水系の氾濫、内陸の活断層地震、山間部の土砂災害・雪害に注意。</t>
        </is>
      </c>
    </row>
    <row r="903">
      <c r="A903" t="inlineStr">
        <is>
          <t>長野県</t>
        </is>
      </c>
      <c r="B903" t="inlineStr">
        <is>
          <t>木島平村</t>
        </is>
      </c>
      <c r="C903" t="n">
        <v>1790</v>
      </c>
      <c r="D903" t="n">
        <v>3935</v>
      </c>
      <c r="E903" s="6" t="n">
        <v>39.4</v>
      </c>
      <c r="F903" s="7" t="n">
        <v>13.9</v>
      </c>
      <c r="G903" t="n">
        <v>4375</v>
      </c>
      <c r="H903" t="n">
        <v>3935</v>
      </c>
      <c r="I903" t="n">
        <v>3699</v>
      </c>
      <c r="J903" t="n">
        <v>2932</v>
      </c>
      <c r="K903" s="27">
        <f>(H903/D903-1)</f>
        <v/>
      </c>
      <c r="L903" s="27">
        <f>(I903/D903-1)</f>
        <v/>
      </c>
      <c r="M903" s="27">
        <f>(J903/D903-1)</f>
        <v/>
      </c>
      <c r="N903" t="n">
        <v>42.3</v>
      </c>
      <c r="O903" s="28">
        <f>(N903+F903)/2</f>
        <v/>
      </c>
      <c r="P903">
        <f>IF(O903="計算不能","計算不能",IF(O903&gt;=80,5,IF(O903&gt;=60,4,IF(O903&gt;=40,3,IF(O903&gt;=28,2,1)))))</f>
        <v/>
      </c>
      <c r="Q903" t="n">
        <v>441</v>
      </c>
      <c r="R903" t="n">
        <v>0</v>
      </c>
      <c r="S903" s="27">
        <f>R903/Q903</f>
        <v/>
      </c>
      <c r="T903" t="inlineStr">
        <is>
          <t>木島平村は2045年までに人口が約25.5%減と明確な減少トレンド。高齢化の進行と世帯数の縮小により、中長期では賃貸需要の構造的縮小に警戒が必要。</t>
        </is>
      </c>
      <c r="U903" t="inlineStr">
        <is>
          <t>木島平村は人口密度39人/km²と過疎的水準で、民間賃貸の新規需要は薄い。実需に裏付けられた格安戸建ての指値取得のみが現実的。 借家の空室率は約0%と需給は比較的引き締まっている。</t>
        </is>
      </c>
      <c r="V903" t="inlineStr">
        <is>
          <t>木島平村（長野県）：千曲川・天竜川水系の氾濫、内陸の活断層地震、山間部の土砂災害・雪害に注意。</t>
        </is>
      </c>
    </row>
    <row r="904">
      <c r="A904" t="inlineStr">
        <is>
          <t>長野県</t>
        </is>
      </c>
      <c r="B904" t="inlineStr">
        <is>
          <t>野沢温泉村</t>
        </is>
      </c>
      <c r="C904" t="n">
        <v>1682</v>
      </c>
      <c r="D904" t="n">
        <v>2935</v>
      </c>
      <c r="E904" s="6" t="n">
        <v>50.3</v>
      </c>
      <c r="F904" s="7" t="n">
        <v>15</v>
      </c>
      <c r="G904" t="n">
        <v>3279</v>
      </c>
      <c r="H904" t="n">
        <v>2935</v>
      </c>
      <c r="I904" t="n">
        <v>2736</v>
      </c>
      <c r="J904" t="n">
        <v>2102</v>
      </c>
      <c r="K904" s="27">
        <f>(H904/D904-1)</f>
        <v/>
      </c>
      <c r="L904" s="27">
        <f>(I904/D904-1)</f>
        <v/>
      </c>
      <c r="M904" s="27">
        <f>(J904/D904-1)</f>
        <v/>
      </c>
      <c r="N904" t="n">
        <v>41</v>
      </c>
      <c r="O904" s="28">
        <f>(N904+F904)/2</f>
        <v/>
      </c>
      <c r="P904">
        <f>IF(O904="計算不能","計算不能",IF(O904&gt;=80,5,IF(O904&gt;=60,4,IF(O904&gt;=40,3,IF(O904&gt;=28,2,1)))))</f>
        <v/>
      </c>
      <c r="Q904" t="n">
        <v>414</v>
      </c>
      <c r="R904" t="n">
        <v>0</v>
      </c>
      <c r="S904" s="27">
        <f>R904/Q904</f>
        <v/>
      </c>
      <c r="T904" t="inlineStr">
        <is>
          <t>野沢温泉村は2045年までに人口が約28.4%減と明確な減少トレンド。高齢化の進行と世帯数の縮小により、中長期では賃貸需要の構造的縮小に警戒が必要。</t>
        </is>
      </c>
      <c r="U904" t="inlineStr">
        <is>
          <t>野沢温泉村は人口密度50人/km²と過疎的水準で、民間賃貸の新規需要は薄い。実需に裏付けられた格安戸建ての指値取得のみが現実的。 借家の空室率は約0%と需給は比較的引き締まっている。</t>
        </is>
      </c>
      <c r="V904" t="inlineStr">
        <is>
          <t>野沢温泉村（長野県）：千曲川・天竜川水系の氾濫、内陸の活断層地震、山間部の土砂災害・雪害に注意。</t>
        </is>
      </c>
    </row>
    <row r="905">
      <c r="A905" t="inlineStr">
        <is>
          <t>長野県</t>
        </is>
      </c>
      <c r="B905" t="inlineStr">
        <is>
          <t>信濃町</t>
        </is>
      </c>
      <c r="C905" t="n">
        <v>3384</v>
      </c>
      <c r="D905" t="n">
        <v>7023</v>
      </c>
      <c r="E905" s="6" t="n">
        <v>46.2</v>
      </c>
      <c r="F905" s="7" t="n">
        <v>14.6</v>
      </c>
      <c r="G905" t="n">
        <v>7739</v>
      </c>
      <c r="H905" t="n">
        <v>7023</v>
      </c>
      <c r="I905" t="n">
        <v>6330</v>
      </c>
      <c r="J905" t="n">
        <v>4382</v>
      </c>
      <c r="K905" s="27">
        <f>(H905/D905-1)</f>
        <v/>
      </c>
      <c r="L905" s="27">
        <f>(I905/D905-1)</f>
        <v/>
      </c>
      <c r="M905" s="27">
        <f>(J905/D905-1)</f>
        <v/>
      </c>
      <c r="N905" t="n">
        <v>39.1</v>
      </c>
      <c r="O905" s="28">
        <f>(N905+F905)/2</f>
        <v/>
      </c>
      <c r="P905">
        <f>IF(O905="計算不能","計算不能",IF(O905&gt;=80,5,IF(O905&gt;=60,4,IF(O905&gt;=40,3,IF(O905&gt;=28,2,1)))))</f>
        <v/>
      </c>
      <c r="Q905" t="n">
        <v>834</v>
      </c>
      <c r="R905" t="n">
        <v>0</v>
      </c>
      <c r="S905" s="27">
        <f>R905/Q905</f>
        <v/>
      </c>
      <c r="T905" t="inlineStr">
        <is>
          <t>信濃町は2045年までに人口が約37.6%減と急激な過疎・超高齢化が進行。若年労働世代の流出と自然減が重なり、賃貸事業としての持続性は極めて限定的。</t>
        </is>
      </c>
      <c r="U905" t="inlineStr">
        <is>
          <t>信濃町は人口密度46人/km²と過疎的水準で、民間賃貸の新規需要は薄い。実需に裏付けられた格安戸建ての指値取得のみが現実的。 借家の空室率は約0%と需給は比較的引き締まっている。</t>
        </is>
      </c>
      <c r="V905" t="inlineStr">
        <is>
          <t>信濃町（長野県）：千曲川・天竜川水系の氾濫、内陸の活断層地震、山間部の土砂災害・雪害に注意。</t>
        </is>
      </c>
    </row>
    <row r="906">
      <c r="A906" t="inlineStr">
        <is>
          <t>長野県</t>
        </is>
      </c>
      <c r="B906" t="inlineStr">
        <is>
          <t>小川村</t>
        </is>
      </c>
      <c r="C906" t="n">
        <v>1005</v>
      </c>
      <c r="D906" t="n">
        <v>1936</v>
      </c>
      <c r="E906" s="6" t="n">
        <v>34.6</v>
      </c>
      <c r="F906" s="7" t="n">
        <v>13.5</v>
      </c>
      <c r="G906" t="n">
        <v>2215</v>
      </c>
      <c r="H906" t="n">
        <v>1936</v>
      </c>
      <c r="I906" t="n">
        <v>1700</v>
      </c>
      <c r="J906" t="n">
        <v>1141</v>
      </c>
      <c r="K906" s="27">
        <f>(H906/D906-1)</f>
        <v/>
      </c>
      <c r="L906" s="27">
        <f>(I906/D906-1)</f>
        <v/>
      </c>
      <c r="M906" s="27">
        <f>(J906/D906-1)</f>
        <v/>
      </c>
      <c r="N906" t="n">
        <v>34.7</v>
      </c>
      <c r="O906" s="28">
        <f>(N906+F906)/2</f>
        <v/>
      </c>
      <c r="P906">
        <f>IF(O906="計算不能","計算不能",IF(O906&gt;=80,5,IF(O906&gt;=60,4,IF(O906&gt;=40,3,IF(O906&gt;=28,2,1)))))</f>
        <v/>
      </c>
      <c r="Q906" t="n">
        <v>247</v>
      </c>
      <c r="R906" t="n">
        <v>0</v>
      </c>
      <c r="S906" s="27">
        <f>R906/Q906</f>
        <v/>
      </c>
      <c r="T906" t="inlineStr">
        <is>
          <t>小川村は2045年までに人口が約41.1%減と急激な過疎・超高齢化が進行。若年労働世代の流出と自然減が重なり、賃貸事業としての持続性は極めて限定的。</t>
        </is>
      </c>
      <c r="U906" t="inlineStr">
        <is>
          <t>小川村は人口密度35人/km²と過疎的水準で、民間賃貸の新規需要は薄い。実需に裏付けられた格安戸建ての指値取得のみが現実的。 借家の空室率は約0%と需給は比較的引き締まっている。</t>
        </is>
      </c>
      <c r="V906" t="inlineStr">
        <is>
          <t>小川村（長野県）：千曲川・天竜川水系の氾濫、内陸の活断層地震、山間部の土砂災害・雪害に注意。</t>
        </is>
      </c>
    </row>
    <row r="907">
      <c r="A907" t="inlineStr">
        <is>
          <t>長野県</t>
        </is>
      </c>
      <c r="B907" t="inlineStr">
        <is>
          <t>飯綱町</t>
        </is>
      </c>
      <c r="C907" t="n">
        <v>4229</v>
      </c>
      <c r="D907" t="n">
        <v>9470</v>
      </c>
      <c r="E907" s="6" t="n">
        <v>128.9</v>
      </c>
      <c r="F907" s="7" t="n">
        <v>22.9</v>
      </c>
      <c r="G907" t="n">
        <v>10296</v>
      </c>
      <c r="H907" t="n">
        <v>9470</v>
      </c>
      <c r="I907" t="n">
        <v>8697</v>
      </c>
      <c r="J907" t="n">
        <v>6312</v>
      </c>
      <c r="K907" s="27">
        <f>(H907/D907-1)</f>
        <v/>
      </c>
      <c r="L907" s="27">
        <f>(I907/D907-1)</f>
        <v/>
      </c>
      <c r="M907" s="27">
        <f>(J907/D907-1)</f>
        <v/>
      </c>
      <c r="N907" t="n">
        <v>41.7</v>
      </c>
      <c r="O907" s="28">
        <f>(N907+F907)/2</f>
        <v/>
      </c>
      <c r="P907">
        <f>IF(O907="計算不能","計算不能",IF(O907&gt;=80,5,IF(O907&gt;=60,4,IF(O907&gt;=40,3,IF(O907&gt;=28,2,1)))))</f>
        <v/>
      </c>
      <c r="Q907" t="n">
        <v>1042</v>
      </c>
      <c r="R907" t="n">
        <v>0</v>
      </c>
      <c r="S907" s="27">
        <f>R907/Q907</f>
        <v/>
      </c>
      <c r="T907" t="inlineStr">
        <is>
          <t>飯綱町は2045年までに人口が約33.3%減と急激な過疎・超高齢化が進行。若年労働世代の流出と自然減が重なり、賃貸事業としての持続性は極めて限定的。</t>
        </is>
      </c>
      <c r="U907" t="inlineStr">
        <is>
          <t>飯綱町は人口密度129人/km²と過疎的水準で、民間賃貸の新規需要は薄い。実需に裏付けられた格安戸建ての指値取得のみが現実的。 借家の空室率は約0%と需給は比較的引き締まっている。</t>
        </is>
      </c>
      <c r="V907" t="inlineStr">
        <is>
          <t>飯綱町（長野県）：千曲川・天竜川水系の氾濫、内陸の活断層地震、山間部の土砂災害・雪害に注意。</t>
        </is>
      </c>
    </row>
    <row r="908">
      <c r="A908" t="inlineStr">
        <is>
          <t>長野県</t>
        </is>
      </c>
      <c r="B908" t="inlineStr">
        <is>
          <t>栄村</t>
        </is>
      </c>
      <c r="C908" t="n">
        <v>769</v>
      </c>
      <c r="D908" t="n">
        <v>1433</v>
      </c>
      <c r="E908" s="6" t="n">
        <v>5.4</v>
      </c>
      <c r="F908" s="7" t="n">
        <v>10.5</v>
      </c>
      <c r="G908" t="n">
        <v>1660</v>
      </c>
      <c r="H908" t="n">
        <v>1433</v>
      </c>
      <c r="I908" t="n">
        <v>1244</v>
      </c>
      <c r="J908" t="n">
        <v>768</v>
      </c>
      <c r="K908" s="27">
        <f>(H908/D908-1)</f>
        <v/>
      </c>
      <c r="L908" s="27">
        <f>(I908/D908-1)</f>
        <v/>
      </c>
      <c r="M908" s="27">
        <f>(J908/D908-1)</f>
        <v/>
      </c>
      <c r="N908" t="n">
        <v>32.3</v>
      </c>
      <c r="O908" s="28">
        <f>(N908+F908)/2</f>
        <v/>
      </c>
      <c r="P908">
        <f>IF(O908="計算不能","計算不能",IF(O908&gt;=80,5,IF(O908&gt;=60,4,IF(O908&gt;=40,3,IF(O908&gt;=28,2,1)))))</f>
        <v/>
      </c>
      <c r="Q908" t="n">
        <v>189</v>
      </c>
      <c r="R908" t="n">
        <v>0</v>
      </c>
      <c r="S908" s="27">
        <f>R908/Q908</f>
        <v/>
      </c>
      <c r="T908" t="inlineStr">
        <is>
          <t>栄村は2045年までに人口が約46.4%減と急激な過疎・超高齢化が進行。若年労働世代の流出と自然減が重なり、賃貸事業としての持続性は極めて限定的。</t>
        </is>
      </c>
      <c r="U908" t="inlineStr">
        <is>
          <t>栄村は人口密度5人/km²と過疎的水準で、民間賃貸の新規需要は薄い。実需に裏付けられた格安戸建ての指値取得のみが現実的。 借家の空室率は約0%と需給は比較的引き締まっている。</t>
        </is>
      </c>
      <c r="V908" t="inlineStr">
        <is>
          <t>栄村（長野県）：千曲川・天竜川水系の氾濫、内陸の活断層地震、山間部の土砂災害・雪害に注意。</t>
        </is>
      </c>
    </row>
    <row r="909">
      <c r="A909" t="inlineStr">
        <is>
          <t>岐阜県</t>
        </is>
      </c>
      <c r="B909" t="inlineStr">
        <is>
          <t>岐阜市</t>
        </is>
      </c>
      <c r="C909" t="n">
        <v>176100</v>
      </c>
      <c r="D909" t="n">
        <v>392902</v>
      </c>
      <c r="E909" s="6" t="n">
        <v>1910.7</v>
      </c>
      <c r="F909" s="7" t="n">
        <v>69.09999999999999</v>
      </c>
      <c r="G909" t="n">
        <v>402557</v>
      </c>
      <c r="H909" t="n">
        <v>392902</v>
      </c>
      <c r="I909" t="n">
        <v>380464</v>
      </c>
      <c r="J909" t="n">
        <v>339236</v>
      </c>
      <c r="K909" s="27">
        <f>(H909/D909-1)</f>
        <v/>
      </c>
      <c r="L909" s="27">
        <f>(I909/D909-1)</f>
        <v/>
      </c>
      <c r="M909" s="27">
        <f>(J909/D909-1)</f>
        <v/>
      </c>
      <c r="N909" t="n">
        <v>61.4</v>
      </c>
      <c r="O909" s="28">
        <f>(N909+F909)/2</f>
        <v/>
      </c>
      <c r="P909">
        <f>IF(O909="計算不能","計算不能",IF(O909&gt;=80,5,IF(O909&gt;=60,4,IF(O909&gt;=40,3,IF(O909&gt;=28,2,1)))))</f>
        <v/>
      </c>
      <c r="Q909" t="n">
        <v>39929</v>
      </c>
      <c r="R909" t="n">
        <v>22200</v>
      </c>
      <c r="S909" s="27">
        <f>R909/Q909</f>
        <v/>
      </c>
      <c r="T909" t="inlineStr">
        <is>
          <t>岐阜市は2045年までに人口が約13.7%減と緩やかな減少局面。若年層の都市部流出と高齢化が進むが、当面の賃貸稼働は一定程度維持される見通し。</t>
        </is>
      </c>
      <c r="U909" t="inlineStr">
        <is>
          <t>岐阜市は人口密度1,911人/km²の都市部で、駅周辺や生活利便施設沿いに安定した賃貸需要がある。適切な家賃設定で高稼働を期待できる。 借家の空室率は約56%と供給過多気味で、空室長期化リスクに要警戒。</t>
        </is>
      </c>
      <c r="V909" t="inlineStr">
        <is>
          <t>岐阜市（岐阜県）：木曽三川（木曽・長良・揖斐）の氾濫と輪中地帯、飛騨の豪雪・土砂災害に留意。</t>
        </is>
      </c>
    </row>
    <row r="910">
      <c r="A910" t="inlineStr">
        <is>
          <t>岐阜県</t>
        </is>
      </c>
      <c r="B910" t="inlineStr">
        <is>
          <t>大垣市</t>
        </is>
      </c>
      <c r="C910" t="n">
        <v>62030</v>
      </c>
      <c r="D910" t="n">
        <v>154850</v>
      </c>
      <c r="E910" s="6" t="n">
        <v>747.8</v>
      </c>
      <c r="F910" s="7" t="n">
        <v>50</v>
      </c>
      <c r="G910" t="n">
        <v>158286</v>
      </c>
      <c r="H910" t="n">
        <v>154850</v>
      </c>
      <c r="I910" t="n">
        <v>150579</v>
      </c>
      <c r="J910" t="n">
        <v>135667</v>
      </c>
      <c r="K910" s="27">
        <f>(H910/D910-1)</f>
        <v/>
      </c>
      <c r="L910" s="27">
        <f>(I910/D910-1)</f>
        <v/>
      </c>
      <c r="M910" s="27">
        <f>(J910/D910-1)</f>
        <v/>
      </c>
      <c r="N910" t="n">
        <v>62.7</v>
      </c>
      <c r="O910" s="28">
        <f>(N910+F910)/2</f>
        <v/>
      </c>
      <c r="P910">
        <f>IF(O910="計算不能","計算不能",IF(O910&gt;=80,5,IF(O910&gt;=60,4,IF(O910&gt;=40,3,IF(O910&gt;=28,2,1)))))</f>
        <v/>
      </c>
      <c r="Q910" t="n">
        <v>14064</v>
      </c>
      <c r="R910" t="n">
        <v>6880</v>
      </c>
      <c r="S910" s="27">
        <f>R910/Q910</f>
        <v/>
      </c>
      <c r="T910" t="inlineStr">
        <is>
          <t>大垣市は2045年までに人口が約12.4%減と緩やかな減少局面。若年層の都市部流出と高齢化が進むが、当面の賃貸稼働は一定程度維持される見通し。</t>
        </is>
      </c>
      <c r="U910" t="inlineStr">
        <is>
          <t>大垣市は人口密度748人/km²で、主要道路沿いや中心市街地に一定の賃貸需要が局在。立地選別が稼働を左右する。 借家の空室率は約49%と供給過多気味で、空室長期化リスクに要警戒。</t>
        </is>
      </c>
      <c r="V910" t="inlineStr">
        <is>
          <t>大垣市（岐阜県）：木曽三川（木曽・長良・揖斐）の氾濫と輪中地帯、飛騨の豪雪・土砂災害に留意。</t>
        </is>
      </c>
    </row>
    <row r="911">
      <c r="A911" t="inlineStr">
        <is>
          <t>岐阜県</t>
        </is>
      </c>
      <c r="B911" t="inlineStr">
        <is>
          <t>高山市</t>
        </is>
      </c>
      <c r="C911" t="n">
        <v>30860</v>
      </c>
      <c r="D911" t="n">
        <v>78262</v>
      </c>
      <c r="E911" s="6" t="n">
        <v>36.4</v>
      </c>
      <c r="F911" s="7" t="n">
        <v>13.6</v>
      </c>
      <c r="G911" t="n">
        <v>84419</v>
      </c>
      <c r="H911" t="n">
        <v>78262</v>
      </c>
      <c r="I911" t="n">
        <v>73101</v>
      </c>
      <c r="J911" t="n">
        <v>58367</v>
      </c>
      <c r="K911" s="27">
        <f>(H911/D911-1)</f>
        <v/>
      </c>
      <c r="L911" s="27">
        <f>(I911/D911-1)</f>
        <v/>
      </c>
      <c r="M911" s="27">
        <f>(J911/D911-1)</f>
        <v/>
      </c>
      <c r="N911" t="n">
        <v>44.7</v>
      </c>
      <c r="O911" s="28">
        <f>(N911+F911)/2</f>
        <v/>
      </c>
      <c r="P911">
        <f>IF(O911="計算不能","計算不能",IF(O911&gt;=80,5,IF(O911&gt;=60,4,IF(O911&gt;=40,3,IF(O911&gt;=28,2,1)))))</f>
        <v/>
      </c>
      <c r="Q911" t="n">
        <v>6997</v>
      </c>
      <c r="R911" t="n">
        <v>1840</v>
      </c>
      <c r="S911" s="27">
        <f>R911/Q911</f>
        <v/>
      </c>
      <c r="T911" t="inlineStr">
        <is>
          <t>高山市は2045年までに人口が約25.4%減と明確な減少トレンド。高齢化の進行と世帯数の縮小により、中長期では賃貸需要の構造的縮小に警戒が必要。</t>
        </is>
      </c>
      <c r="U911" t="inlineStr">
        <is>
          <t>高山市は人口密度36人/km²と過疎的水準で、民間賃貸の新規需要は薄い。実需に裏付けられた格安戸建ての指値取得のみが現実的。 借家の空室率は約26%と供給過多気味で、空室長期化リスクに要警戒。</t>
        </is>
      </c>
      <c r="V911" t="inlineStr">
        <is>
          <t>高山市（岐阜県）：木曽三川（木曽・長良・揖斐）の氾濫と輪中地帯、飛騨の豪雪・土砂災害に留意。</t>
        </is>
      </c>
    </row>
    <row r="912">
      <c r="A912" t="inlineStr">
        <is>
          <t>岐阜県</t>
        </is>
      </c>
      <c r="B912" t="inlineStr">
        <is>
          <t>多治見市</t>
        </is>
      </c>
      <c r="C912" t="n">
        <v>42700</v>
      </c>
      <c r="D912" t="n">
        <v>100822</v>
      </c>
      <c r="E912" s="6" t="n">
        <v>1115.6</v>
      </c>
      <c r="F912" s="7" t="n">
        <v>57.3</v>
      </c>
      <c r="G912" t="n">
        <v>106732</v>
      </c>
      <c r="H912" t="n">
        <v>100822</v>
      </c>
      <c r="I912" t="n">
        <v>95606</v>
      </c>
      <c r="J912" t="n">
        <v>78094</v>
      </c>
      <c r="K912" s="27">
        <f>(H912/D912-1)</f>
        <v/>
      </c>
      <c r="L912" s="27">
        <f>(I912/D912-1)</f>
        <v/>
      </c>
      <c r="M912" s="27">
        <f>(J912/D912-1)</f>
        <v/>
      </c>
      <c r="N912" t="n">
        <v>49.9</v>
      </c>
      <c r="O912" s="28">
        <f>(N912+F912)/2</f>
        <v/>
      </c>
      <c r="P912">
        <f>IF(O912="計算不能","計算不能",IF(O912&gt;=80,5,IF(O912&gt;=60,4,IF(O912&gt;=40,3,IF(O912&gt;=28,2,1)))))</f>
        <v/>
      </c>
      <c r="Q912" t="n">
        <v>9681</v>
      </c>
      <c r="R912" t="n">
        <v>1460</v>
      </c>
      <c r="S912" s="27">
        <f>R912/Q912</f>
        <v/>
      </c>
      <c r="T912" t="inlineStr">
        <is>
          <t>多治見市は2045年までに人口が約22.5%減と明確な減少トレンド。高齢化の進行と世帯数の縮小により、中長期では賃貸需要の構造的縮小に警戒が必要。</t>
        </is>
      </c>
      <c r="U912" t="inlineStr">
        <is>
          <t>多治見市は人口密度1,116人/km²で、主要道路沿いや中心市街地に一定の賃貸需要が局在。立地選別が稼働を左右する。 借家の空室率は約15%と需給は比較的引き締まっている。</t>
        </is>
      </c>
      <c r="V912" t="inlineStr">
        <is>
          <t>多治見市（岐阜県）：木曽三川（木曽・長良・揖斐）の氾濫と輪中地帯、飛騨の豪雪・土砂災害に留意。</t>
        </is>
      </c>
    </row>
    <row r="913">
      <c r="A913" t="inlineStr">
        <is>
          <t>岐阜県</t>
        </is>
      </c>
      <c r="B913" t="inlineStr">
        <is>
          <t>関市</t>
        </is>
      </c>
      <c r="C913" t="n">
        <v>33350</v>
      </c>
      <c r="D913" t="n">
        <v>81718</v>
      </c>
      <c r="E913" s="6" t="n">
        <v>171.2</v>
      </c>
      <c r="F913" s="7" t="n">
        <v>27.1</v>
      </c>
      <c r="G913" t="n">
        <v>85283</v>
      </c>
      <c r="H913" t="n">
        <v>81718</v>
      </c>
      <c r="I913" t="n">
        <v>77711</v>
      </c>
      <c r="J913" t="n">
        <v>64065</v>
      </c>
      <c r="K913" s="27">
        <f>(H913/D913-1)</f>
        <v/>
      </c>
      <c r="L913" s="27">
        <f>(I913/D913-1)</f>
        <v/>
      </c>
      <c r="M913" s="27">
        <f>(J913/D913-1)</f>
        <v/>
      </c>
      <c r="N913" t="n">
        <v>53</v>
      </c>
      <c r="O913" s="28">
        <f>(N913+F913)/2</f>
        <v/>
      </c>
      <c r="P913">
        <f>IF(O913="計算不能","計算不能",IF(O913&gt;=80,5,IF(O913&gt;=60,4,IF(O913&gt;=40,3,IF(O913&gt;=28,2,1)))))</f>
        <v/>
      </c>
      <c r="Q913" t="n">
        <v>7561</v>
      </c>
      <c r="R913" t="n">
        <v>3120</v>
      </c>
      <c r="S913" s="27">
        <f>R913/Q913</f>
        <v/>
      </c>
      <c r="T913" t="inlineStr">
        <is>
          <t>関市は2045年までに人口が約21.6%減と明確な減少トレンド。高齢化の進行と世帯数の縮小により、中長期では賃貸需要の構造的縮小に警戒が必要。</t>
        </is>
      </c>
      <c r="U913" t="inlineStr">
        <is>
          <t>関市は人口密度171人/km²と過疎的水準で、民間賃貸の新規需要は薄い。実需に裏付けられた格安戸建ての指値取得のみが現実的。 借家の空室率は約41%と供給過多気味で、空室長期化リスクに要警戒。</t>
        </is>
      </c>
      <c r="V913" t="inlineStr">
        <is>
          <t>関市（岐阜県）：木曽三川（木曽・長良・揖斐）の氾濫と輪中地帯、飛騨の豪雪・土砂災害に留意。</t>
        </is>
      </c>
    </row>
    <row r="914">
      <c r="A914" t="inlineStr">
        <is>
          <t>岐阜県</t>
        </is>
      </c>
      <c r="B914" t="inlineStr">
        <is>
          <t>中津川市</t>
        </is>
      </c>
      <c r="C914" t="n">
        <v>29530</v>
      </c>
      <c r="D914" t="n">
        <v>73087</v>
      </c>
      <c r="E914" s="6" t="n">
        <v>105</v>
      </c>
      <c r="F914" s="7" t="n">
        <v>20.5</v>
      </c>
      <c r="G914" t="n">
        <v>76570</v>
      </c>
      <c r="H914" t="n">
        <v>73087</v>
      </c>
      <c r="I914" t="n">
        <v>69514</v>
      </c>
      <c r="J914" t="n">
        <v>58824</v>
      </c>
      <c r="K914" s="27">
        <f>(H914/D914-1)</f>
        <v/>
      </c>
      <c r="L914" s="27">
        <f>(I914/D914-1)</f>
        <v/>
      </c>
      <c r="M914" s="27">
        <f>(J914/D914-1)</f>
        <v/>
      </c>
      <c r="N914" t="n">
        <v>53.3</v>
      </c>
      <c r="O914" s="28">
        <f>(N914+F914)/2</f>
        <v/>
      </c>
      <c r="P914">
        <f>IF(O914="計算不能","計算不能",IF(O914&gt;=80,5,IF(O914&gt;=60,4,IF(O914&gt;=40,3,IF(O914&gt;=28,2,1)))))</f>
        <v/>
      </c>
      <c r="Q914" t="n">
        <v>6695</v>
      </c>
      <c r="R914" t="n">
        <v>2490</v>
      </c>
      <c r="S914" s="27">
        <f>R914/Q914</f>
        <v/>
      </c>
      <c r="T914" t="inlineStr">
        <is>
          <t>中津川市は2045年までに人口が約19.5%減と明確な減少トレンド。高齢化の進行と世帯数の縮小により、中長期では賃貸需要の構造的縮小に警戒が必要。</t>
        </is>
      </c>
      <c r="U914" t="inlineStr">
        <is>
          <t>中津川市は人口密度105人/km²と過疎的水準で、民間賃貸の新規需要は薄い。実需に裏付けられた格安戸建ての指値取得のみが現実的。 借家の空室率は約37%と供給過多気味で、空室長期化リスクに要警戒。</t>
        </is>
      </c>
      <c r="V914" t="inlineStr">
        <is>
          <t>中津川市（岐阜県）：木曽三川（木曽・長良・揖斐）の氾濫と輪中地帯、飛騨の豪雪・土砂災害に留意。</t>
        </is>
      </c>
    </row>
    <row r="915">
      <c r="A915" t="inlineStr">
        <is>
          <t>岐阜県</t>
        </is>
      </c>
      <c r="B915" t="inlineStr">
        <is>
          <t>美濃市</t>
        </is>
      </c>
      <c r="C915" t="n">
        <v>7130</v>
      </c>
      <c r="D915" t="n">
        <v>17926</v>
      </c>
      <c r="E915" s="6" t="n">
        <v>150.3</v>
      </c>
      <c r="F915" s="7" t="n">
        <v>25</v>
      </c>
      <c r="G915" t="n">
        <v>19247</v>
      </c>
      <c r="H915" t="n">
        <v>17926</v>
      </c>
      <c r="I915" t="n">
        <v>16605</v>
      </c>
      <c r="J915" t="n">
        <v>12603</v>
      </c>
      <c r="K915" s="27">
        <f>(H915/D915-1)</f>
        <v/>
      </c>
      <c r="L915" s="27">
        <f>(I915/D915-1)</f>
        <v/>
      </c>
      <c r="M915" s="27">
        <f>(J915/D915-1)</f>
        <v/>
      </c>
      <c r="N915" t="n">
        <v>43.8</v>
      </c>
      <c r="O915" s="28">
        <f>(N915+F915)/2</f>
        <v/>
      </c>
      <c r="P915">
        <f>IF(O915="計算不能","計算不能",IF(O915&gt;=80,5,IF(O915&gt;=60,4,IF(O915&gt;=40,3,IF(O915&gt;=28,2,1)))))</f>
        <v/>
      </c>
      <c r="Q915" t="n">
        <v>1616</v>
      </c>
      <c r="R915" t="n">
        <v>360</v>
      </c>
      <c r="S915" s="27">
        <f>R915/Q915</f>
        <v/>
      </c>
      <c r="T915" t="inlineStr">
        <is>
          <t>美濃市は2045年までに人口が約29.7%減と明確な減少トレンド。高齢化の進行と世帯数の縮小により、中長期では賃貸需要の構造的縮小に警戒が必要。</t>
        </is>
      </c>
      <c r="U915" t="inlineStr">
        <is>
          <t>美濃市は人口密度150人/km²と過疎的水準で、民間賃貸の新規需要は薄い。実需に裏付けられた格安戸建ての指値取得のみが現実的。 借家の空室率は約22%とやや高めで、競合との差別化が必要。</t>
        </is>
      </c>
      <c r="V915" t="inlineStr">
        <is>
          <t>美濃市（岐阜県）：木曽三川（木曽・長良・揖斐）の氾濫と輪中地帯、飛騨の豪雪・土砂災害に留意。</t>
        </is>
      </c>
    </row>
    <row r="916">
      <c r="A916" t="inlineStr">
        <is>
          <t>岐阜県</t>
        </is>
      </c>
      <c r="B916" t="inlineStr">
        <is>
          <t>瑞浪市</t>
        </is>
      </c>
      <c r="C916" t="n">
        <v>13910</v>
      </c>
      <c r="D916" t="n">
        <v>35259</v>
      </c>
      <c r="E916" s="6" t="n">
        <v>200.5</v>
      </c>
      <c r="F916" s="7" t="n">
        <v>30</v>
      </c>
      <c r="G916" t="n">
        <v>37150</v>
      </c>
      <c r="H916" t="n">
        <v>35259</v>
      </c>
      <c r="I916" t="n">
        <v>33355</v>
      </c>
      <c r="J916" t="n">
        <v>27104</v>
      </c>
      <c r="K916" s="27">
        <f>(H916/D916-1)</f>
        <v/>
      </c>
      <c r="L916" s="27">
        <f>(I916/D916-1)</f>
        <v/>
      </c>
      <c r="M916" s="27">
        <f>(J916/D916-1)</f>
        <v/>
      </c>
      <c r="N916" t="n">
        <v>50.3</v>
      </c>
      <c r="O916" s="28">
        <f>(N916+F916)/2</f>
        <v/>
      </c>
      <c r="P916">
        <f>IF(O916="計算不能","計算不能",IF(O916&gt;=80,5,IF(O916&gt;=60,4,IF(O916&gt;=40,3,IF(O916&gt;=28,2,1)))))</f>
        <v/>
      </c>
      <c r="Q916" t="n">
        <v>3154</v>
      </c>
      <c r="R916" t="n">
        <v>1370</v>
      </c>
      <c r="S916" s="27">
        <f>R916/Q916</f>
        <v/>
      </c>
      <c r="T916" t="inlineStr">
        <is>
          <t>瑞浪市は2045年までに人口が約23.1%減と明確な減少トレンド。高齢化の進行と世帯数の縮小により、中長期では賃貸需要の構造的縮小に警戒が必要。</t>
        </is>
      </c>
      <c r="U916" t="inlineStr">
        <is>
          <t>瑞浪市は人口密度200人/km²と低密度で、賃貸需要は限定的。持ち家比率が高く、駐車場完備の戸建て賃貸が有利。 借家の空室率は約43%と供給過多気味で、空室長期化リスクに要警戒。</t>
        </is>
      </c>
      <c r="V916" t="inlineStr">
        <is>
          <t>瑞浪市（岐阜県）：木曽三川（木曽・長良・揖斐）の氾濫と輪中地帯、飛騨の豪雪・土砂災害に留意。</t>
        </is>
      </c>
    </row>
    <row r="917">
      <c r="A917" t="inlineStr">
        <is>
          <t>岐阜県</t>
        </is>
      </c>
      <c r="B917" t="inlineStr">
        <is>
          <t>羽島市</t>
        </is>
      </c>
      <c r="C917" t="n">
        <v>25360</v>
      </c>
      <c r="D917" t="n">
        <v>64073</v>
      </c>
      <c r="E917" s="6" t="n">
        <v>1201.3</v>
      </c>
      <c r="F917" s="7" t="n">
        <v>59</v>
      </c>
      <c r="G917" t="n">
        <v>65649</v>
      </c>
      <c r="H917" t="n">
        <v>64073</v>
      </c>
      <c r="I917" t="n">
        <v>61964</v>
      </c>
      <c r="J917" t="n">
        <v>54507</v>
      </c>
      <c r="K917" s="27">
        <f>(H917/D917-1)</f>
        <v/>
      </c>
      <c r="L917" s="27">
        <f>(I917/D917-1)</f>
        <v/>
      </c>
      <c r="M917" s="27">
        <f>(J917/D917-1)</f>
        <v/>
      </c>
      <c r="N917" t="n">
        <v>60.7</v>
      </c>
      <c r="O917" s="28">
        <f>(N917+F917)/2</f>
        <v/>
      </c>
      <c r="P917">
        <f>IF(O917="計算不能","計算不能",IF(O917&gt;=80,5,IF(O917&gt;=60,4,IF(O917&gt;=40,3,IF(O917&gt;=28,2,1)))))</f>
        <v/>
      </c>
      <c r="Q917" t="n">
        <v>5750</v>
      </c>
      <c r="R917" t="n">
        <v>1430</v>
      </c>
      <c r="S917" s="27">
        <f>R917/Q917</f>
        <v/>
      </c>
      <c r="T917" t="inlineStr">
        <is>
          <t>羽島市は2045年までに人口が約14.9%減と緩やかな減少局面。若年層の都市部流出と高齢化が進むが、当面の賃貸稼働は一定程度維持される見通し。</t>
        </is>
      </c>
      <c r="U917" t="inlineStr">
        <is>
          <t>羽島市は人口密度1,201人/km²で、主要道路沿いや中心市街地に一定の賃貸需要が局在。立地選別が稼働を左右する。 借家の空室率は約25%とやや高めで、競合との差別化が必要。</t>
        </is>
      </c>
      <c r="V917" t="inlineStr">
        <is>
          <t>羽島市（岐阜県）：木曽三川（木曽・長良・揖斐）の氾濫と輪中地帯、飛騨の豪雪・土砂災害に留意。</t>
        </is>
      </c>
    </row>
    <row r="918">
      <c r="A918" t="inlineStr">
        <is>
          <t>岐阜県</t>
        </is>
      </c>
      <c r="B918" t="inlineStr">
        <is>
          <t>恵那市</t>
        </is>
      </c>
      <c r="C918" t="n">
        <v>17550</v>
      </c>
      <c r="D918" t="n">
        <v>43758</v>
      </c>
      <c r="E918" s="6" t="n">
        <v>87</v>
      </c>
      <c r="F918" s="7" t="n">
        <v>18.7</v>
      </c>
      <c r="G918" t="n">
        <v>47774</v>
      </c>
      <c r="H918" t="n">
        <v>43758</v>
      </c>
      <c r="I918" t="n">
        <v>40511</v>
      </c>
      <c r="J918" t="n">
        <v>31436</v>
      </c>
      <c r="K918" s="27">
        <f>(H918/D918-1)</f>
        <v/>
      </c>
      <c r="L918" s="27">
        <f>(I918/D918-1)</f>
        <v/>
      </c>
      <c r="M918" s="27">
        <f>(J918/D918-1)</f>
        <v/>
      </c>
      <c r="N918" t="n">
        <v>42.8</v>
      </c>
      <c r="O918" s="28">
        <f>(N918+F918)/2</f>
        <v/>
      </c>
      <c r="P918">
        <f>IF(O918="計算不能","計算不能",IF(O918&gt;=80,5,IF(O918&gt;=60,4,IF(O918&gt;=40,3,IF(O918&gt;=28,2,1)))))</f>
        <v/>
      </c>
      <c r="Q918" t="n">
        <v>3979</v>
      </c>
      <c r="R918" t="n">
        <v>1120</v>
      </c>
      <c r="S918" s="27">
        <f>R918/Q918</f>
        <v/>
      </c>
      <c r="T918" t="inlineStr">
        <is>
          <t>恵那市は2045年までに人口が約28.2%減と明確な減少トレンド。高齢化の進行と世帯数の縮小により、中長期では賃貸需要の構造的縮小に警戒が必要。</t>
        </is>
      </c>
      <c r="U918" t="inlineStr">
        <is>
          <t>恵那市は人口密度87人/km²と過疎的水準で、民間賃貸の新規需要は薄い。実需に裏付けられた格安戸建ての指値取得のみが現実的。 借家の空室率は約28%と供給過多気味で、空室長期化リスクに要警戒。</t>
        </is>
      </c>
      <c r="V918" t="inlineStr">
        <is>
          <t>恵那市（岐阜県）：木曽三川（木曽・長良・揖斐）の氾濫と輪中地帯、飛騨の豪雪・土砂災害に留意。</t>
        </is>
      </c>
    </row>
    <row r="919">
      <c r="A919" t="inlineStr">
        <is>
          <t>岐阜県</t>
        </is>
      </c>
      <c r="B919" t="inlineStr">
        <is>
          <t>美濃加茂市</t>
        </is>
      </c>
      <c r="C919" t="n">
        <v>22110</v>
      </c>
      <c r="D919" t="n">
        <v>56972</v>
      </c>
      <c r="E919" s="6" t="n">
        <v>760.2</v>
      </c>
      <c r="F919" s="7" t="n">
        <v>50.2</v>
      </c>
      <c r="G919" t="n">
        <v>56689</v>
      </c>
      <c r="H919" t="n">
        <v>56972</v>
      </c>
      <c r="I919" t="n">
        <v>57093</v>
      </c>
      <c r="J919" t="n">
        <v>55212</v>
      </c>
      <c r="K919" s="27">
        <f>(H919/D919-1)</f>
        <v/>
      </c>
      <c r="L919" s="27">
        <f>(I919/D919-1)</f>
        <v/>
      </c>
      <c r="M919" s="27">
        <f>(J919/D919-1)</f>
        <v/>
      </c>
      <c r="N919" t="n">
        <v>74.59999999999999</v>
      </c>
      <c r="O919" s="28">
        <f>(N919+F919)/2</f>
        <v/>
      </c>
      <c r="P919">
        <f>IF(O919="計算不能","計算不能",IF(O919&gt;=80,5,IF(O919&gt;=60,4,IF(O919&gt;=40,3,IF(O919&gt;=28,2,1)))))</f>
        <v/>
      </c>
      <c r="Q919" t="n">
        <v>5013</v>
      </c>
      <c r="R919" t="n">
        <v>1700</v>
      </c>
      <c r="S919" s="27">
        <f>R919/Q919</f>
        <v/>
      </c>
      <c r="T919" t="inlineStr">
        <is>
          <t>美濃加茂市は2045年までの人口減少率が約3.1%と全国平均より緩やかで、概ね横ばいの安定推移。生産年齢人口の維持により、賃貸需要の急減リスクは相対的に低い。</t>
        </is>
      </c>
      <c r="U919" t="inlineStr">
        <is>
          <t>美濃加茂市は人口密度760人/km²で、主要道路沿いや中心市街地に一定の賃貸需要が局在。立地選別が稼働を左右する。 借家の空室率は約34%と供給過多気味で、空室長期化リスクに要警戒。</t>
        </is>
      </c>
      <c r="V919" t="inlineStr">
        <is>
          <t>美濃加茂市（岐阜県）：木曽三川（木曽・長良・揖斐）の氾濫と輪中地帯、飛騨の豪雪・土砂災害に留意。</t>
        </is>
      </c>
    </row>
    <row r="920">
      <c r="A920" t="inlineStr">
        <is>
          <t>岐阜県</t>
        </is>
      </c>
      <c r="B920" t="inlineStr">
        <is>
          <t>土岐市</t>
        </is>
      </c>
      <c r="C920" t="n">
        <v>21280</v>
      </c>
      <c r="D920" t="n">
        <v>51792</v>
      </c>
      <c r="E920" s="6" t="n">
        <v>440</v>
      </c>
      <c r="F920" s="7" t="n">
        <v>42</v>
      </c>
      <c r="G920" t="n">
        <v>55348</v>
      </c>
      <c r="H920" t="n">
        <v>51792</v>
      </c>
      <c r="I920" t="n">
        <v>48849</v>
      </c>
      <c r="J920" t="n">
        <v>39922</v>
      </c>
      <c r="K920" s="27">
        <f>(H920/D920-1)</f>
        <v/>
      </c>
      <c r="L920" s="27">
        <f>(I920/D920-1)</f>
        <v/>
      </c>
      <c r="M920" s="27">
        <f>(J920/D920-1)</f>
        <v/>
      </c>
      <c r="N920" t="n">
        <v>47.7</v>
      </c>
      <c r="O920" s="28">
        <f>(N920+F920)/2</f>
        <v/>
      </c>
      <c r="P920">
        <f>IF(O920="計算不能","計算不能",IF(O920&gt;=80,5,IF(O920&gt;=60,4,IF(O920&gt;=40,3,IF(O920&gt;=28,2,1)))))</f>
        <v/>
      </c>
      <c r="Q920" t="n">
        <v>4825</v>
      </c>
      <c r="R920" t="n">
        <v>1110</v>
      </c>
      <c r="S920" s="27">
        <f>R920/Q920</f>
        <v/>
      </c>
      <c r="T920" t="inlineStr">
        <is>
          <t>土岐市は2045年までに人口が約22.9%減と明確な減少トレンド。高齢化の進行と世帯数の縮小により、中長期では賃貸需要の構造的縮小に警戒が必要。</t>
        </is>
      </c>
      <c r="U920" t="inlineStr">
        <is>
          <t>土岐市は人口密度440人/km²と低密度で、賃貸需要は限定的。持ち家比率が高く、駐車場完備の戸建て賃貸が有利。 借家の空室率は約23%とやや高めで、競合との差別化が必要。</t>
        </is>
      </c>
      <c r="V920" t="inlineStr">
        <is>
          <t>土岐市（岐阜県）：木曽三川（木曽・長良・揖斐）の氾濫と輪中地帯、飛騨の豪雪・土砂災害に留意。</t>
        </is>
      </c>
    </row>
    <row r="921">
      <c r="A921" t="inlineStr">
        <is>
          <t>岐阜県</t>
        </is>
      </c>
      <c r="B921" t="inlineStr">
        <is>
          <t>各務原市</t>
        </is>
      </c>
      <c r="C921" t="n">
        <v>55770</v>
      </c>
      <c r="D921" t="n">
        <v>141808</v>
      </c>
      <c r="E921" s="6" t="n">
        <v>1608.3</v>
      </c>
      <c r="F921" s="7" t="n">
        <v>66.09999999999999</v>
      </c>
      <c r="G921" t="n">
        <v>144521</v>
      </c>
      <c r="H921" t="n">
        <v>141808</v>
      </c>
      <c r="I921" t="n">
        <v>137858</v>
      </c>
      <c r="J921" t="n">
        <v>123862</v>
      </c>
      <c r="K921" s="27">
        <f>(H921/D921-1)</f>
        <v/>
      </c>
      <c r="L921" s="27">
        <f>(I921/D921-1)</f>
        <v/>
      </c>
      <c r="M921" s="27">
        <f>(J921/D921-1)</f>
        <v/>
      </c>
      <c r="N921" t="n">
        <v>63.1</v>
      </c>
      <c r="O921" s="28">
        <f>(N921+F921)/2</f>
        <v/>
      </c>
      <c r="P921">
        <f>IF(O921="計算不能","計算不能",IF(O921&gt;=80,5,IF(O921&gt;=60,4,IF(O921&gt;=40,3,IF(O921&gt;=28,2,1)))))</f>
        <v/>
      </c>
      <c r="Q921" t="n">
        <v>12645</v>
      </c>
      <c r="R921" t="n">
        <v>4350</v>
      </c>
      <c r="S921" s="27">
        <f>R921/Q921</f>
        <v/>
      </c>
      <c r="T921" t="inlineStr">
        <is>
          <t>各務原市は2045年までに人口が約12.7%減と緩やかな減少局面。若年層の都市部流出と高齢化が進むが、当面の賃貸稼働は一定程度維持される見通し。</t>
        </is>
      </c>
      <c r="U921" t="inlineStr">
        <is>
          <t>各務原市は人口密度1,608人/km²の都市部で、駅周辺や生活利便施設沿いに安定した賃貸需要がある。適切な家賃設定で高稼働を期待できる。 借家の空室率は約34%と供給過多気味で、空室長期化リスクに要警戒。</t>
        </is>
      </c>
      <c r="V921" t="inlineStr">
        <is>
          <t>各務原市（岐阜県）：木曽三川（木曽・長良・揖斐）の氾濫と輪中地帯、飛騨の豪雪・土砂災害に留意。</t>
        </is>
      </c>
    </row>
    <row r="922">
      <c r="A922" t="inlineStr">
        <is>
          <t>岐阜県</t>
        </is>
      </c>
      <c r="B922" t="inlineStr">
        <is>
          <t>可児市</t>
        </is>
      </c>
      <c r="C922" t="n">
        <v>40780</v>
      </c>
      <c r="D922" t="n">
        <v>98689</v>
      </c>
      <c r="E922" s="6" t="n">
        <v>1110.1</v>
      </c>
      <c r="F922" s="7" t="n">
        <v>57.2</v>
      </c>
      <c r="G922" t="n">
        <v>99968</v>
      </c>
      <c r="H922" t="n">
        <v>98689</v>
      </c>
      <c r="I922" t="n">
        <v>96470</v>
      </c>
      <c r="J922" t="n">
        <v>87227</v>
      </c>
      <c r="K922" s="27">
        <f>(H922/D922-1)</f>
        <v/>
      </c>
      <c r="L922" s="27">
        <f>(I922/D922-1)</f>
        <v/>
      </c>
      <c r="M922" s="27">
        <f>(J922/D922-1)</f>
        <v/>
      </c>
      <c r="N922" t="n">
        <v>65.2</v>
      </c>
      <c r="O922" s="28">
        <f>(N922+F922)/2</f>
        <v/>
      </c>
      <c r="P922">
        <f>IF(O922="計算不能","計算不能",IF(O922&gt;=80,5,IF(O922&gt;=60,4,IF(O922&gt;=40,3,IF(O922&gt;=28,2,1)))))</f>
        <v/>
      </c>
      <c r="Q922" t="n">
        <v>9246</v>
      </c>
      <c r="R922" t="n">
        <v>2200</v>
      </c>
      <c r="S922" s="27">
        <f>R922/Q922</f>
        <v/>
      </c>
      <c r="T922" t="inlineStr">
        <is>
          <t>可児市は2045年までに人口が約11.6%減と緩やかな減少局面。若年層の都市部流出と高齢化が進むが、当面の賃貸稼働は一定程度維持される見通し。</t>
        </is>
      </c>
      <c r="U922" t="inlineStr">
        <is>
          <t>可児市は人口密度1,110人/km²で、主要道路沿いや中心市街地に一定の賃貸需要が局在。立地選別が稼働を左右する。 借家の空室率は約24%とやや高めで、競合との差別化が必要。</t>
        </is>
      </c>
      <c r="V922" t="inlineStr">
        <is>
          <t>可児市（岐阜県）：木曽三川（木曽・長良・揖斐）の氾濫と輪中地帯、飛騨の豪雪・土砂災害に留意。</t>
        </is>
      </c>
    </row>
    <row r="923">
      <c r="A923" t="inlineStr">
        <is>
          <t>岐阜県</t>
        </is>
      </c>
      <c r="B923" t="inlineStr">
        <is>
          <t>山県市</t>
        </is>
      </c>
      <c r="C923" t="n">
        <v>8860</v>
      </c>
      <c r="D923" t="n">
        <v>23486</v>
      </c>
      <c r="E923" s="6" t="n">
        <v>105.2</v>
      </c>
      <c r="F923" s="7" t="n">
        <v>20.5</v>
      </c>
      <c r="G923" t="n">
        <v>25280</v>
      </c>
      <c r="H923" t="n">
        <v>23486</v>
      </c>
      <c r="I923" t="n">
        <v>21528</v>
      </c>
      <c r="J923" t="n">
        <v>15651</v>
      </c>
      <c r="K923" s="27">
        <f>(H923/D923-1)</f>
        <v/>
      </c>
      <c r="L923" s="27">
        <f>(I923/D923-1)</f>
        <v/>
      </c>
      <c r="M923" s="27">
        <f>(J923/D923-1)</f>
        <v/>
      </c>
      <c r="N923" t="n">
        <v>42.4</v>
      </c>
      <c r="O923" s="28">
        <f>(N923+F923)/2</f>
        <v/>
      </c>
      <c r="P923">
        <f>IF(O923="計算不能","計算不能",IF(O923&gt;=80,5,IF(O923&gt;=60,4,IF(O923&gt;=40,3,IF(O923&gt;=28,2,1)))))</f>
        <v/>
      </c>
      <c r="Q923" t="n">
        <v>2008</v>
      </c>
      <c r="R923" t="n">
        <v>350</v>
      </c>
      <c r="S923" s="27">
        <f>R923/Q923</f>
        <v/>
      </c>
      <c r="T923" t="inlineStr">
        <is>
          <t>山県市は2045年までに人口が約33.4%減と急激な過疎・超高齢化が進行。若年労働世代の流出と自然減が重なり、賃貸事業としての持続性は極めて限定的。</t>
        </is>
      </c>
      <c r="U923" t="inlineStr">
        <is>
          <t>山県市は人口密度105人/km²と過疎的水準で、民間賃貸の新規需要は薄い。実需に裏付けられた格安戸建ての指値取得のみが現実的。 借家の空室率は約17%と需給は比較的引き締まっている。</t>
        </is>
      </c>
      <c r="V923" t="inlineStr">
        <is>
          <t>山県市（岐阜県）：木曽三川（木曽・長良・揖斐）の氾濫と輪中地帯、飛騨の豪雪・土砂災害に留意。</t>
        </is>
      </c>
    </row>
    <row r="924">
      <c r="A924" t="inlineStr">
        <is>
          <t>岐阜県</t>
        </is>
      </c>
      <c r="B924" t="inlineStr">
        <is>
          <t>瑞穂市</t>
        </is>
      </c>
      <c r="C924" t="n">
        <v>23450</v>
      </c>
      <c r="D924" t="n">
        <v>57151</v>
      </c>
      <c r="E924" s="6" t="n">
        <v>2010.3</v>
      </c>
      <c r="F924" s="7" t="n">
        <v>70.09999999999999</v>
      </c>
      <c r="G924" t="n">
        <v>56388</v>
      </c>
      <c r="H924" t="n">
        <v>57151</v>
      </c>
      <c r="I924" t="n">
        <v>57188</v>
      </c>
      <c r="J924" t="n">
        <v>54739</v>
      </c>
      <c r="K924" s="27">
        <f>(H924/D924-1)</f>
        <v/>
      </c>
      <c r="L924" s="27">
        <f>(I924/D924-1)</f>
        <v/>
      </c>
      <c r="M924" s="27">
        <f>(J924/D924-1)</f>
        <v/>
      </c>
      <c r="N924" t="n">
        <v>75.59999999999999</v>
      </c>
      <c r="O924" s="28">
        <f>(N924+F924)/2</f>
        <v/>
      </c>
      <c r="P924">
        <f>IF(O924="計算不能","計算不能",IF(O924&gt;=80,5,IF(O924&gt;=60,4,IF(O924&gt;=40,3,IF(O924&gt;=28,2,1)))))</f>
        <v/>
      </c>
      <c r="Q924" t="n">
        <v>5317</v>
      </c>
      <c r="R924" t="n">
        <v>2140</v>
      </c>
      <c r="S924" s="27">
        <f>R924/Q924</f>
        <v/>
      </c>
      <c r="T924" t="inlineStr">
        <is>
          <t>瑞穂市は2045年までの人口減少率が約4.2%と全国平均より緩やかで、概ね横ばいの安定推移。生産年齢人口の維持により、賃貸需要の急減リスクは相対的に低い。</t>
        </is>
      </c>
      <c r="U924" t="inlineStr">
        <is>
          <t>瑞穂市は人口密度2,010人/km²の都市部で、駅周辺や生活利便施設沿いに安定した賃貸需要がある。適切な家賃設定で高稼働を期待できる。 借家の空室率は約40%と供給過多気味で、空室長期化リスクに要警戒。</t>
        </is>
      </c>
      <c r="V924" t="inlineStr">
        <is>
          <t>瑞穂市（岐阜県）：木曽三川（木曽・長良・揖斐）の氾濫と輪中地帯、飛騨の豪雪・土砂災害に留意。</t>
        </is>
      </c>
    </row>
    <row r="925">
      <c r="A925" t="inlineStr">
        <is>
          <t>岐阜県</t>
        </is>
      </c>
      <c r="B925" t="inlineStr">
        <is>
          <t>飛騨市</t>
        </is>
      </c>
      <c r="C925" t="n">
        <v>8310</v>
      </c>
      <c r="D925" t="n">
        <v>20378</v>
      </c>
      <c r="E925" s="6" t="n">
        <v>25.8</v>
      </c>
      <c r="F925" s="7" t="n">
        <v>12.6</v>
      </c>
      <c r="G925" t="n">
        <v>22538</v>
      </c>
      <c r="H925" t="n">
        <v>20378</v>
      </c>
      <c r="I925" t="n">
        <v>18260</v>
      </c>
      <c r="J925" t="n">
        <v>12786</v>
      </c>
      <c r="K925" s="27">
        <f>(H925/D925-1)</f>
        <v/>
      </c>
      <c r="L925" s="27">
        <f>(I925/D925-1)</f>
        <v/>
      </c>
      <c r="M925" s="27">
        <f>(J925/D925-1)</f>
        <v/>
      </c>
      <c r="N925" t="n">
        <v>38.7</v>
      </c>
      <c r="O925" s="28">
        <f>(N925+F925)/2</f>
        <v/>
      </c>
      <c r="P925">
        <f>IF(O925="計算不能","計算不能",IF(O925&gt;=80,5,IF(O925&gt;=60,4,IF(O925&gt;=40,3,IF(O925&gt;=28,2,1)))))</f>
        <v/>
      </c>
      <c r="Q925" t="n">
        <v>1884</v>
      </c>
      <c r="R925" t="n">
        <v>360</v>
      </c>
      <c r="S925" s="27">
        <f>R925/Q925</f>
        <v/>
      </c>
      <c r="T925" t="inlineStr">
        <is>
          <t>飛騨市は2045年までに人口が約37.3%減と急激な過疎・超高齢化が進行。若年労働世代の流出と自然減が重なり、賃貸事業としての持続性は極めて限定的。</t>
        </is>
      </c>
      <c r="U925" t="inlineStr">
        <is>
          <t>飛騨市は人口密度26人/km²と過疎的水準で、民間賃貸の新規需要は薄い。実需に裏付けられた格安戸建ての指値取得のみが現実的。 借家の空室率は約19%とやや高めで、競合との差別化が必要。</t>
        </is>
      </c>
      <c r="V925" t="inlineStr">
        <is>
          <t>飛騨市（岐阜県）：木曽三川（木曽・長良・揖斐）の氾濫と輪中地帯、飛騨の豪雪・土砂災害に留意。</t>
        </is>
      </c>
    </row>
    <row r="926">
      <c r="A926" t="inlineStr">
        <is>
          <t>岐阜県</t>
        </is>
      </c>
      <c r="B926" t="inlineStr">
        <is>
          <t>本巣市</t>
        </is>
      </c>
      <c r="C926" t="n">
        <v>11580</v>
      </c>
      <c r="D926" t="n">
        <v>31719</v>
      </c>
      <c r="E926" s="6" t="n">
        <v>84.8</v>
      </c>
      <c r="F926" s="7" t="n">
        <v>18.5</v>
      </c>
      <c r="G926" t="n">
        <v>32928</v>
      </c>
      <c r="H926" t="n">
        <v>31719</v>
      </c>
      <c r="I926" t="n">
        <v>30270</v>
      </c>
      <c r="J926" t="n">
        <v>25713</v>
      </c>
      <c r="K926" s="27">
        <f>(H926/D926-1)</f>
        <v/>
      </c>
      <c r="L926" s="27">
        <f>(I926/D926-1)</f>
        <v/>
      </c>
      <c r="M926" s="27">
        <f>(J926/D926-1)</f>
        <v/>
      </c>
      <c r="N926" t="n">
        <v>55.5</v>
      </c>
      <c r="O926" s="28">
        <f>(N926+F926)/2</f>
        <v/>
      </c>
      <c r="P926">
        <f>IF(O926="計算不能","計算不能",IF(O926&gt;=80,5,IF(O926&gt;=60,4,IF(O926&gt;=40,3,IF(O926&gt;=28,2,1)))))</f>
        <v/>
      </c>
      <c r="Q926" t="n">
        <v>2625</v>
      </c>
      <c r="R926" t="n">
        <v>450</v>
      </c>
      <c r="S926" s="27">
        <f>R926/Q926</f>
        <v/>
      </c>
      <c r="T926" t="inlineStr">
        <is>
          <t>本巣市は2045年までに人口が約18.9%減と明確な減少トレンド。高齢化の進行と世帯数の縮小により、中長期では賃貸需要の構造的縮小に警戒が必要。</t>
        </is>
      </c>
      <c r="U926" t="inlineStr">
        <is>
          <t>本巣市は人口密度85人/km²と過疎的水準で、民間賃貸の新規需要は薄い。実需に裏付けられた格安戸建ての指値取得のみが現実的。 借家の空室率は約17%と需給は比較的引き締まっている。</t>
        </is>
      </c>
      <c r="V926" t="inlineStr">
        <is>
          <t>本巣市（岐阜県）：木曽三川（木曽・長良・揖斐）の氾濫と輪中地帯、飛騨の豪雪・土砂災害に留意。</t>
        </is>
      </c>
    </row>
    <row r="927">
      <c r="A927" t="inlineStr">
        <is>
          <t>岐阜県</t>
        </is>
      </c>
      <c r="B927" t="inlineStr">
        <is>
          <t>郡上市</t>
        </is>
      </c>
      <c r="C927" t="n">
        <v>14380</v>
      </c>
      <c r="D927" t="n">
        <v>35283</v>
      </c>
      <c r="E927" s="6" t="n">
        <v>34.5</v>
      </c>
      <c r="F927" s="7" t="n">
        <v>13.4</v>
      </c>
      <c r="G927" t="n">
        <v>38997</v>
      </c>
      <c r="H927" t="n">
        <v>35283</v>
      </c>
      <c r="I927" t="n">
        <v>32273</v>
      </c>
      <c r="J927" t="n">
        <v>24230</v>
      </c>
      <c r="K927" s="27">
        <f>(H927/D927-1)</f>
        <v/>
      </c>
      <c r="L927" s="27">
        <f>(I927/D927-1)</f>
        <v/>
      </c>
      <c r="M927" s="27">
        <f>(J927/D927-1)</f>
        <v/>
      </c>
      <c r="N927" t="n">
        <v>40.7</v>
      </c>
      <c r="O927" s="28">
        <f>(N927+F927)/2</f>
        <v/>
      </c>
      <c r="P927">
        <f>IF(O927="計算不能","計算不能",IF(O927&gt;=80,5,IF(O927&gt;=60,4,IF(O927&gt;=40,3,IF(O927&gt;=28,2,1)))))</f>
        <v/>
      </c>
      <c r="Q927" t="n">
        <v>3260</v>
      </c>
      <c r="R927" t="n">
        <v>440</v>
      </c>
      <c r="S927" s="27">
        <f>R927/Q927</f>
        <v/>
      </c>
      <c r="T927" t="inlineStr">
        <is>
          <t>郡上市は2045年までに人口が約31.3%減と急激な過疎・超高齢化が進行。若年労働世代の流出と自然減が重なり、賃貸事業としての持続性は極めて限定的。</t>
        </is>
      </c>
      <c r="U927" t="inlineStr">
        <is>
          <t>郡上市は人口密度34人/km²と過疎的水準で、民間賃貸の新規需要は薄い。実需に裏付けられた格安戸建ての指値取得のみが現実的。 借家の空室率は約13%と需給は比較的引き締まっている。</t>
        </is>
      </c>
      <c r="V927" t="inlineStr">
        <is>
          <t>郡上市（岐阜県）：木曽三川（木曽・長良・揖斐）の氾濫と輪中地帯、飛騨の豪雪・土砂災害に留意。</t>
        </is>
      </c>
    </row>
    <row r="928">
      <c r="A928" t="inlineStr">
        <is>
          <t>岐阜県</t>
        </is>
      </c>
      <c r="B928" t="inlineStr">
        <is>
          <t>下呂市</t>
        </is>
      </c>
      <c r="C928" t="n">
        <v>10930</v>
      </c>
      <c r="D928" t="n">
        <v>26993</v>
      </c>
      <c r="E928" s="6" t="n">
        <v>32.1</v>
      </c>
      <c r="F928" s="7" t="n">
        <v>13.2</v>
      </c>
      <c r="G928" t="n">
        <v>30428</v>
      </c>
      <c r="H928" t="n">
        <v>26993</v>
      </c>
      <c r="I928" t="n">
        <v>24243</v>
      </c>
      <c r="J928" t="n">
        <v>17151</v>
      </c>
      <c r="K928" s="27">
        <f>(H928/D928-1)</f>
        <v/>
      </c>
      <c r="L928" s="27">
        <f>(I928/D928-1)</f>
        <v/>
      </c>
      <c r="M928" s="27">
        <f>(J928/D928-1)</f>
        <v/>
      </c>
      <c r="N928" t="n">
        <v>37.5</v>
      </c>
      <c r="O928" s="28">
        <f>(N928+F928)/2</f>
        <v/>
      </c>
      <c r="P928">
        <f>IF(O928="計算不能","計算不能",IF(O928&gt;=80,5,IF(O928&gt;=60,4,IF(O928&gt;=40,3,IF(O928&gt;=28,2,1)))))</f>
        <v/>
      </c>
      <c r="Q928" t="n">
        <v>2478</v>
      </c>
      <c r="R928" t="n">
        <v>360</v>
      </c>
      <c r="S928" s="27">
        <f>R928/Q928</f>
        <v/>
      </c>
      <c r="T928" t="inlineStr">
        <is>
          <t>下呂市は2045年までに人口が約36.5%減と急激な過疎・超高齢化が進行。若年労働世代の流出と自然減が重なり、賃貸事業としての持続性は極めて限定的。</t>
        </is>
      </c>
      <c r="U928" t="inlineStr">
        <is>
          <t>下呂市は人口密度32人/km²と過疎的水準で、民間賃貸の新規需要は薄い。実需に裏付けられた格安戸建ての指値取得のみが現実的。 借家の空室率は約15%と需給は比較的引き締まっている。</t>
        </is>
      </c>
      <c r="V928" t="inlineStr">
        <is>
          <t>下呂市（岐阜県）：木曽三川（木曽・長良・揖斐）の氾濫と輪中地帯、飛騨の豪雪・土砂災害に留意。</t>
        </is>
      </c>
    </row>
    <row r="929">
      <c r="A929" t="inlineStr">
        <is>
          <t>岐阜県</t>
        </is>
      </c>
      <c r="B929" t="inlineStr">
        <is>
          <t>海津市</t>
        </is>
      </c>
      <c r="C929" t="n">
        <v>11410</v>
      </c>
      <c r="D929" t="n">
        <v>30362</v>
      </c>
      <c r="E929" s="6" t="n">
        <v>266.9</v>
      </c>
      <c r="F929" s="7" t="n">
        <v>33.3</v>
      </c>
      <c r="G929" t="n">
        <v>32735</v>
      </c>
      <c r="H929" t="n">
        <v>30362</v>
      </c>
      <c r="I929" t="n">
        <v>27845</v>
      </c>
      <c r="J929" t="n">
        <v>20148</v>
      </c>
      <c r="K929" s="27">
        <f>(H929/D929-1)</f>
        <v/>
      </c>
      <c r="L929" s="27">
        <f>(I929/D929-1)</f>
        <v/>
      </c>
      <c r="M929" s="27">
        <f>(J929/D929-1)</f>
        <v/>
      </c>
      <c r="N929" t="n">
        <v>42.3</v>
      </c>
      <c r="O929" s="28">
        <f>(N929+F929)/2</f>
        <v/>
      </c>
      <c r="P929">
        <f>IF(O929="計算不能","計算不能",IF(O929&gt;=80,5,IF(O929&gt;=60,4,IF(O929&gt;=40,3,IF(O929&gt;=28,2,1)))))</f>
        <v/>
      </c>
      <c r="Q929" t="n">
        <v>2587</v>
      </c>
      <c r="R929" t="n">
        <v>260</v>
      </c>
      <c r="S929" s="27">
        <f>R929/Q929</f>
        <v/>
      </c>
      <c r="T929" t="inlineStr">
        <is>
          <t>海津市は2045年までに人口が約33.6%減と急激な過疎・超高齢化が進行。若年労働世代の流出と自然減が重なり、賃貸事業としての持続性は極めて限定的。</t>
        </is>
      </c>
      <c r="U929" t="inlineStr">
        <is>
          <t>海津市は人口密度267人/km²と低密度で、賃貸需要は限定的。持ち家比率が高く、駐車場完備の戸建て賃貸が有利。 借家の空室率は約10%と需給は比較的引き締まっている。</t>
        </is>
      </c>
      <c r="V929" t="inlineStr">
        <is>
          <t>海津市（岐阜県）：木曽三川（木曽・長良・揖斐）の氾濫と輪中地帯、飛騨の豪雪・土砂災害に留意。</t>
        </is>
      </c>
    </row>
    <row r="930">
      <c r="A930" t="inlineStr">
        <is>
          <t>岐阜県</t>
        </is>
      </c>
      <c r="B930" t="inlineStr">
        <is>
          <t>岐南町</t>
        </is>
      </c>
      <c r="C930" t="n">
        <v>10580</v>
      </c>
      <c r="D930" t="n">
        <v>26082</v>
      </c>
      <c r="E930" s="6" t="n">
        <v>3303.2</v>
      </c>
      <c r="F930" s="7" t="n">
        <v>80</v>
      </c>
      <c r="G930" t="n">
        <v>25881</v>
      </c>
      <c r="H930" t="n">
        <v>26082</v>
      </c>
      <c r="I930" t="n">
        <v>26052</v>
      </c>
      <c r="J930" t="n">
        <v>24833</v>
      </c>
      <c r="K930" s="27">
        <f>(H930/D930-1)</f>
        <v/>
      </c>
      <c r="L930" s="27">
        <f>(I930/D930-1)</f>
        <v/>
      </c>
      <c r="M930" s="27">
        <f>(J930/D930-1)</f>
        <v/>
      </c>
      <c r="N930" t="n">
        <v>74.09999999999999</v>
      </c>
      <c r="O930" s="28">
        <f>(N930+F930)/2</f>
        <v/>
      </c>
      <c r="P930">
        <f>IF(O930="計算不能","計算不能",IF(O930&gt;=80,5,IF(O930&gt;=60,4,IF(O930&gt;=40,3,IF(O930&gt;=28,2,1)))))</f>
        <v/>
      </c>
      <c r="Q930" t="n">
        <v>2398</v>
      </c>
      <c r="R930" t="n">
        <v>1390</v>
      </c>
      <c r="S930" s="27">
        <f>R930/Q930</f>
        <v/>
      </c>
      <c r="T930" t="inlineStr">
        <is>
          <t>岐南町は2045年までの人口減少率が約4.8%と全国平均より緩やかで、概ね横ばいの安定推移。生産年齢人口の維持により、賃貸需要の急減リスクは相対的に低い。</t>
        </is>
      </c>
      <c r="U930" t="inlineStr">
        <is>
          <t>岐南町は人口密度3,303人/km²の都市部で、駅周辺や生活利便施設沿いに安定した賃貸需要がある。適切な家賃設定で高稼働を期待できる。 借家の空室率は約58%と供給過多気味で、空室長期化リスクに要警戒。</t>
        </is>
      </c>
      <c r="V930" t="inlineStr">
        <is>
          <t>岐南町（岐阜県）：木曽三川（木曽・長良・揖斐）の氾濫と輪中地帯、飛騨の豪雪・土砂災害に留意。</t>
        </is>
      </c>
    </row>
    <row r="931">
      <c r="A931" t="inlineStr">
        <is>
          <t>岐阜県</t>
        </is>
      </c>
      <c r="B931" t="inlineStr">
        <is>
          <t>笠松町</t>
        </is>
      </c>
      <c r="C931" t="n">
        <v>8570</v>
      </c>
      <c r="D931" t="n">
        <v>21692</v>
      </c>
      <c r="E931" s="6" t="n">
        <v>2119.7</v>
      </c>
      <c r="F931" s="7" t="n">
        <v>71.2</v>
      </c>
      <c r="G931" t="n">
        <v>22208</v>
      </c>
      <c r="H931" t="n">
        <v>21692</v>
      </c>
      <c r="I931" t="n">
        <v>21017</v>
      </c>
      <c r="J931" t="n">
        <v>18802</v>
      </c>
      <c r="K931" s="27">
        <f>(H931/D931-1)</f>
        <v/>
      </c>
      <c r="L931" s="27">
        <f>(I931/D931-1)</f>
        <v/>
      </c>
      <c r="M931" s="27">
        <f>(J931/D931-1)</f>
        <v/>
      </c>
      <c r="N931" t="n">
        <v>61.7</v>
      </c>
      <c r="O931" s="28">
        <f>(N931+F931)/2</f>
        <v/>
      </c>
      <c r="P931">
        <f>IF(O931="計算不能","計算不能",IF(O931&gt;=80,5,IF(O931&gt;=60,4,IF(O931&gt;=40,3,IF(O931&gt;=28,2,1)))))</f>
        <v/>
      </c>
      <c r="Q931" t="n">
        <v>1943</v>
      </c>
      <c r="R931" t="n">
        <v>860</v>
      </c>
      <c r="S931" s="27">
        <f>R931/Q931</f>
        <v/>
      </c>
      <c r="T931" t="inlineStr">
        <is>
          <t>笠松町は2045年までに人口が約13.3%減と緩やかな減少局面。若年層の都市部流出と高齢化が進むが、当面の賃貸稼働は一定程度維持される見通し。</t>
        </is>
      </c>
      <c r="U931" t="inlineStr">
        <is>
          <t>笠松町は人口密度2,120人/km²の都市部で、駅周辺や生活利便施設沿いに安定した賃貸需要がある。適切な家賃設定で高稼働を期待できる。 借家の空室率は約44%と供給過多気味で、空室長期化リスクに要警戒。</t>
        </is>
      </c>
      <c r="V931" t="inlineStr">
        <is>
          <t>笠松町（岐阜県）：木曽三川（木曽・長良・揖斐）の氾濫と輪中地帯、飛騨の豪雪・土砂災害に留意。</t>
        </is>
      </c>
    </row>
    <row r="932">
      <c r="A932" t="inlineStr">
        <is>
          <t>岐阜県</t>
        </is>
      </c>
      <c r="B932" t="inlineStr">
        <is>
          <t>養老町</t>
        </is>
      </c>
      <c r="C932" t="n">
        <v>8720</v>
      </c>
      <c r="D932" t="n">
        <v>24810</v>
      </c>
      <c r="E932" s="6" t="n">
        <v>337.1</v>
      </c>
      <c r="F932" s="7" t="n">
        <v>36.9</v>
      </c>
      <c r="G932" t="n">
        <v>26882</v>
      </c>
      <c r="H932" t="n">
        <v>24810</v>
      </c>
      <c r="I932" t="n">
        <v>22712</v>
      </c>
      <c r="J932" t="n">
        <v>16366</v>
      </c>
      <c r="K932" s="27">
        <f>(H932/D932-1)</f>
        <v/>
      </c>
      <c r="L932" s="27">
        <f>(I932/D932-1)</f>
        <v/>
      </c>
      <c r="M932" s="27">
        <f>(J932/D932-1)</f>
        <v/>
      </c>
      <c r="N932" t="n">
        <v>41.7</v>
      </c>
      <c r="O932" s="28">
        <f>(N932+F932)/2</f>
        <v/>
      </c>
      <c r="P932">
        <f>IF(O932="計算不能","計算不能",IF(O932&gt;=80,5,IF(O932&gt;=60,4,IF(O932&gt;=40,3,IF(O932&gt;=28,2,1)))))</f>
        <v/>
      </c>
      <c r="Q932" t="n">
        <v>1977</v>
      </c>
      <c r="R932" t="n">
        <v>190</v>
      </c>
      <c r="S932" s="27">
        <f>R932/Q932</f>
        <v/>
      </c>
      <c r="T932" t="inlineStr">
        <is>
          <t>養老町は2045年までに人口が約34.0%減と急激な過疎・超高齢化が進行。若年労働世代の流出と自然減が重なり、賃貸事業としての持続性は極めて限定的。</t>
        </is>
      </c>
      <c r="U932" t="inlineStr">
        <is>
          <t>養老町は人口密度337人/km²と低密度で、賃貸需要は限定的。持ち家比率が高く、駐車場完備の戸建て賃貸が有利。 借家の空室率は約10%と需給は比較的引き締まっている。</t>
        </is>
      </c>
      <c r="V932" t="inlineStr">
        <is>
          <t>養老町（岐阜県）：木曽三川（木曽・長良・揖斐）の氾濫と輪中地帯、飛騨の豪雪・土砂災害に留意。</t>
        </is>
      </c>
    </row>
    <row r="933">
      <c r="A933" t="inlineStr">
        <is>
          <t>岐阜県</t>
        </is>
      </c>
      <c r="B933" t="inlineStr">
        <is>
          <t>垂井町</t>
        </is>
      </c>
      <c r="C933" t="n">
        <v>9600</v>
      </c>
      <c r="D933" t="n">
        <v>25126</v>
      </c>
      <c r="E933" s="6" t="n">
        <v>437</v>
      </c>
      <c r="F933" s="7" t="n">
        <v>41.9</v>
      </c>
      <c r="G933" t="n">
        <v>26402</v>
      </c>
      <c r="H933" t="n">
        <v>25126</v>
      </c>
      <c r="I933" t="n">
        <v>23782</v>
      </c>
      <c r="J933" t="n">
        <v>19583</v>
      </c>
      <c r="K933" s="27">
        <f>(H933/D933-1)</f>
        <v/>
      </c>
      <c r="L933" s="27">
        <f>(I933/D933-1)</f>
        <v/>
      </c>
      <c r="M933" s="27">
        <f>(J933/D933-1)</f>
        <v/>
      </c>
      <c r="N933" t="n">
        <v>51.3</v>
      </c>
      <c r="O933" s="28">
        <f>(N933+F933)/2</f>
        <v/>
      </c>
      <c r="P933">
        <f>IF(O933="計算不能","計算不能",IF(O933&gt;=80,5,IF(O933&gt;=60,4,IF(O933&gt;=40,3,IF(O933&gt;=28,2,1)))))</f>
        <v/>
      </c>
      <c r="Q933" t="n">
        <v>2176</v>
      </c>
      <c r="R933" t="n">
        <v>480</v>
      </c>
      <c r="S933" s="27">
        <f>R933/Q933</f>
        <v/>
      </c>
      <c r="T933" t="inlineStr">
        <is>
          <t>垂井町は2045年までに人口が約22.1%減と明確な減少トレンド。高齢化の進行と世帯数の縮小により、中長期では賃貸需要の構造的縮小に警戒が必要。</t>
        </is>
      </c>
      <c r="U933" t="inlineStr">
        <is>
          <t>垂井町は人口密度437人/km²と低密度で、賃貸需要は限定的。持ち家比率が高く、駐車場完備の戸建て賃貸が有利。 借家の空室率は約22%とやや高めで、競合との差別化が必要。</t>
        </is>
      </c>
      <c r="V933" t="inlineStr">
        <is>
          <t>垂井町（岐阜県）：木曽三川（木曽・長良・揖斐）の氾濫と輪中地帯、飛騨の豪雪・土砂災害に留意。</t>
        </is>
      </c>
    </row>
    <row r="934">
      <c r="A934" t="inlineStr">
        <is>
          <t>岐阜県</t>
        </is>
      </c>
      <c r="B934" t="inlineStr">
        <is>
          <t>関ケ原町</t>
        </is>
      </c>
      <c r="C934" t="n">
        <v>2620</v>
      </c>
      <c r="D934" t="n">
        <v>5958</v>
      </c>
      <c r="E934" s="6" t="n">
        <v>117.2</v>
      </c>
      <c r="F934" s="7" t="n">
        <v>21.7</v>
      </c>
      <c r="G934" t="n">
        <v>6610</v>
      </c>
      <c r="H934" t="n">
        <v>5958</v>
      </c>
      <c r="I934" t="n">
        <v>5334</v>
      </c>
      <c r="J934" t="n">
        <v>3591</v>
      </c>
      <c r="K934" s="27">
        <f>(H934/D934-1)</f>
        <v/>
      </c>
      <c r="L934" s="27">
        <f>(I934/D934-1)</f>
        <v/>
      </c>
      <c r="M934" s="27">
        <f>(J934/D934-1)</f>
        <v/>
      </c>
      <c r="N934" t="n">
        <v>37.9</v>
      </c>
      <c r="O934" s="28">
        <f>(N934+F934)/2</f>
        <v/>
      </c>
      <c r="P934">
        <f>IF(O934="計算不能","計算不能",IF(O934&gt;=80,5,IF(O934&gt;=60,4,IF(O934&gt;=40,3,IF(O934&gt;=28,2,1)))))</f>
        <v/>
      </c>
      <c r="Q934" t="n">
        <v>594</v>
      </c>
      <c r="R934" t="n">
        <v>0</v>
      </c>
      <c r="S934" s="27">
        <f>R934/Q934</f>
        <v/>
      </c>
      <c r="T934" t="inlineStr">
        <is>
          <t>関ケ原町は2045年までに人口が約39.7%減と急激な過疎・超高齢化が進行。若年労働世代の流出と自然減が重なり、賃貸事業としての持続性は極めて限定的。</t>
        </is>
      </c>
      <c r="U934" t="inlineStr">
        <is>
          <t>関ケ原町は人口密度117人/km²と過疎的水準で、民間賃貸の新規需要は薄い。実需に裏付けられた格安戸建ての指値取得のみが現実的。 借家の空室率は約0%と需給は比較的引き締まっている。</t>
        </is>
      </c>
      <c r="V934" t="inlineStr">
        <is>
          <t>関ケ原町（岐阜県）：木曽三川（木曽・長良・揖斐）の氾濫と輪中地帯、飛騨の豪雪・土砂災害に留意。</t>
        </is>
      </c>
    </row>
    <row r="935">
      <c r="A935" t="inlineStr">
        <is>
          <t>岐阜県</t>
        </is>
      </c>
      <c r="B935" t="inlineStr">
        <is>
          <t>神戸町</t>
        </is>
      </c>
      <c r="C935" t="n">
        <v>6750</v>
      </c>
      <c r="D935" t="n">
        <v>17597</v>
      </c>
      <c r="E935" s="6" t="n">
        <v>936.6</v>
      </c>
      <c r="F935" s="7" t="n">
        <v>53.7</v>
      </c>
      <c r="G935" t="n">
        <v>18585</v>
      </c>
      <c r="H935" t="n">
        <v>17597</v>
      </c>
      <c r="I935" t="n">
        <v>16473</v>
      </c>
      <c r="J935" t="n">
        <v>13016</v>
      </c>
      <c r="K935" s="27">
        <f>(H935/D935-1)</f>
        <v/>
      </c>
      <c r="L935" s="27">
        <f>(I935/D935-1)</f>
        <v/>
      </c>
      <c r="M935" s="27">
        <f>(J935/D935-1)</f>
        <v/>
      </c>
      <c r="N935" t="n">
        <v>47.8</v>
      </c>
      <c r="O935" s="28">
        <f>(N935+F935)/2</f>
        <v/>
      </c>
      <c r="P935">
        <f>IF(O935="計算不能","計算不能",IF(O935&gt;=80,5,IF(O935&gt;=60,4,IF(O935&gt;=40,3,IF(O935&gt;=28,2,1)))))</f>
        <v/>
      </c>
      <c r="Q935" t="n">
        <v>1530</v>
      </c>
      <c r="R935" t="n">
        <v>390</v>
      </c>
      <c r="S935" s="27">
        <f>R935/Q935</f>
        <v/>
      </c>
      <c r="T935" t="inlineStr">
        <is>
          <t>神戸町は2045年までに人口が約26.0%減と明確な減少トレンド。高齢化の進行と世帯数の縮小により、中長期では賃貸需要の構造的縮小に警戒が必要。</t>
        </is>
      </c>
      <c r="U935" t="inlineStr">
        <is>
          <t>神戸町は人口密度937人/km²で、主要道路沿いや中心市街地に一定の賃貸需要が局在。立地選別が稼働を左右する。 借家の空室率は約25%と供給過多気味で、空室長期化リスクに要警戒。</t>
        </is>
      </c>
      <c r="V935" t="inlineStr">
        <is>
          <t>神戸町（岐阜県）：木曽三川（木曽・長良・揖斐）の氾濫と輪中地帯、飛騨の豪雪・土砂災害に留意。</t>
        </is>
      </c>
    </row>
    <row r="936">
      <c r="A936" t="inlineStr">
        <is>
          <t>岐阜県</t>
        </is>
      </c>
      <c r="B936" t="inlineStr">
        <is>
          <t>輪之内町</t>
        </is>
      </c>
      <c r="C936" t="n">
        <v>3482</v>
      </c>
      <c r="D936" t="n">
        <v>9513</v>
      </c>
      <c r="E936" s="6" t="n">
        <v>399.4</v>
      </c>
      <c r="F936" s="7" t="n">
        <v>40</v>
      </c>
      <c r="G936" t="n">
        <v>9654</v>
      </c>
      <c r="H936" t="n">
        <v>9513</v>
      </c>
      <c r="I936" t="n">
        <v>9133</v>
      </c>
      <c r="J936" t="n">
        <v>7787</v>
      </c>
      <c r="K936" s="27">
        <f>(H936/D936-1)</f>
        <v/>
      </c>
      <c r="L936" s="27">
        <f>(I936/D936-1)</f>
        <v/>
      </c>
      <c r="M936" s="27">
        <f>(J936/D936-1)</f>
        <v/>
      </c>
      <c r="N936" t="n">
        <v>60.4</v>
      </c>
      <c r="O936" s="28">
        <f>(N936+F936)/2</f>
        <v/>
      </c>
      <c r="P936">
        <f>IF(O936="計算不能","計算不能",IF(O936&gt;=80,5,IF(O936&gt;=60,4,IF(O936&gt;=40,3,IF(O936&gt;=28,2,1)))))</f>
        <v/>
      </c>
      <c r="Q936" t="n">
        <v>789</v>
      </c>
      <c r="R936" t="n">
        <v>0</v>
      </c>
      <c r="S936" s="27">
        <f>R936/Q936</f>
        <v/>
      </c>
      <c r="T936" t="inlineStr">
        <is>
          <t>輪之内町は2045年までに人口が約18.1%減と明確な減少トレンド。高齢化の進行と世帯数の縮小により、中長期では賃貸需要の構造的縮小に警戒が必要。</t>
        </is>
      </c>
      <c r="U936" t="inlineStr">
        <is>
          <t>輪之内町は人口密度399人/km²と低密度で、賃貸需要は限定的。持ち家比率が高く、駐車場完備の戸建て賃貸が有利。 借家の空室率は約0%と需給は比較的引き締まっている。</t>
        </is>
      </c>
      <c r="V936" t="inlineStr">
        <is>
          <t>輪之内町（岐阜県）：木曽三川（木曽・長良・揖斐）の氾濫と輪中地帯、飛騨の豪雪・土砂災害に留意。</t>
        </is>
      </c>
    </row>
    <row r="937">
      <c r="A937" t="inlineStr">
        <is>
          <t>岐阜県</t>
        </is>
      </c>
      <c r="B937" t="inlineStr">
        <is>
          <t>安八町</t>
        </is>
      </c>
      <c r="C937" t="n">
        <v>5823</v>
      </c>
      <c r="D937" t="n">
        <v>13752</v>
      </c>
      <c r="E937" s="6" t="n">
        <v>765</v>
      </c>
      <c r="F937" s="7" t="n">
        <v>50.3</v>
      </c>
      <c r="G937" t="n">
        <v>14355</v>
      </c>
      <c r="H937" t="n">
        <v>13752</v>
      </c>
      <c r="I937" t="n">
        <v>13065</v>
      </c>
      <c r="J937" t="n">
        <v>10904</v>
      </c>
      <c r="K937" s="27">
        <f>(H937/D937-1)</f>
        <v/>
      </c>
      <c r="L937" s="27">
        <f>(I937/D937-1)</f>
        <v/>
      </c>
      <c r="M937" s="27">
        <f>(J937/D937-1)</f>
        <v/>
      </c>
      <c r="N937" t="n">
        <v>53.3</v>
      </c>
      <c r="O937" s="28">
        <f>(N937+F937)/2</f>
        <v/>
      </c>
      <c r="P937">
        <f>IF(O937="計算不能","計算不能",IF(O937&gt;=80,5,IF(O937&gt;=60,4,IF(O937&gt;=40,3,IF(O937&gt;=28,2,1)))))</f>
        <v/>
      </c>
      <c r="Q937" t="n">
        <v>1320</v>
      </c>
      <c r="R937" t="n">
        <v>0</v>
      </c>
      <c r="S937" s="27">
        <f>R937/Q937</f>
        <v/>
      </c>
      <c r="T937" t="inlineStr">
        <is>
          <t>安八町は2045年までに人口が約20.7%減と明確な減少トレンド。高齢化の進行と世帯数の縮小により、中長期では賃貸需要の構造的縮小に警戒が必要。</t>
        </is>
      </c>
      <c r="U937" t="inlineStr">
        <is>
          <t>安八町は人口密度765人/km²で、主要道路沿いや中心市街地に一定の賃貸需要が局在。立地選別が稼働を左右する。 借家の空室率は約0%と需給は比較的引き締まっている。</t>
        </is>
      </c>
      <c r="V937" t="inlineStr">
        <is>
          <t>安八町（岐阜県）：木曽三川（木曽・長良・揖斐）の氾濫と輪中地帯、飛騨の豪雪・土砂災害に留意。</t>
        </is>
      </c>
    </row>
    <row r="938">
      <c r="A938" t="inlineStr">
        <is>
          <t>岐阜県</t>
        </is>
      </c>
      <c r="B938" t="inlineStr">
        <is>
          <t>揖斐川町</t>
        </is>
      </c>
      <c r="C938" t="n">
        <v>6320</v>
      </c>
      <c r="D938" t="n">
        <v>17389</v>
      </c>
      <c r="E938" s="6" t="n">
        <v>21.5</v>
      </c>
      <c r="F938" s="7" t="n">
        <v>12.2</v>
      </c>
      <c r="G938" t="n">
        <v>19529</v>
      </c>
      <c r="H938" t="n">
        <v>17389</v>
      </c>
      <c r="I938" t="n">
        <v>15512</v>
      </c>
      <c r="J938" t="n">
        <v>10449</v>
      </c>
      <c r="K938" s="27">
        <f>(H938/D938-1)</f>
        <v/>
      </c>
      <c r="L938" s="27">
        <f>(I938/D938-1)</f>
        <v/>
      </c>
      <c r="M938" s="27">
        <f>(J938/D938-1)</f>
        <v/>
      </c>
      <c r="N938" t="n">
        <v>36.8</v>
      </c>
      <c r="O938" s="28">
        <f>(N938+F938)/2</f>
        <v/>
      </c>
      <c r="P938">
        <f>IF(O938="計算不能","計算不能",IF(O938&gt;=80,5,IF(O938&gt;=60,4,IF(O938&gt;=40,3,IF(O938&gt;=28,2,1)))))</f>
        <v/>
      </c>
      <c r="Q938" t="n">
        <v>1433</v>
      </c>
      <c r="R938" t="n">
        <v>150</v>
      </c>
      <c r="S938" s="27">
        <f>R938/Q938</f>
        <v/>
      </c>
      <c r="T938" t="inlineStr">
        <is>
          <t>揖斐川町は2045年までに人口が約39.9%減と急激な過疎・超高齢化が進行。若年労働世代の流出と自然減が重なり、賃貸事業としての持続性は極めて限定的。</t>
        </is>
      </c>
      <c r="U938" t="inlineStr">
        <is>
          <t>揖斐川町は人口密度22人/km²と過疎的水準で、民間賃貸の新規需要は薄い。実需に裏付けられた格安戸建ての指値取得のみが現実的。 借家の空室率は約10%と需給は比較的引き締まっている。</t>
        </is>
      </c>
      <c r="V938" t="inlineStr">
        <is>
          <t>揖斐川町（岐阜県）：木曽三川（木曽・長良・揖斐）の氾濫と輪中地帯、飛騨の豪雪・土砂災害に留意。</t>
        </is>
      </c>
    </row>
    <row r="939">
      <c r="A939" t="inlineStr">
        <is>
          <t>岐阜県</t>
        </is>
      </c>
      <c r="B939" t="inlineStr">
        <is>
          <t>大野町</t>
        </is>
      </c>
      <c r="C939" t="n">
        <v>7780</v>
      </c>
      <c r="D939" t="n">
        <v>20974</v>
      </c>
      <c r="E939" s="6" t="n">
        <v>600.8</v>
      </c>
      <c r="F939" s="7" t="n">
        <v>47</v>
      </c>
      <c r="G939" t="n">
        <v>22041</v>
      </c>
      <c r="H939" t="n">
        <v>20974</v>
      </c>
      <c r="I939" t="n">
        <v>19778</v>
      </c>
      <c r="J939" t="n">
        <v>15948</v>
      </c>
      <c r="K939" s="27">
        <f>(H939/D939-1)</f>
        <v/>
      </c>
      <c r="L939" s="27">
        <f>(I939/D939-1)</f>
        <v/>
      </c>
      <c r="M939" s="27">
        <f>(J939/D939-1)</f>
        <v/>
      </c>
      <c r="N939" t="n">
        <v>50.1</v>
      </c>
      <c r="O939" s="28">
        <f>(N939+F939)/2</f>
        <v/>
      </c>
      <c r="P939">
        <f>IF(O939="計算不能","計算不能",IF(O939&gt;=80,5,IF(O939&gt;=60,4,IF(O939&gt;=40,3,IF(O939&gt;=28,2,1)))))</f>
        <v/>
      </c>
      <c r="Q939" t="n">
        <v>1764</v>
      </c>
      <c r="R939" t="n">
        <v>130</v>
      </c>
      <c r="S939" s="27">
        <f>R939/Q939</f>
        <v/>
      </c>
      <c r="T939" t="inlineStr">
        <is>
          <t>大野町は2045年までに人口が約24.0%減と明確な減少トレンド。高齢化の進行と世帯数の縮小により、中長期では賃貸需要の構造的縮小に警戒が必要。</t>
        </is>
      </c>
      <c r="U939" t="inlineStr">
        <is>
          <t>大野町は人口密度601人/km²で、主要道路沿いや中心市街地に一定の賃貸需要が局在。立地選別が稼働を左右する。 借家の空室率は約7%と需給は比較的引き締まっている。</t>
        </is>
      </c>
      <c r="V939" t="inlineStr">
        <is>
          <t>大野町（岐阜県）：木曽三川（木曽・長良・揖斐）の氾濫と輪中地帯、飛騨の豪雪・土砂災害に留意。</t>
        </is>
      </c>
    </row>
    <row r="940">
      <c r="A940" t="inlineStr">
        <is>
          <t>岐阜県</t>
        </is>
      </c>
      <c r="B940" t="inlineStr">
        <is>
          <t>池田町</t>
        </is>
      </c>
      <c r="C940" t="n">
        <v>7990</v>
      </c>
      <c r="D940" t="n">
        <v>21597</v>
      </c>
      <c r="E940" s="6" t="n">
        <v>555.7</v>
      </c>
      <c r="F940" s="7" t="n">
        <v>46.1</v>
      </c>
      <c r="G940" t="n">
        <v>23360</v>
      </c>
      <c r="H940" t="n">
        <v>21597</v>
      </c>
      <c r="I940" t="n">
        <v>20525</v>
      </c>
      <c r="J940" t="n">
        <v>16918</v>
      </c>
      <c r="K940" s="27">
        <f>(H940/D940-1)</f>
        <v/>
      </c>
      <c r="L940" s="27">
        <f>(I940/D940-1)</f>
        <v/>
      </c>
      <c r="M940" s="27">
        <f>(J940/D940-1)</f>
        <v/>
      </c>
      <c r="N940" t="n">
        <v>46.7</v>
      </c>
      <c r="O940" s="28">
        <f>(N940+F940)/2</f>
        <v/>
      </c>
      <c r="P940">
        <f>IF(O940="計算不能","計算不能",IF(O940&gt;=80,5,IF(O940&gt;=60,4,IF(O940&gt;=40,3,IF(O940&gt;=28,2,1)))))</f>
        <v/>
      </c>
      <c r="Q940" t="n">
        <v>1811</v>
      </c>
      <c r="R940" t="n">
        <v>90</v>
      </c>
      <c r="S940" s="27">
        <f>R940/Q940</f>
        <v/>
      </c>
      <c r="T940" t="inlineStr">
        <is>
          <t>池田町は2045年までに人口が約21.7%減と明確な減少トレンド。高齢化の進行と世帯数の縮小により、中長期では賃貸需要の構造的縮小に警戒が必要。</t>
        </is>
      </c>
      <c r="U940" t="inlineStr">
        <is>
          <t>池田町は人口密度556人/km²で、主要道路沿いや中心市街地に一定の賃貸需要が局在。立地選別が稼働を左右する。 借家の空室率は約5%と需給は比較的引き締まっている。</t>
        </is>
      </c>
      <c r="V940" t="inlineStr">
        <is>
          <t>池田町（岐阜県）：木曽三川（木曽・長良・揖斐）の氾濫と輪中地帯、飛騨の豪雪・土砂災害に留意。</t>
        </is>
      </c>
    </row>
    <row r="941">
      <c r="A941" t="inlineStr">
        <is>
          <t>岐阜県</t>
        </is>
      </c>
      <c r="B941" t="inlineStr">
        <is>
          <t>北方町</t>
        </is>
      </c>
      <c r="C941" t="n">
        <v>7520</v>
      </c>
      <c r="D941" t="n">
        <v>17905</v>
      </c>
      <c r="E941" s="6" t="n">
        <v>3521</v>
      </c>
      <c r="F941" s="7" t="n">
        <v>80</v>
      </c>
      <c r="G941" t="n">
        <v>18139</v>
      </c>
      <c r="H941" t="n">
        <v>17905</v>
      </c>
      <c r="I941" t="n">
        <v>17538</v>
      </c>
      <c r="J941" t="n">
        <v>15911</v>
      </c>
      <c r="K941" s="27">
        <f>(H941/D941-1)</f>
        <v/>
      </c>
      <c r="L941" s="27">
        <f>(I941/D941-1)</f>
        <v/>
      </c>
      <c r="M941" s="27">
        <f>(J941/D941-1)</f>
        <v/>
      </c>
      <c r="N941" t="n">
        <v>65.5</v>
      </c>
      <c r="O941" s="28">
        <f>(N941+F941)/2</f>
        <v/>
      </c>
      <c r="P941">
        <f>IF(O941="計算不能","計算不能",IF(O941&gt;=80,5,IF(O941&gt;=60,4,IF(O941&gt;=40,3,IF(O941&gt;=28,2,1)))))</f>
        <v/>
      </c>
      <c r="Q941" t="n">
        <v>1705</v>
      </c>
      <c r="R941" t="n">
        <v>670</v>
      </c>
      <c r="S941" s="27">
        <f>R941/Q941</f>
        <v/>
      </c>
      <c r="T941" t="inlineStr">
        <is>
          <t>北方町は2045年までに人口が約11.1%減と緩やかな減少局面。若年層の都市部流出と高齢化が進むが、当面の賃貸稼働は一定程度維持される見通し。</t>
        </is>
      </c>
      <c r="U941" t="inlineStr">
        <is>
          <t>北方町は人口密度3,521人/km²の都市部で、駅周辺や生活利便施設沿いに安定した賃貸需要がある。適切な家賃設定で高稼働を期待できる。 借家の空室率は約39%と供給過多気味で、空室長期化リスクに要警戒。</t>
        </is>
      </c>
      <c r="V941" t="inlineStr">
        <is>
          <t>北方町（岐阜県）：木曽三川（木曽・長良・揖斐）の氾濫と輪中地帯、飛騨の豪雪・土砂災害に留意。</t>
        </is>
      </c>
    </row>
    <row r="942">
      <c r="A942" t="inlineStr">
        <is>
          <t>岐阜県</t>
        </is>
      </c>
      <c r="B942" t="inlineStr">
        <is>
          <t>坂祝町</t>
        </is>
      </c>
      <c r="C942" t="n">
        <v>3574</v>
      </c>
      <c r="D942" t="n">
        <v>7885</v>
      </c>
      <c r="E942" s="6" t="n">
        <v>630.5</v>
      </c>
      <c r="F942" s="7" t="n">
        <v>47.6</v>
      </c>
      <c r="G942" t="n">
        <v>8071</v>
      </c>
      <c r="H942" t="n">
        <v>7885</v>
      </c>
      <c r="I942" t="n">
        <v>7667</v>
      </c>
      <c r="J942" t="n">
        <v>6715</v>
      </c>
      <c r="K942" s="27">
        <f>(H942/D942-1)</f>
        <v/>
      </c>
      <c r="L942" s="27">
        <f>(I942/D942-1)</f>
        <v/>
      </c>
      <c r="M942" s="27">
        <f>(J942/D942-1)</f>
        <v/>
      </c>
      <c r="N942" t="n">
        <v>61.3</v>
      </c>
      <c r="O942" s="28">
        <f>(N942+F942)/2</f>
        <v/>
      </c>
      <c r="P942">
        <f>IF(O942="計算不能","計算不能",IF(O942&gt;=80,5,IF(O942&gt;=60,4,IF(O942&gt;=40,3,IF(O942&gt;=28,2,1)))))</f>
        <v/>
      </c>
      <c r="Q942" t="n">
        <v>810</v>
      </c>
      <c r="R942" t="n">
        <v>0</v>
      </c>
      <c r="S942" s="27">
        <f>R942/Q942</f>
        <v/>
      </c>
      <c r="T942" t="inlineStr">
        <is>
          <t>坂祝町は2045年までに人口が約14.8%減と緩やかな減少局面。若年層の都市部流出と高齢化が進むが、当面の賃貸稼働は一定程度維持される見通し。</t>
        </is>
      </c>
      <c r="U942" t="inlineStr">
        <is>
          <t>坂祝町は人口密度630人/km²で、主要道路沿いや中心市街地に一定の賃貸需要が局在。立地選別が稼働を左右する。 借家の空室率は約0%と需給は比較的引き締まっている。</t>
        </is>
      </c>
      <c r="V942" t="inlineStr">
        <is>
          <t>坂祝町（岐阜県）：木曽三川（木曽・長良・揖斐）の氾濫と輪中地帯、飛騨の豪雪・土砂災害に留意。</t>
        </is>
      </c>
    </row>
    <row r="943">
      <c r="A943" t="inlineStr">
        <is>
          <t>岐阜県</t>
        </is>
      </c>
      <c r="B943" t="inlineStr">
        <is>
          <t>富加町</t>
        </is>
      </c>
      <c r="C943" t="n">
        <v>2213</v>
      </c>
      <c r="D943" t="n">
        <v>5443</v>
      </c>
      <c r="E943" s="6" t="n">
        <v>344.5</v>
      </c>
      <c r="F943" s="7" t="n">
        <v>37.2</v>
      </c>
      <c r="G943" t="n">
        <v>5626</v>
      </c>
      <c r="H943" t="n">
        <v>5443</v>
      </c>
      <c r="I943" t="n">
        <v>5255</v>
      </c>
      <c r="J943" t="n">
        <v>4628</v>
      </c>
      <c r="K943" s="27">
        <f>(H943/D943-1)</f>
        <v/>
      </c>
      <c r="L943" s="27">
        <f>(I943/D943-1)</f>
        <v/>
      </c>
      <c r="M943" s="27">
        <f>(J943/D943-1)</f>
        <v/>
      </c>
      <c r="N943" t="n">
        <v>58.9</v>
      </c>
      <c r="O943" s="28">
        <f>(N943+F943)/2</f>
        <v/>
      </c>
      <c r="P943">
        <f>IF(O943="計算不能","計算不能",IF(O943&gt;=80,5,IF(O943&gt;=60,4,IF(O943&gt;=40,3,IF(O943&gt;=28,2,1)))))</f>
        <v/>
      </c>
      <c r="Q943" t="n">
        <v>501</v>
      </c>
      <c r="R943" t="n">
        <v>0</v>
      </c>
      <c r="S943" s="27">
        <f>R943/Q943</f>
        <v/>
      </c>
      <c r="T943" t="inlineStr">
        <is>
          <t>富加町は2045年までに人口が約15.0%減と緩やかな減少局面。若年層の都市部流出と高齢化が進むが、当面の賃貸稼働は一定程度維持される見通し。</t>
        </is>
      </c>
      <c r="U943" t="inlineStr">
        <is>
          <t>富加町は人口密度344人/km²と低密度で、賃貸需要は限定的。持ち家比率が高く、駐車場完備の戸建て賃貸が有利。 借家の空室率は約0%と需給は比較的引き締まっている。</t>
        </is>
      </c>
      <c r="V943" t="inlineStr">
        <is>
          <t>富加町（岐阜県）：木曽三川（木曽・長良・揖斐）の氾濫と輪中地帯、飛騨の豪雪・土砂災害に留意。</t>
        </is>
      </c>
    </row>
    <row r="944">
      <c r="A944" t="inlineStr">
        <is>
          <t>岐阜県</t>
        </is>
      </c>
      <c r="B944" t="inlineStr">
        <is>
          <t>川辺町</t>
        </is>
      </c>
      <c r="C944" t="n">
        <v>4063</v>
      </c>
      <c r="D944" t="n">
        <v>9436</v>
      </c>
      <c r="E944" s="6" t="n">
        <v>224.5</v>
      </c>
      <c r="F944" s="7" t="n">
        <v>31.2</v>
      </c>
      <c r="G944" t="n">
        <v>9860</v>
      </c>
      <c r="H944" t="n">
        <v>9436</v>
      </c>
      <c r="I944" t="n">
        <v>8985</v>
      </c>
      <c r="J944" t="n">
        <v>7572</v>
      </c>
      <c r="K944" s="27">
        <f>(H944/D944-1)</f>
        <v/>
      </c>
      <c r="L944" s="27">
        <f>(I944/D944-1)</f>
        <v/>
      </c>
      <c r="M944" s="27">
        <f>(J944/D944-1)</f>
        <v/>
      </c>
      <c r="N944" t="n">
        <v>53.7</v>
      </c>
      <c r="O944" s="28">
        <f>(N944+F944)/2</f>
        <v/>
      </c>
      <c r="P944">
        <f>IF(O944="計算不能","計算不能",IF(O944&gt;=80,5,IF(O944&gt;=60,4,IF(O944&gt;=40,3,IF(O944&gt;=28,2,1)))))</f>
        <v/>
      </c>
      <c r="Q944" t="n">
        <v>921</v>
      </c>
      <c r="R944" t="n">
        <v>0</v>
      </c>
      <c r="S944" s="27">
        <f>R944/Q944</f>
        <v/>
      </c>
      <c r="T944" t="inlineStr">
        <is>
          <t>川辺町は2045年までに人口が約19.8%減と明確な減少トレンド。高齢化の進行と世帯数の縮小により、中長期では賃貸需要の構造的縮小に警戒が必要。</t>
        </is>
      </c>
      <c r="U944" t="inlineStr">
        <is>
          <t>川辺町は人口密度224人/km²と低密度で、賃貸需要は限定的。持ち家比率が高く、駐車場完備の戸建て賃貸が有利。 借家の空室率は約0%と需給は比較的引き締まっている。</t>
        </is>
      </c>
      <c r="V944" t="inlineStr">
        <is>
          <t>川辺町（岐阜県）：木曽三川（木曽・長良・揖斐）の氾濫と輪中地帯、飛騨の豪雪・土砂災害に留意。</t>
        </is>
      </c>
    </row>
    <row r="945">
      <c r="A945" t="inlineStr">
        <is>
          <t>岐阜県</t>
        </is>
      </c>
      <c r="B945" t="inlineStr">
        <is>
          <t>七宗町</t>
        </is>
      </c>
      <c r="C945" t="n">
        <v>1403</v>
      </c>
      <c r="D945" t="n">
        <v>2994</v>
      </c>
      <c r="E945" s="6" t="n">
        <v>31.8</v>
      </c>
      <c r="F945" s="7" t="n">
        <v>13.2</v>
      </c>
      <c r="G945" t="n">
        <v>3402</v>
      </c>
      <c r="H945" t="n">
        <v>2994</v>
      </c>
      <c r="I945" t="n">
        <v>2638</v>
      </c>
      <c r="J945" t="n">
        <v>1696</v>
      </c>
      <c r="K945" s="27">
        <f>(H945/D945-1)</f>
        <v/>
      </c>
      <c r="L945" s="27">
        <f>(I945/D945-1)</f>
        <v/>
      </c>
      <c r="M945" s="27">
        <f>(J945/D945-1)</f>
        <v/>
      </c>
      <c r="N945" t="n">
        <v>34.8</v>
      </c>
      <c r="O945" s="28">
        <f>(N945+F945)/2</f>
        <v/>
      </c>
      <c r="P945">
        <f>IF(O945="計算不能","計算不能",IF(O945&gt;=80,5,IF(O945&gt;=60,4,IF(O945&gt;=40,3,IF(O945&gt;=28,2,1)))))</f>
        <v/>
      </c>
      <c r="Q945" t="n">
        <v>318</v>
      </c>
      <c r="R945" t="n">
        <v>0</v>
      </c>
      <c r="S945" s="27">
        <f>R945/Q945</f>
        <v/>
      </c>
      <c r="T945" t="inlineStr">
        <is>
          <t>七宗町は2045年までに人口が約43.4%減と急激な過疎・超高齢化が進行。若年労働世代の流出と自然減が重なり、賃貸事業としての持続性は極めて限定的。</t>
        </is>
      </c>
      <c r="U945" t="inlineStr">
        <is>
          <t>七宗町は人口密度32人/km²と過疎的水準で、民間賃貸の新規需要は薄い。実需に裏付けられた格安戸建ての指値取得のみが現実的。 借家の空室率は約0%と需給は比較的引き締まっている。</t>
        </is>
      </c>
      <c r="V945" t="inlineStr">
        <is>
          <t>七宗町（岐阜県）：木曽三川（木曽・長良・揖斐）の氾濫と輪中地帯、飛騨の豪雪・土砂災害に留意。</t>
        </is>
      </c>
    </row>
    <row r="946">
      <c r="A946" t="inlineStr">
        <is>
          <t>岐阜県</t>
        </is>
      </c>
      <c r="B946" t="inlineStr">
        <is>
          <t>八百津町</t>
        </is>
      </c>
      <c r="C946" t="n">
        <v>4264</v>
      </c>
      <c r="D946" t="n">
        <v>9352</v>
      </c>
      <c r="E946" s="6" t="n">
        <v>71.8</v>
      </c>
      <c r="F946" s="7" t="n">
        <v>17.2</v>
      </c>
      <c r="G946" t="n">
        <v>10195</v>
      </c>
      <c r="H946" t="n">
        <v>9352</v>
      </c>
      <c r="I946" t="n">
        <v>8523</v>
      </c>
      <c r="J946" t="n">
        <v>6216</v>
      </c>
      <c r="K946" s="27">
        <f>(H946/D946-1)</f>
        <v/>
      </c>
      <c r="L946" s="27">
        <f>(I946/D946-1)</f>
        <v/>
      </c>
      <c r="M946" s="27">
        <f>(J946/D946-1)</f>
        <v/>
      </c>
      <c r="N946" t="n">
        <v>41.2</v>
      </c>
      <c r="O946" s="28">
        <f>(N946+F946)/2</f>
        <v/>
      </c>
      <c r="P946">
        <f>IF(O946="計算不能","計算不能",IF(O946&gt;=80,5,IF(O946&gt;=60,4,IF(O946&gt;=40,3,IF(O946&gt;=28,2,1)))))</f>
        <v/>
      </c>
      <c r="Q946" t="n">
        <v>966</v>
      </c>
      <c r="R946" t="n">
        <v>0</v>
      </c>
      <c r="S946" s="27">
        <f>R946/Q946</f>
        <v/>
      </c>
      <c r="T946" t="inlineStr">
        <is>
          <t>八百津町は2045年までに人口が約33.5%減と急激な過疎・超高齢化が進行。若年労働世代の流出と自然減が重なり、賃貸事業としての持続性は極めて限定的。</t>
        </is>
      </c>
      <c r="U946" t="inlineStr">
        <is>
          <t>八百津町は人口密度72人/km²と過疎的水準で、民間賃貸の新規需要は薄い。実需に裏付けられた格安戸建ての指値取得のみが現実的。 借家の空室率は約0%と需給は比較的引き締まっている。</t>
        </is>
      </c>
      <c r="V946" t="inlineStr">
        <is>
          <t>八百津町（岐阜県）：木曽三川（木曽・長良・揖斐）の氾濫と輪中地帯、飛騨の豪雪・土砂災害に留意。</t>
        </is>
      </c>
    </row>
    <row r="947">
      <c r="A947" t="inlineStr">
        <is>
          <t>岐阜県</t>
        </is>
      </c>
      <c r="B947" t="inlineStr">
        <is>
          <t>白川町</t>
        </is>
      </c>
      <c r="C947" t="n">
        <v>2971</v>
      </c>
      <c r="D947" t="n">
        <v>6515</v>
      </c>
      <c r="E947" s="6" t="n">
        <v>26.9</v>
      </c>
      <c r="F947" s="7" t="n">
        <v>12.7</v>
      </c>
      <c r="G947" t="n">
        <v>7412</v>
      </c>
      <c r="H947" t="n">
        <v>6515</v>
      </c>
      <c r="I947" t="n">
        <v>5698</v>
      </c>
      <c r="J947" t="n">
        <v>3677</v>
      </c>
      <c r="K947" s="27">
        <f>(H947/D947-1)</f>
        <v/>
      </c>
      <c r="L947" s="27">
        <f>(I947/D947-1)</f>
        <v/>
      </c>
      <c r="M947" s="27">
        <f>(J947/D947-1)</f>
        <v/>
      </c>
      <c r="N947" t="n">
        <v>34.5</v>
      </c>
      <c r="O947" s="28">
        <f>(N947+F947)/2</f>
        <v/>
      </c>
      <c r="P947">
        <f>IF(O947="計算不能","計算不能",IF(O947&gt;=80,5,IF(O947&gt;=60,4,IF(O947&gt;=40,3,IF(O947&gt;=28,2,1)))))</f>
        <v/>
      </c>
      <c r="Q947" t="n">
        <v>673</v>
      </c>
      <c r="R947" t="n">
        <v>0</v>
      </c>
      <c r="S947" s="27">
        <f>R947/Q947</f>
        <v/>
      </c>
      <c r="T947" t="inlineStr">
        <is>
          <t>白川町は2045年までに人口が約43.6%減と急激な過疎・超高齢化が進行。若年労働世代の流出と自然減が重なり、賃貸事業としての持続性は極めて限定的。</t>
        </is>
      </c>
      <c r="U947" t="inlineStr">
        <is>
          <t>白川町は人口密度27人/km²と過疎的水準で、民間賃貸の新規需要は薄い。実需に裏付けられた格安戸建ての指値取得のみが現実的。 借家の空室率は約0%と需給は比較的引き締まっている。</t>
        </is>
      </c>
      <c r="V947" t="inlineStr">
        <is>
          <t>白川町（岐阜県）：木曽三川（木曽・長良・揖斐）の氾濫と輪中地帯、飛騨の豪雪・土砂災害に留意。</t>
        </is>
      </c>
    </row>
    <row r="948">
      <c r="A948" t="inlineStr">
        <is>
          <t>岐阜県</t>
        </is>
      </c>
      <c r="B948" t="inlineStr">
        <is>
          <t>東白川村</t>
        </is>
      </c>
      <c r="C948" t="n">
        <v>815</v>
      </c>
      <c r="D948" t="n">
        <v>1784</v>
      </c>
      <c r="E948" s="6" t="n">
        <v>20.8</v>
      </c>
      <c r="F948" s="7" t="n">
        <v>12.1</v>
      </c>
      <c r="G948" t="n">
        <v>2016</v>
      </c>
      <c r="H948" t="n">
        <v>1784</v>
      </c>
      <c r="I948" t="n">
        <v>1565</v>
      </c>
      <c r="J948" t="n">
        <v>1063</v>
      </c>
      <c r="K948" s="27">
        <f>(H948/D948-1)</f>
        <v/>
      </c>
      <c r="L948" s="27">
        <f>(I948/D948-1)</f>
        <v/>
      </c>
      <c r="M948" s="27">
        <f>(J948/D948-1)</f>
        <v/>
      </c>
      <c r="N948" t="n">
        <v>35.7</v>
      </c>
      <c r="O948" s="28">
        <f>(N948+F948)/2</f>
        <v/>
      </c>
      <c r="P948">
        <f>IF(O948="計算不能","計算不能",IF(O948&gt;=80,5,IF(O948&gt;=60,4,IF(O948&gt;=40,3,IF(O948&gt;=28,2,1)))))</f>
        <v/>
      </c>
      <c r="Q948" t="n">
        <v>184</v>
      </c>
      <c r="R948" t="n">
        <v>0</v>
      </c>
      <c r="S948" s="27">
        <f>R948/Q948</f>
        <v/>
      </c>
      <c r="T948" t="inlineStr">
        <is>
          <t>東白川村は2045年までに人口が約40.4%減と急激な過疎・超高齢化が進行。若年労働世代の流出と自然減が重なり、賃貸事業としての持続性は極めて限定的。</t>
        </is>
      </c>
      <c r="U948" t="inlineStr">
        <is>
          <t>東白川村は人口密度21人/km²と過疎的水準で、民間賃貸の新規需要は薄い。実需に裏付けられた格安戸建ての指値取得のみが現実的。 借家の空室率は約0%と需給は比較的引き締まっている。</t>
        </is>
      </c>
      <c r="V948" t="inlineStr">
        <is>
          <t>東白川村（岐阜県）：木曽三川（木曽・長良・揖斐）の氾濫と輪中地帯、飛騨の豪雪・土砂災害に留意。</t>
        </is>
      </c>
    </row>
    <row r="949">
      <c r="A949" t="inlineStr">
        <is>
          <t>岐阜県</t>
        </is>
      </c>
      <c r="B949" t="inlineStr">
        <is>
          <t>御嵩町</t>
        </is>
      </c>
      <c r="C949" t="n">
        <v>6690</v>
      </c>
      <c r="D949" t="n">
        <v>16833</v>
      </c>
      <c r="E949" s="6" t="n">
        <v>291.1</v>
      </c>
      <c r="F949" s="7" t="n">
        <v>34.6</v>
      </c>
      <c r="G949" t="n">
        <v>17516</v>
      </c>
      <c r="H949" t="n">
        <v>16833</v>
      </c>
      <c r="I949" t="n">
        <v>16082</v>
      </c>
      <c r="J949" t="n">
        <v>13463</v>
      </c>
      <c r="K949" s="27">
        <f>(H949/D949-1)</f>
        <v/>
      </c>
      <c r="L949" s="27">
        <f>(I949/D949-1)</f>
        <v/>
      </c>
      <c r="M949" s="27">
        <f>(J949/D949-1)</f>
        <v/>
      </c>
      <c r="N949" t="n">
        <v>54.6</v>
      </c>
      <c r="O949" s="28">
        <f>(N949+F949)/2</f>
        <v/>
      </c>
      <c r="P949">
        <f>IF(O949="計算不能","計算不能",IF(O949&gt;=80,5,IF(O949&gt;=60,4,IF(O949&gt;=40,3,IF(O949&gt;=28,2,1)))))</f>
        <v/>
      </c>
      <c r="Q949" t="n">
        <v>1516</v>
      </c>
      <c r="R949" t="n">
        <v>250</v>
      </c>
      <c r="S949" s="27">
        <f>R949/Q949</f>
        <v/>
      </c>
      <c r="T949" t="inlineStr">
        <is>
          <t>御嵩町は2045年までに人口が約20.0%減と明確な減少トレンド。高齢化の進行と世帯数の縮小により、中長期では賃貸需要の構造的縮小に警戒が必要。</t>
        </is>
      </c>
      <c r="U949" t="inlineStr">
        <is>
          <t>御嵩町は人口密度291人/km²と低密度で、賃貸需要は限定的。持ち家比率が高く、駐車場完備の戸建て賃貸が有利。 借家の空室率は約16%と需給は比較的引き締まっている。</t>
        </is>
      </c>
      <c r="V949" t="inlineStr">
        <is>
          <t>御嵩町（岐阜県）：木曽三川（木曽・長良・揖斐）の氾濫と輪中地帯、飛騨の豪雪・土砂災害に留意。</t>
        </is>
      </c>
    </row>
    <row r="950">
      <c r="A950" t="inlineStr">
        <is>
          <t>岐阜県</t>
        </is>
      </c>
      <c r="B950" t="inlineStr">
        <is>
          <t>白川村</t>
        </is>
      </c>
      <c r="C950" t="n">
        <v>605</v>
      </c>
      <c r="D950" t="n">
        <v>1380</v>
      </c>
      <c r="E950" s="6" t="n">
        <v>4.1</v>
      </c>
      <c r="F950" s="7" t="n">
        <v>10.4</v>
      </c>
      <c r="G950" t="n">
        <v>1511</v>
      </c>
      <c r="H950" t="n">
        <v>1380</v>
      </c>
      <c r="I950" t="n">
        <v>1260</v>
      </c>
      <c r="J950" t="n">
        <v>950</v>
      </c>
      <c r="K950" s="27">
        <f>(H950/D950-1)</f>
        <v/>
      </c>
      <c r="L950" s="27">
        <f>(I950/D950-1)</f>
        <v/>
      </c>
      <c r="M950" s="27">
        <f>(J950/D950-1)</f>
        <v/>
      </c>
      <c r="N950" t="n">
        <v>41.4</v>
      </c>
      <c r="O950" s="28">
        <f>(N950+F950)/2</f>
        <v/>
      </c>
      <c r="P950">
        <f>IF(O950="計算不能","計算不能",IF(O950&gt;=80,5,IF(O950&gt;=60,4,IF(O950&gt;=40,3,IF(O950&gt;=28,2,1)))))</f>
        <v/>
      </c>
      <c r="Q950" t="n">
        <v>137</v>
      </c>
      <c r="R950" t="n">
        <v>0</v>
      </c>
      <c r="S950" s="27">
        <f>R950/Q950</f>
        <v/>
      </c>
      <c r="T950" t="inlineStr">
        <is>
          <t>白川村は2045年までに人口が約31.2%減と急激な過疎・超高齢化が進行。若年労働世代の流出と自然減が重なり、賃貸事業としての持続性は極めて限定的。</t>
        </is>
      </c>
      <c r="U950" t="inlineStr">
        <is>
          <t>白川村は人口密度4人/km²と過疎的水準で、民間賃貸の新規需要は薄い。実需に裏付けられた格安戸建ての指値取得のみが現実的。 借家の空室率は約0%と需給は比較的引き締まっている。</t>
        </is>
      </c>
      <c r="V950" t="inlineStr">
        <is>
          <t>白川村（岐阜県）：木曽三川（木曽・長良・揖斐）の氾濫と輪中地帯、飛騨の豪雪・土砂災害に留意。</t>
        </is>
      </c>
    </row>
    <row r="951">
      <c r="A951" t="inlineStr">
        <is>
          <t>静岡県</t>
        </is>
      </c>
      <c r="B951" t="inlineStr">
        <is>
          <t>静岡市</t>
        </is>
      </c>
      <c r="C951" t="n">
        <v>294800</v>
      </c>
      <c r="D951" t="n">
        <v>673766</v>
      </c>
      <c r="E951" s="6" t="n">
        <v>467.2</v>
      </c>
      <c r="F951" s="7" t="n">
        <v>43.4</v>
      </c>
      <c r="G951" t="n">
        <v>693389</v>
      </c>
      <c r="H951" t="n">
        <v>673766</v>
      </c>
      <c r="I951" t="n">
        <v>649978</v>
      </c>
      <c r="J951" t="n">
        <v>572318</v>
      </c>
      <c r="K951" s="27">
        <f>(H951/D951-1)</f>
        <v/>
      </c>
      <c r="L951" s="27">
        <f>(I951/D951-1)</f>
        <v/>
      </c>
      <c r="M951" s="27">
        <f>(J951/D951-1)</f>
        <v/>
      </c>
      <c r="N951" t="n">
        <v>59.6</v>
      </c>
      <c r="O951" s="28">
        <f>(N951+F951)/2</f>
        <v/>
      </c>
      <c r="P951">
        <f>IF(O951="計算不能","計算不能",IF(O951&gt;=80,5,IF(O951&gt;=60,4,IF(O951&gt;=40,3,IF(O951&gt;=28,2,1)))))</f>
        <v/>
      </c>
      <c r="Q951" t="n">
        <v>99000</v>
      </c>
      <c r="R951" t="n">
        <v>32900</v>
      </c>
      <c r="S951" s="27">
        <f>R951/Q951</f>
        <v/>
      </c>
      <c r="T951" t="inlineStr">
        <is>
          <t>静岡市は2045年までに人口が約15.1%減と明確な減少トレンド。高齢化の進行と世帯数の縮小により、中長期では賃貸需要の構造的縮小に警戒が必要。</t>
        </is>
      </c>
      <c r="U951" t="inlineStr">
        <is>
          <t>静岡市は人口密度467人/km²と低密度で、賃貸需要は限定的。持ち家比率が高く、駐車場完備の戸建て賃貸が有利。 借家の空室率は約33%と供給過多気味で、空室長期化リスクに要警戒。</t>
        </is>
      </c>
      <c r="V951" t="inlineStr">
        <is>
          <t>静岡市（静岡県）：南海トラフ地震の津波想定が広範。安倍川・大井川・天竜川の氾濫、富士山火山に最大級の留意。</t>
        </is>
      </c>
    </row>
    <row r="952">
      <c r="A952" t="inlineStr">
        <is>
          <t>静岡県</t>
        </is>
      </c>
      <c r="B952" t="inlineStr">
        <is>
          <t>浜松市</t>
        </is>
      </c>
      <c r="C952" t="n">
        <v>324800</v>
      </c>
      <c r="D952" t="n">
        <v>772254</v>
      </c>
      <c r="E952" s="6" t="n">
        <v>491.5</v>
      </c>
      <c r="F952" s="7" t="n">
        <v>44.6</v>
      </c>
      <c r="G952" t="n">
        <v>790718</v>
      </c>
      <c r="H952" t="n">
        <v>772254</v>
      </c>
      <c r="I952" t="n">
        <v>752174</v>
      </c>
      <c r="J952" t="n">
        <v>683036</v>
      </c>
      <c r="K952" s="27">
        <f>(H952/D952-1)</f>
        <v/>
      </c>
      <c r="L952" s="27">
        <f>(I952/D952-1)</f>
        <v/>
      </c>
      <c r="M952" s="27">
        <f>(J952/D952-1)</f>
        <v/>
      </c>
      <c r="N952" t="n">
        <v>62.9</v>
      </c>
      <c r="O952" s="28">
        <f>(N952+F952)/2</f>
        <v/>
      </c>
      <c r="P952">
        <f>IF(O952="計算不能","計算不能",IF(O952&gt;=80,5,IF(O952&gt;=60,4,IF(O952&gt;=40,3,IF(O952&gt;=28,2,1)))))</f>
        <v/>
      </c>
      <c r="Q952" t="n">
        <v>94395</v>
      </c>
      <c r="R952" t="n">
        <v>26100</v>
      </c>
      <c r="S952" s="27">
        <f>R952/Q952</f>
        <v/>
      </c>
      <c r="T952" t="inlineStr">
        <is>
          <t>浜松市は2045年までに人口が約11.6%減と緩やかな減少局面。若年層の都市部流出と高齢化が進むが、当面の賃貸稼働は一定程度維持される見通し。</t>
        </is>
      </c>
      <c r="U952" t="inlineStr">
        <is>
          <t>浜松市は人口密度492人/km²と低密度で、賃貸需要は限定的。持ち家比率が高く、駐車場完備の戸建て賃貸が有利。 借家の空室率は約28%と供給過多気味で、空室長期化リスクに要警戒。</t>
        </is>
      </c>
      <c r="V952" t="inlineStr">
        <is>
          <t>浜松市（静岡県）：南海トラフ地震の津波想定が広範。安倍川・大井川・天竜川の氾濫、富士山火山に最大級の留意。</t>
        </is>
      </c>
    </row>
    <row r="953">
      <c r="A953" t="inlineStr">
        <is>
          <t>静岡県</t>
        </is>
      </c>
      <c r="B953" t="inlineStr">
        <is>
          <t>沼津市</t>
        </is>
      </c>
      <c r="C953" t="n">
        <v>83520</v>
      </c>
      <c r="D953" t="n">
        <v>180836</v>
      </c>
      <c r="E953" s="6" t="n">
        <v>960.4</v>
      </c>
      <c r="F953" s="7" t="n">
        <v>54.2</v>
      </c>
      <c r="G953" t="n">
        <v>189386</v>
      </c>
      <c r="H953" t="n">
        <v>180836</v>
      </c>
      <c r="I953" t="n">
        <v>171525</v>
      </c>
      <c r="J953" t="n">
        <v>141707</v>
      </c>
      <c r="K953" s="27">
        <f>(H953/D953-1)</f>
        <v/>
      </c>
      <c r="L953" s="27">
        <f>(I953/D953-1)</f>
        <v/>
      </c>
      <c r="M953" s="27">
        <f>(J953/D953-1)</f>
        <v/>
      </c>
      <c r="N953" t="n">
        <v>52.2</v>
      </c>
      <c r="O953" s="28">
        <f>(N953+F953)/2</f>
        <v/>
      </c>
      <c r="P953">
        <f>IF(O953="計算不能","計算不能",IF(O953&gt;=80,5,IF(O953&gt;=60,4,IF(O953&gt;=40,3,IF(O953&gt;=28,2,1)))))</f>
        <v/>
      </c>
      <c r="Q953" t="n">
        <v>24273</v>
      </c>
      <c r="R953" t="n">
        <v>10890</v>
      </c>
      <c r="S953" s="27">
        <f>R953/Q953</f>
        <v/>
      </c>
      <c r="T953" t="inlineStr">
        <is>
          <t>沼津市は2045年までに人口が約21.6%減と明確な減少トレンド。高齢化の進行と世帯数の縮小により、中長期では賃貸需要の構造的縮小に警戒が必要。</t>
        </is>
      </c>
      <c r="U953" t="inlineStr">
        <is>
          <t>沼津市は人口密度960人/km²で、主要道路沿いや中心市街地に一定の賃貸需要が局在。立地選別が稼働を左右する。 借家の空室率は約45%と供給過多気味で、空室長期化リスクに要警戒。</t>
        </is>
      </c>
      <c r="V953" t="inlineStr">
        <is>
          <t>沼津市（静岡県）：南海トラフ地震の津波想定が広範。安倍川・大井川・天竜川の氾濫、富士山火山に最大級の留意。</t>
        </is>
      </c>
    </row>
    <row r="954">
      <c r="A954" t="inlineStr">
        <is>
          <t>静岡県</t>
        </is>
      </c>
      <c r="B954" t="inlineStr">
        <is>
          <t>熱海市</t>
        </is>
      </c>
      <c r="C954" t="n">
        <v>18330</v>
      </c>
      <c r="D954" t="n">
        <v>31835</v>
      </c>
      <c r="E954" s="6" t="n">
        <v>509.4</v>
      </c>
      <c r="F954" s="7" t="n">
        <v>45.2</v>
      </c>
      <c r="G954" t="n">
        <v>34208</v>
      </c>
      <c r="H954" t="n">
        <v>31835</v>
      </c>
      <c r="I954" t="n">
        <v>29427</v>
      </c>
      <c r="J954" t="n">
        <v>22462</v>
      </c>
      <c r="K954" s="27">
        <f>(H954/D954-1)</f>
        <v/>
      </c>
      <c r="L954" s="27">
        <f>(I954/D954-1)</f>
        <v/>
      </c>
      <c r="M954" s="27">
        <f>(J954/D954-1)</f>
        <v/>
      </c>
      <c r="N954" t="n">
        <v>43.7</v>
      </c>
      <c r="O954" s="28">
        <f>(N954+F954)/2</f>
        <v/>
      </c>
      <c r="P954">
        <f>IF(O954="計算不能","計算不能",IF(O954&gt;=80,5,IF(O954&gt;=60,4,IF(O954&gt;=40,3,IF(O954&gt;=28,2,1)))))</f>
        <v/>
      </c>
      <c r="Q954" t="n">
        <v>5327</v>
      </c>
      <c r="R954" t="n">
        <v>4710</v>
      </c>
      <c r="S954" s="27">
        <f>R954/Q954</f>
        <v/>
      </c>
      <c r="T954" t="inlineStr">
        <is>
          <t>熱海市は2045年までに人口が約29.4%減と明確な減少トレンド。高齢化の進行と世帯数の縮小により、中長期では賃貸需要の構造的縮小に警戒が必要。</t>
        </is>
      </c>
      <c r="U954" t="inlineStr">
        <is>
          <t>熱海市は人口密度509人/km²で、主要道路沿いや中心市街地に一定の賃貸需要が局在。立地選別が稼働を左右する。 借家の空室率は約88%と供給過多気味で、空室長期化リスクに要警戒。</t>
        </is>
      </c>
      <c r="V954" t="inlineStr">
        <is>
          <t>熱海市（静岡県）：南海トラフ地震の津波想定が広範。安倍川・大井川・天竜川の氾濫、富士山火山に最大級の留意。</t>
        </is>
      </c>
    </row>
    <row r="955">
      <c r="A955" t="inlineStr">
        <is>
          <t>静岡県</t>
        </is>
      </c>
      <c r="B955" t="inlineStr">
        <is>
          <t>三島市</t>
        </is>
      </c>
      <c r="C955" t="n">
        <v>45520</v>
      </c>
      <c r="D955" t="n">
        <v>103034</v>
      </c>
      <c r="E955" s="6" t="n">
        <v>1662.1</v>
      </c>
      <c r="F955" s="7" t="n">
        <v>66.59999999999999</v>
      </c>
      <c r="G955" t="n">
        <v>107783</v>
      </c>
      <c r="H955" t="n">
        <v>103034</v>
      </c>
      <c r="I955" t="n">
        <v>99085</v>
      </c>
      <c r="J955" t="n">
        <v>86876</v>
      </c>
      <c r="K955" s="27">
        <f>(H955/D955-1)</f>
        <v/>
      </c>
      <c r="L955" s="27">
        <f>(I955/D955-1)</f>
        <v/>
      </c>
      <c r="M955" s="27">
        <f>(J955/D955-1)</f>
        <v/>
      </c>
      <c r="N955" t="n">
        <v>56.1</v>
      </c>
      <c r="O955" s="28">
        <f>(N955+F955)/2</f>
        <v/>
      </c>
      <c r="P955">
        <f>IF(O955="計算不能","計算不能",IF(O955&gt;=80,5,IF(O955&gt;=60,4,IF(O955&gt;=40,3,IF(O955&gt;=28,2,1)))))</f>
        <v/>
      </c>
      <c r="Q955" t="n">
        <v>13229</v>
      </c>
      <c r="R955" t="n">
        <v>4350</v>
      </c>
      <c r="S955" s="27">
        <f>R955/Q955</f>
        <v/>
      </c>
      <c r="T955" t="inlineStr">
        <is>
          <t>三島市は2045年までに人口が約15.7%減と明確な減少トレンド。高齢化の進行と世帯数の縮小により、中長期では賃貸需要の構造的縮小に警戒が必要。</t>
        </is>
      </c>
      <c r="U955" t="inlineStr">
        <is>
          <t>三島市は人口密度1,662人/km²の都市部で、駅周辺や生活利便施設沿いに安定した賃貸需要がある。適切な家賃設定で高稼働を期待できる。 借家の空室率は約33%と供給過多気味で、空室長期化リスクに要警戒。</t>
        </is>
      </c>
      <c r="V955" t="inlineStr">
        <is>
          <t>三島市（静岡県）：南海トラフ地震の津波想定が広範。安倍川・大井川・天竜川の氾濫、富士山火山に最大級の留意。</t>
        </is>
      </c>
    </row>
    <row r="956">
      <c r="A956" t="inlineStr">
        <is>
          <t>静岡県</t>
        </is>
      </c>
      <c r="B956" t="inlineStr">
        <is>
          <t>富士宮市</t>
        </is>
      </c>
      <c r="C956" t="n">
        <v>51270</v>
      </c>
      <c r="D956" t="n">
        <v>122437</v>
      </c>
      <c r="E956" s="6" t="n">
        <v>306.3</v>
      </c>
      <c r="F956" s="7" t="n">
        <v>35.3</v>
      </c>
      <c r="G956" t="n">
        <v>128105</v>
      </c>
      <c r="H956" t="n">
        <v>122437</v>
      </c>
      <c r="I956" t="n">
        <v>117721</v>
      </c>
      <c r="J956" t="n">
        <v>101981</v>
      </c>
      <c r="K956" s="27">
        <f>(H956/D956-1)</f>
        <v/>
      </c>
      <c r="L956" s="27">
        <f>(I956/D956-1)</f>
        <v/>
      </c>
      <c r="M956" s="27">
        <f>(J956/D956-1)</f>
        <v/>
      </c>
      <c r="N956" t="n">
        <v>55.6</v>
      </c>
      <c r="O956" s="28">
        <f>(N956+F956)/2</f>
        <v/>
      </c>
      <c r="P956">
        <f>IF(O956="計算不能","計算不能",IF(O956&gt;=80,5,IF(O956&gt;=60,4,IF(O956&gt;=40,3,IF(O956&gt;=28,2,1)))))</f>
        <v/>
      </c>
      <c r="Q956" t="n">
        <v>14900</v>
      </c>
      <c r="R956" t="n">
        <v>4030</v>
      </c>
      <c r="S956" s="27">
        <f>R956/Q956</f>
        <v/>
      </c>
      <c r="T956" t="inlineStr">
        <is>
          <t>富士宮市は2045年までに人口が約16.7%減と明確な減少トレンド。高齢化の進行と世帯数の縮小により、中長期では賃貸需要の構造的縮小に警戒が必要。</t>
        </is>
      </c>
      <c r="U956" t="inlineStr">
        <is>
          <t>富士宮市は人口密度306人/km²と低密度で、賃貸需要は限定的。持ち家比率が高く、駐車場完備の戸建て賃貸が有利。 借家の空室率は約27%と供給過多気味で、空室長期化リスクに要警戒。</t>
        </is>
      </c>
      <c r="V956" t="inlineStr">
        <is>
          <t>富士宮市（静岡県）：南海トラフ地震の津波想定が広範。安倍川・大井川・天竜川の氾濫、富士山火山に最大級の留意。</t>
        </is>
      </c>
    </row>
    <row r="957">
      <c r="A957" t="inlineStr">
        <is>
          <t>静岡県</t>
        </is>
      </c>
      <c r="B957" t="inlineStr">
        <is>
          <t>伊東市</t>
        </is>
      </c>
      <c r="C957" t="n">
        <v>31320</v>
      </c>
      <c r="D957" t="n">
        <v>62084</v>
      </c>
      <c r="E957" s="6" t="n">
        <v>493.4</v>
      </c>
      <c r="F957" s="7" t="n">
        <v>44.7</v>
      </c>
      <c r="G957" t="n">
        <v>65491</v>
      </c>
      <c r="H957" t="n">
        <v>62084</v>
      </c>
      <c r="I957" t="n">
        <v>58442</v>
      </c>
      <c r="J957" t="n">
        <v>47590</v>
      </c>
      <c r="K957" s="27">
        <f>(H957/D957-1)</f>
        <v/>
      </c>
      <c r="L957" s="27">
        <f>(I957/D957-1)</f>
        <v/>
      </c>
      <c r="M957" s="27">
        <f>(J957/D957-1)</f>
        <v/>
      </c>
      <c r="N957" t="n">
        <v>49.6</v>
      </c>
      <c r="O957" s="28">
        <f>(N957+F957)/2</f>
        <v/>
      </c>
      <c r="P957">
        <f>IF(O957="計算不能","計算不能",IF(O957&gt;=80,5,IF(O957&gt;=60,4,IF(O957&gt;=40,3,IF(O957&gt;=28,2,1)))))</f>
        <v/>
      </c>
      <c r="Q957" t="n">
        <v>9102</v>
      </c>
      <c r="R957" t="n">
        <v>3750</v>
      </c>
      <c r="S957" s="27">
        <f>R957/Q957</f>
        <v/>
      </c>
      <c r="T957" t="inlineStr">
        <is>
          <t>伊東市は2045年までに人口が約23.3%減と明確な減少トレンド。高齢化の進行と世帯数の縮小により、中長期では賃貸需要の構造的縮小に警戒が必要。</t>
        </is>
      </c>
      <c r="U957" t="inlineStr">
        <is>
          <t>伊東市は人口密度493人/km²と低密度で、賃貸需要は限定的。持ち家比率が高く、駐車場完備の戸建て賃貸が有利。 借家の空室率は約41%と供給過多気味で、空室長期化リスクに要警戒。</t>
        </is>
      </c>
      <c r="V957" t="inlineStr">
        <is>
          <t>伊東市（静岡県）：南海トラフ地震の津波想定が広範。安倍川・大井川・天竜川の氾濫、富士山火山に最大級の留意。</t>
        </is>
      </c>
    </row>
    <row r="958">
      <c r="A958" t="inlineStr">
        <is>
          <t>静岡県</t>
        </is>
      </c>
      <c r="B958" t="inlineStr">
        <is>
          <t>島田市</t>
        </is>
      </c>
      <c r="C958" t="n">
        <v>35840</v>
      </c>
      <c r="D958" t="n">
        <v>92221</v>
      </c>
      <c r="E958" s="6" t="n">
        <v>289.1</v>
      </c>
      <c r="F958" s="7" t="n">
        <v>34.5</v>
      </c>
      <c r="G958" t="n">
        <v>95719</v>
      </c>
      <c r="H958" t="n">
        <v>92221</v>
      </c>
      <c r="I958" t="n">
        <v>88304</v>
      </c>
      <c r="J958" t="n">
        <v>75968</v>
      </c>
      <c r="K958" s="27">
        <f>(H958/D958-1)</f>
        <v/>
      </c>
      <c r="L958" s="27">
        <f>(I958/D958-1)</f>
        <v/>
      </c>
      <c r="M958" s="27">
        <f>(J958/D958-1)</f>
        <v/>
      </c>
      <c r="N958" t="n">
        <v>56.3</v>
      </c>
      <c r="O958" s="28">
        <f>(N958+F958)/2</f>
        <v/>
      </c>
      <c r="P958">
        <f>IF(O958="計算不能","計算不能",IF(O958&gt;=80,5,IF(O958&gt;=60,4,IF(O958&gt;=40,3,IF(O958&gt;=28,2,1)))))</f>
        <v/>
      </c>
      <c r="Q958" t="n">
        <v>10416</v>
      </c>
      <c r="R958" t="n">
        <v>1880</v>
      </c>
      <c r="S958" s="27">
        <f>R958/Q958</f>
        <v/>
      </c>
      <c r="T958" t="inlineStr">
        <is>
          <t>島田市は2045年までに人口が約17.6%減と明確な減少トレンド。高齢化の進行と世帯数の縮小により、中長期では賃貸需要の構造的縮小に警戒が必要。</t>
        </is>
      </c>
      <c r="U958" t="inlineStr">
        <is>
          <t>島田市は人口密度289人/km²と低密度で、賃貸需要は限定的。持ち家比率が高く、駐車場完備の戸建て賃貸が有利。 借家の空室率は約18%とやや高めで、競合との差別化が必要。</t>
        </is>
      </c>
      <c r="V958" t="inlineStr">
        <is>
          <t>島田市（静岡県）：南海トラフ地震の津波想定が広範。安倍川・大井川・天竜川の氾濫、富士山火山に最大級の留意。</t>
        </is>
      </c>
    </row>
    <row r="959">
      <c r="A959" t="inlineStr">
        <is>
          <t>静岡県</t>
        </is>
      </c>
      <c r="B959" t="inlineStr">
        <is>
          <t>富士市</t>
        </is>
      </c>
      <c r="C959" t="n">
        <v>98650</v>
      </c>
      <c r="D959" t="n">
        <v>238566</v>
      </c>
      <c r="E959" s="6" t="n">
        <v>970.8</v>
      </c>
      <c r="F959" s="7" t="n">
        <v>54.4</v>
      </c>
      <c r="G959" t="n">
        <v>245392</v>
      </c>
      <c r="H959" t="n">
        <v>238566</v>
      </c>
      <c r="I959" t="n">
        <v>230273</v>
      </c>
      <c r="J959" t="n">
        <v>201281</v>
      </c>
      <c r="K959" s="27">
        <f>(H959/D959-1)</f>
        <v/>
      </c>
      <c r="L959" s="27">
        <f>(I959/D959-1)</f>
        <v/>
      </c>
      <c r="M959" s="27">
        <f>(J959/D959-1)</f>
        <v/>
      </c>
      <c r="N959" t="n">
        <v>59.5</v>
      </c>
      <c r="O959" s="28">
        <f>(N959+F959)/2</f>
        <v/>
      </c>
      <c r="P959">
        <f>IF(O959="計算不能","計算不能",IF(O959&gt;=80,5,IF(O959&gt;=60,4,IF(O959&gt;=40,3,IF(O959&gt;=28,2,1)))))</f>
        <v/>
      </c>
      <c r="Q959" t="n">
        <v>28670</v>
      </c>
      <c r="R959" t="n">
        <v>9500</v>
      </c>
      <c r="S959" s="27">
        <f>R959/Q959</f>
        <v/>
      </c>
      <c r="T959" t="inlineStr">
        <is>
          <t>富士市は2045年までに人口が約15.6%減と明確な減少トレンド。高齢化の進行と世帯数の縮小により、中長期では賃貸需要の構造的縮小に警戒が必要。</t>
        </is>
      </c>
      <c r="U959" t="inlineStr">
        <is>
          <t>富士市は人口密度971人/km²で、主要道路沿いや中心市街地に一定の賃貸需要が局在。立地選別が稼働を左右する。 借家の空室率は約33%と供給過多気味で、空室長期化リスクに要警戒。</t>
        </is>
      </c>
      <c r="V959" t="inlineStr">
        <is>
          <t>富士市（静岡県）：南海トラフ地震の津波想定が広範。安倍川・大井川・天竜川の氾濫、富士山火山に最大級の留意。</t>
        </is>
      </c>
    </row>
    <row r="960">
      <c r="A960" t="inlineStr">
        <is>
          <t>静岡県</t>
        </is>
      </c>
      <c r="B960" t="inlineStr">
        <is>
          <t>磐田市</t>
        </is>
      </c>
      <c r="C960" t="n">
        <v>65170</v>
      </c>
      <c r="D960" t="n">
        <v>162834</v>
      </c>
      <c r="E960" s="6" t="n">
        <v>982.2</v>
      </c>
      <c r="F960" s="7" t="n">
        <v>54.6</v>
      </c>
      <c r="G960" t="n">
        <v>166672</v>
      </c>
      <c r="H960" t="n">
        <v>162834</v>
      </c>
      <c r="I960" t="n">
        <v>158107</v>
      </c>
      <c r="J960" t="n">
        <v>141538</v>
      </c>
      <c r="K960" s="27">
        <f>(H960/D960-1)</f>
        <v/>
      </c>
      <c r="L960" s="27">
        <f>(I960/D960-1)</f>
        <v/>
      </c>
      <c r="M960" s="27">
        <f>(J960/D960-1)</f>
        <v/>
      </c>
      <c r="N960" t="n">
        <v>62</v>
      </c>
      <c r="O960" s="28">
        <f>(N960+F960)/2</f>
        <v/>
      </c>
      <c r="P960">
        <f>IF(O960="計算不能","計算不能",IF(O960&gt;=80,5,IF(O960&gt;=60,4,IF(O960&gt;=40,3,IF(O960&gt;=28,2,1)))))</f>
        <v/>
      </c>
      <c r="Q960" t="n">
        <v>18940</v>
      </c>
      <c r="R960" t="n">
        <v>4470</v>
      </c>
      <c r="S960" s="27">
        <f>R960/Q960</f>
        <v/>
      </c>
      <c r="T960" t="inlineStr">
        <is>
          <t>磐田市は2045年までに人口が約13.1%減と緩やかな減少局面。若年層の都市部流出と高齢化が進むが、当面の賃貸稼働は一定程度維持される見通し。</t>
        </is>
      </c>
      <c r="U960" t="inlineStr">
        <is>
          <t>磐田市は人口密度982人/km²で、主要道路沿いや中心市街地に一定の賃貸需要が局在。立地選別が稼働を左右する。 借家の空室率は約24%とやや高めで、競合との差別化が必要。</t>
        </is>
      </c>
      <c r="V960" t="inlineStr">
        <is>
          <t>磐田市（静岡県）：南海トラフ地震の津波想定が広範。安倍川・大井川・天竜川の氾濫、富士山火山に最大級の留意。</t>
        </is>
      </c>
    </row>
    <row r="961">
      <c r="A961" t="inlineStr">
        <is>
          <t>静岡県</t>
        </is>
      </c>
      <c r="B961" t="inlineStr">
        <is>
          <t>焼津市</t>
        </is>
      </c>
      <c r="C961" t="n">
        <v>52990</v>
      </c>
      <c r="D961" t="n">
        <v>132470</v>
      </c>
      <c r="E961" s="6" t="n">
        <v>1862.5</v>
      </c>
      <c r="F961" s="7" t="n">
        <v>68.59999999999999</v>
      </c>
      <c r="G961" t="n">
        <v>136845</v>
      </c>
      <c r="H961" t="n">
        <v>132470</v>
      </c>
      <c r="I961" t="n">
        <v>127326</v>
      </c>
      <c r="J961" t="n">
        <v>109985</v>
      </c>
      <c r="K961" s="27">
        <f>(H961/D961-1)</f>
        <v/>
      </c>
      <c r="L961" s="27">
        <f>(I961/D961-1)</f>
        <v/>
      </c>
      <c r="M961" s="27">
        <f>(J961/D961-1)</f>
        <v/>
      </c>
      <c r="N961" t="n">
        <v>57.8</v>
      </c>
      <c r="O961" s="28">
        <f>(N961+F961)/2</f>
        <v/>
      </c>
      <c r="P961">
        <f>IF(O961="計算不能","計算不能",IF(O961&gt;=80,5,IF(O961&gt;=60,4,IF(O961&gt;=40,3,IF(O961&gt;=28,2,1)))))</f>
        <v/>
      </c>
      <c r="Q961" t="n">
        <v>15400</v>
      </c>
      <c r="R961" t="n">
        <v>4000</v>
      </c>
      <c r="S961" s="27">
        <f>R961/Q961</f>
        <v/>
      </c>
      <c r="T961" t="inlineStr">
        <is>
          <t>焼津市は2045年までに人口が約17.0%減と明確な減少トレンド。高齢化の進行と世帯数の縮小により、中長期では賃貸需要の構造的縮小に警戒が必要。</t>
        </is>
      </c>
      <c r="U961" t="inlineStr">
        <is>
          <t>焼津市は人口密度1,862人/km²の都市部で、駅周辺や生活利便施設沿いに安定した賃貸需要がある。適切な家賃設定で高稼働を期待できる。 借家の空室率は約26%と供給過多気味で、空室長期化リスクに要警戒。</t>
        </is>
      </c>
      <c r="V961" t="inlineStr">
        <is>
          <t>焼津市（静岡県）：南海トラフ地震の津波想定が広範。安倍川・大井川・天竜川の氾濫、富士山火山に最大級の留意。</t>
        </is>
      </c>
    </row>
    <row r="962">
      <c r="A962" t="inlineStr">
        <is>
          <t>静岡県</t>
        </is>
      </c>
      <c r="B962" t="inlineStr">
        <is>
          <t>掛川市</t>
        </is>
      </c>
      <c r="C962" t="n">
        <v>44470</v>
      </c>
      <c r="D962" t="n">
        <v>112454</v>
      </c>
      <c r="E962" s="6" t="n">
        <v>420.3</v>
      </c>
      <c r="F962" s="7" t="n">
        <v>41</v>
      </c>
      <c r="G962" t="n">
        <v>114954</v>
      </c>
      <c r="H962" t="n">
        <v>112454</v>
      </c>
      <c r="I962" t="n">
        <v>109431</v>
      </c>
      <c r="J962" t="n">
        <v>99019</v>
      </c>
      <c r="K962" s="27">
        <f>(H962/D962-1)</f>
        <v/>
      </c>
      <c r="L962" s="27">
        <f>(I962/D962-1)</f>
        <v/>
      </c>
      <c r="M962" s="27">
        <f>(J962/D962-1)</f>
        <v/>
      </c>
      <c r="N962" t="n">
        <v>63</v>
      </c>
      <c r="O962" s="28">
        <f>(N962+F962)/2</f>
        <v/>
      </c>
      <c r="P962">
        <f>IF(O962="計算不能","計算不能",IF(O962&gt;=80,5,IF(O962&gt;=60,4,IF(O962&gt;=40,3,IF(O962&gt;=28,2,1)))))</f>
        <v/>
      </c>
      <c r="Q962" t="n">
        <v>12924</v>
      </c>
      <c r="R962" t="n">
        <v>5400</v>
      </c>
      <c r="S962" s="27">
        <f>R962/Q962</f>
        <v/>
      </c>
      <c r="T962" t="inlineStr">
        <is>
          <t>掛川市は2045年までに人口が約11.9%減と緩やかな減少局面。若年層の都市部流出と高齢化が進むが、当面の賃貸稼働は一定程度維持される見通し。</t>
        </is>
      </c>
      <c r="U962" t="inlineStr">
        <is>
          <t>掛川市は人口密度420人/km²と低密度で、賃貸需要は限定的。持ち家比率が高く、駐車場完備の戸建て賃貸が有利。 借家の空室率は約42%と供給過多気味で、空室長期化リスクに要警戒。</t>
        </is>
      </c>
      <c r="V962" t="inlineStr">
        <is>
          <t>掛川市（静岡県）：南海トラフ地震の津波想定が広範。安倍川・大井川・天竜川の氾濫、富士山火山に最大級の留意。</t>
        </is>
      </c>
    </row>
    <row r="963">
      <c r="A963" t="inlineStr">
        <is>
          <t>静岡県</t>
        </is>
      </c>
      <c r="B963" t="inlineStr">
        <is>
          <t>藤枝市</t>
        </is>
      </c>
      <c r="C963" t="n">
        <v>54070</v>
      </c>
      <c r="D963" t="n">
        <v>136082</v>
      </c>
      <c r="E963" s="6" t="n">
        <v>693.2</v>
      </c>
      <c r="F963" s="7" t="n">
        <v>48.9</v>
      </c>
      <c r="G963" t="n">
        <v>141342</v>
      </c>
      <c r="H963" t="n">
        <v>136082</v>
      </c>
      <c r="I963" t="n">
        <v>131842</v>
      </c>
      <c r="J963" t="n">
        <v>117547</v>
      </c>
      <c r="K963" s="27">
        <f>(H963/D963-1)</f>
        <v/>
      </c>
      <c r="L963" s="27">
        <f>(I963/D963-1)</f>
        <v/>
      </c>
      <c r="M963" s="27">
        <f>(J963/D963-1)</f>
        <v/>
      </c>
      <c r="N963" t="n">
        <v>58.9</v>
      </c>
      <c r="O963" s="28">
        <f>(N963+F963)/2</f>
        <v/>
      </c>
      <c r="P963">
        <f>IF(O963="計算不能","計算不能",IF(O963&gt;=80,5,IF(O963&gt;=60,4,IF(O963&gt;=40,3,IF(O963&gt;=28,2,1)))))</f>
        <v/>
      </c>
      <c r="Q963" t="n">
        <v>15714</v>
      </c>
      <c r="R963" t="n">
        <v>2230</v>
      </c>
      <c r="S963" s="27">
        <f>R963/Q963</f>
        <v/>
      </c>
      <c r="T963" t="inlineStr">
        <is>
          <t>藤枝市は2045年までに人口が約13.6%減と緩やかな減少局面。若年層の都市部流出と高齢化が進むが、当面の賃貸稼働は一定程度維持される見通し。</t>
        </is>
      </c>
      <c r="U963" t="inlineStr">
        <is>
          <t>藤枝市は人口密度693人/km²で、主要道路沿いや中心市街地に一定の賃貸需要が局在。立地選別が稼働を左右する。 借家の空室率は約14%と需給は比較的引き締まっている。</t>
        </is>
      </c>
      <c r="V963" t="inlineStr">
        <is>
          <t>藤枝市（静岡県）：南海トラフ地震の津波想定が広範。安倍川・大井川・天竜川の氾濫、富士山火山に最大級の留意。</t>
        </is>
      </c>
    </row>
    <row r="964">
      <c r="A964" t="inlineStr">
        <is>
          <t>静岡県</t>
        </is>
      </c>
      <c r="B964" t="inlineStr">
        <is>
          <t>御殿場市</t>
        </is>
      </c>
      <c r="C964" t="n">
        <v>31670</v>
      </c>
      <c r="D964" t="n">
        <v>80991</v>
      </c>
      <c r="E964" s="6" t="n">
        <v>416.3</v>
      </c>
      <c r="F964" s="7" t="n">
        <v>40.8</v>
      </c>
      <c r="G964" t="n">
        <v>86614</v>
      </c>
      <c r="H964" t="n">
        <v>80991</v>
      </c>
      <c r="I964" t="n">
        <v>79217</v>
      </c>
      <c r="J964" t="n">
        <v>72863</v>
      </c>
      <c r="K964" s="27">
        <f>(H964/D964-1)</f>
        <v/>
      </c>
      <c r="L964" s="27">
        <f>(I964/D964-1)</f>
        <v/>
      </c>
      <c r="M964" s="27">
        <f>(J964/D964-1)</f>
        <v/>
      </c>
      <c r="N964" t="n">
        <v>55.9</v>
      </c>
      <c r="O964" s="28">
        <f>(N964+F964)/2</f>
        <v/>
      </c>
      <c r="P964">
        <f>IF(O964="計算不能","計算不能",IF(O964&gt;=80,5,IF(O964&gt;=60,4,IF(O964&gt;=40,3,IF(O964&gt;=28,2,1)))))</f>
        <v/>
      </c>
      <c r="Q964" t="n">
        <v>9204</v>
      </c>
      <c r="R964" t="n">
        <v>5060</v>
      </c>
      <c r="S964" s="27">
        <f>R964/Q964</f>
        <v/>
      </c>
      <c r="T964" t="inlineStr">
        <is>
          <t>御殿場市は2045年までに人口が約10.0%減と緩やかな減少局面。若年層の都市部流出と高齢化が進むが、当面の賃貸稼働は一定程度維持される見通し。</t>
        </is>
      </c>
      <c r="U964" t="inlineStr">
        <is>
          <t>御殿場市は人口密度416人/km²と低密度で、賃貸需要は限定的。持ち家比率が高く、駐車場完備の戸建て賃貸が有利。 借家の空室率は約55%と供給過多気味で、空室長期化リスクに要警戒。</t>
        </is>
      </c>
      <c r="V964" t="inlineStr">
        <is>
          <t>御殿場市（静岡県）：南海トラフ地震の津波想定が広範。安倍川・大井川・天竜川の氾濫、富士山火山に最大級の留意。</t>
        </is>
      </c>
    </row>
    <row r="965">
      <c r="A965" t="inlineStr">
        <is>
          <t>静岡県</t>
        </is>
      </c>
      <c r="B965" t="inlineStr">
        <is>
          <t>袋井市</t>
        </is>
      </c>
      <c r="C965" t="n">
        <v>34180</v>
      </c>
      <c r="D965" t="n">
        <v>87913</v>
      </c>
      <c r="E965" s="6" t="n">
        <v>799.4</v>
      </c>
      <c r="F965" s="7" t="n">
        <v>51</v>
      </c>
      <c r="G965" t="n">
        <v>87864</v>
      </c>
      <c r="H965" t="n">
        <v>87913</v>
      </c>
      <c r="I965" t="n">
        <v>87277</v>
      </c>
      <c r="J965" t="n">
        <v>82814</v>
      </c>
      <c r="K965" s="27">
        <f>(H965/D965-1)</f>
        <v/>
      </c>
      <c r="L965" s="27">
        <f>(I965/D965-1)</f>
        <v/>
      </c>
      <c r="M965" s="27">
        <f>(J965/D965-1)</f>
        <v/>
      </c>
      <c r="N965" t="n">
        <v>71.7</v>
      </c>
      <c r="O965" s="28">
        <f>(N965+F965)/2</f>
        <v/>
      </c>
      <c r="P965">
        <f>IF(O965="計算不能","計算不能",IF(O965&gt;=80,5,IF(O965&gt;=60,4,IF(O965&gt;=40,3,IF(O965&gt;=28,2,1)))))</f>
        <v/>
      </c>
      <c r="Q965" t="n">
        <v>9933</v>
      </c>
      <c r="R965" t="n">
        <v>3410</v>
      </c>
      <c r="S965" s="27">
        <f>R965/Q965</f>
        <v/>
      </c>
      <c r="T965" t="inlineStr">
        <is>
          <t>袋井市は2045年までに人口が約5.8%減と緩やかな減少局面。若年層の都市部流出と高齢化が進むが、当面の賃貸稼働は一定程度維持される見通し。</t>
        </is>
      </c>
      <c r="U965" t="inlineStr">
        <is>
          <t>袋井市は人口密度799人/km²で、主要道路沿いや中心市街地に一定の賃貸需要が局在。立地選別が稼働を左右する。 借家の空室率は約34%と供給過多気味で、空室長期化リスクに要警戒。</t>
        </is>
      </c>
      <c r="V965" t="inlineStr">
        <is>
          <t>袋井市（静岡県）：南海トラフ地震の津波想定が広範。安倍川・大井川・天竜川の氾濫、富士山火山に最大級の留意。</t>
        </is>
      </c>
    </row>
    <row r="966">
      <c r="A966" t="inlineStr">
        <is>
          <t>静岡県</t>
        </is>
      </c>
      <c r="B966" t="inlineStr">
        <is>
          <t>下田市</t>
        </is>
      </c>
      <c r="C966" t="n">
        <v>9100</v>
      </c>
      <c r="D966" t="n">
        <v>18369</v>
      </c>
      <c r="E966" s="6" t="n">
        <v>171.7</v>
      </c>
      <c r="F966" s="7" t="n">
        <v>27.2</v>
      </c>
      <c r="G966" t="n">
        <v>20183</v>
      </c>
      <c r="H966" t="n">
        <v>18369</v>
      </c>
      <c r="I966" t="n">
        <v>16611</v>
      </c>
      <c r="J966" t="n">
        <v>11904</v>
      </c>
      <c r="K966" s="27">
        <f>(H966/D966-1)</f>
        <v/>
      </c>
      <c r="L966" s="27">
        <f>(I966/D966-1)</f>
        <v/>
      </c>
      <c r="M966" s="27">
        <f>(J966/D966-1)</f>
        <v/>
      </c>
      <c r="N966" t="n">
        <v>40</v>
      </c>
      <c r="O966" s="28">
        <f>(N966+F966)/2</f>
        <v/>
      </c>
      <c r="P966">
        <f>IF(O966="計算不能","計算不能",IF(O966&gt;=80,5,IF(O966&gt;=60,4,IF(O966&gt;=40,3,IF(O966&gt;=28,2,1)))))</f>
        <v/>
      </c>
      <c r="Q966" t="n">
        <v>2644</v>
      </c>
      <c r="R966" t="n">
        <v>1230</v>
      </c>
      <c r="S966" s="27">
        <f>R966/Q966</f>
        <v/>
      </c>
      <c r="T966" t="inlineStr">
        <is>
          <t>下田市は2045年までに人口が約35.2%減と急激な過疎・超高齢化が進行。若年労働世代の流出と自然減が重なり、賃貸事業としての持続性は極めて限定的。</t>
        </is>
      </c>
      <c r="U966" t="inlineStr">
        <is>
          <t>下田市は人口密度172人/km²と過疎的水準で、民間賃貸の新規需要は薄い。実需に裏付けられた格安戸建ての指値取得のみが現実的。 借家の空室率は約47%と供給過多気味で、空室長期化リスクに要警戒。</t>
        </is>
      </c>
      <c r="V966" t="inlineStr">
        <is>
          <t>下田市（静岡県）：南海トラフ地震の津波想定が広範。安倍川・大井川・天竜川の氾濫、富士山火山に最大級の留意。</t>
        </is>
      </c>
    </row>
    <row r="967">
      <c r="A967" t="inlineStr">
        <is>
          <t>静岡県</t>
        </is>
      </c>
      <c r="B967" t="inlineStr">
        <is>
          <t>裾野市</t>
        </is>
      </c>
      <c r="C967" t="n">
        <v>18990</v>
      </c>
      <c r="D967" t="n">
        <v>47611</v>
      </c>
      <c r="E967" s="6" t="n">
        <v>342.8</v>
      </c>
      <c r="F967" s="7" t="n">
        <v>37.1</v>
      </c>
      <c r="G967" t="n">
        <v>50911</v>
      </c>
      <c r="H967" t="n">
        <v>47611</v>
      </c>
      <c r="I967" t="n">
        <v>45789</v>
      </c>
      <c r="J967" t="n">
        <v>40098</v>
      </c>
      <c r="K967" s="27">
        <f>(H967/D967-1)</f>
        <v/>
      </c>
      <c r="L967" s="27">
        <f>(I967/D967-1)</f>
        <v/>
      </c>
      <c r="M967" s="27">
        <f>(J967/D967-1)</f>
        <v/>
      </c>
      <c r="N967" t="n">
        <v>52.2</v>
      </c>
      <c r="O967" s="28">
        <f>(N967+F967)/2</f>
        <v/>
      </c>
      <c r="P967">
        <f>IF(O967="計算不能","計算不能",IF(O967&gt;=80,5,IF(O967&gt;=60,4,IF(O967&gt;=40,3,IF(O967&gt;=28,2,1)))))</f>
        <v/>
      </c>
      <c r="Q967" t="n">
        <v>5519</v>
      </c>
      <c r="R967" t="n">
        <v>1990</v>
      </c>
      <c r="S967" s="27">
        <f>R967/Q967</f>
        <v/>
      </c>
      <c r="T967" t="inlineStr">
        <is>
          <t>裾野市は2045年までに人口が約15.8%減と明確な減少トレンド。高齢化の進行と世帯数の縮小により、中長期では賃貸需要の構造的縮小に警戒が必要。</t>
        </is>
      </c>
      <c r="U967" t="inlineStr">
        <is>
          <t>裾野市は人口密度343人/km²と低密度で、賃貸需要は限定的。持ち家比率が高く、駐車場完備の戸建て賃貸が有利。 借家の空室率は約36%と供給過多気味で、空室長期化リスクに要警戒。</t>
        </is>
      </c>
      <c r="V967" t="inlineStr">
        <is>
          <t>裾野市（静岡県）：南海トラフ地震の津波想定が広範。安倍川・大井川・天竜川の氾濫、富士山火山に最大級の留意。</t>
        </is>
      </c>
    </row>
    <row r="968">
      <c r="A968" t="inlineStr">
        <is>
          <t>静岡県</t>
        </is>
      </c>
      <c r="B968" t="inlineStr">
        <is>
          <t>湖西市</t>
        </is>
      </c>
      <c r="C968" t="n">
        <v>23100</v>
      </c>
      <c r="D968" t="n">
        <v>55965</v>
      </c>
      <c r="E968" s="6" t="n">
        <v>637.8</v>
      </c>
      <c r="F968" s="7" t="n">
        <v>47.8</v>
      </c>
      <c r="G968" t="n">
        <v>57885</v>
      </c>
      <c r="H968" t="n">
        <v>55965</v>
      </c>
      <c r="I968" t="n">
        <v>53584</v>
      </c>
      <c r="J968" t="n">
        <v>45708</v>
      </c>
      <c r="K968" s="27">
        <f>(H968/D968-1)</f>
        <v/>
      </c>
      <c r="L968" s="27">
        <f>(I968/D968-1)</f>
        <v/>
      </c>
      <c r="M968" s="27">
        <f>(J968/D968-1)</f>
        <v/>
      </c>
      <c r="N968" t="n">
        <v>56.6</v>
      </c>
      <c r="O968" s="28">
        <f>(N968+F968)/2</f>
        <v/>
      </c>
      <c r="P968">
        <f>IF(O968="計算不能","計算不能",IF(O968&gt;=80,5,IF(O968&gt;=60,4,IF(O968&gt;=40,3,IF(O968&gt;=28,2,1)))))</f>
        <v/>
      </c>
      <c r="Q968" t="n">
        <v>6713</v>
      </c>
      <c r="R968" t="n">
        <v>2250</v>
      </c>
      <c r="S968" s="27">
        <f>R968/Q968</f>
        <v/>
      </c>
      <c r="T968" t="inlineStr">
        <is>
          <t>湖西市は2045年までに人口が約18.3%減と明確な減少トレンド。高齢化の進行と世帯数の縮小により、中長期では賃貸需要の構造的縮小に警戒が必要。</t>
        </is>
      </c>
      <c r="U968" t="inlineStr">
        <is>
          <t>湖西市は人口密度638人/km²で、主要道路沿いや中心市街地に一定の賃貸需要が局在。立地選別が稼働を左右する。 借家の空室率は約34%と供給過多気味で、空室長期化リスクに要警戒。</t>
        </is>
      </c>
      <c r="V968" t="inlineStr">
        <is>
          <t>湖西市（静岡県）：南海トラフ地震の津波想定が広範。安倍川・大井川・天竜川の氾濫、富士山火山に最大級の留意。</t>
        </is>
      </c>
    </row>
    <row r="969">
      <c r="A969" t="inlineStr">
        <is>
          <t>静岡県</t>
        </is>
      </c>
      <c r="B969" t="inlineStr">
        <is>
          <t>伊豆市</t>
        </is>
      </c>
      <c r="C969" t="n">
        <v>11540</v>
      </c>
      <c r="D969" t="n">
        <v>25584</v>
      </c>
      <c r="E969" s="6" t="n">
        <v>70.7</v>
      </c>
      <c r="F969" s="7" t="n">
        <v>17.1</v>
      </c>
      <c r="G969" t="n">
        <v>28190</v>
      </c>
      <c r="H969" t="n">
        <v>25584</v>
      </c>
      <c r="I969" t="n">
        <v>23035</v>
      </c>
      <c r="J969" t="n">
        <v>16057</v>
      </c>
      <c r="K969" s="27">
        <f>(H969/D969-1)</f>
        <v/>
      </c>
      <c r="L969" s="27">
        <f>(I969/D969-1)</f>
        <v/>
      </c>
      <c r="M969" s="27">
        <f>(J969/D969-1)</f>
        <v/>
      </c>
      <c r="N969" t="n">
        <v>39.1</v>
      </c>
      <c r="O969" s="28">
        <f>(N969+F969)/2</f>
        <v/>
      </c>
      <c r="P969">
        <f>IF(O969="計算不能","計算不能",IF(O969&gt;=80,5,IF(O969&gt;=60,4,IF(O969&gt;=40,3,IF(O969&gt;=28,2,1)))))</f>
        <v/>
      </c>
      <c r="Q969" t="n">
        <v>3353</v>
      </c>
      <c r="R969" t="n">
        <v>1530</v>
      </c>
      <c r="S969" s="27">
        <f>R969/Q969</f>
        <v/>
      </c>
      <c r="T969" t="inlineStr">
        <is>
          <t>伊豆市は2045年までに人口が約37.2%減と急激な過疎・超高齢化が進行。若年労働世代の流出と自然減が重なり、賃貸事業としての持続性は極めて限定的。</t>
        </is>
      </c>
      <c r="U969" t="inlineStr">
        <is>
          <t>伊豆市は人口密度71人/km²と過疎的水準で、民間賃貸の新規需要は薄い。実需に裏付けられた格安戸建ての指値取得のみが現実的。 借家の空室率は約46%と供給過多気味で、空室長期化リスクに要警戒。</t>
        </is>
      </c>
      <c r="V969" t="inlineStr">
        <is>
          <t>伊豆市（静岡県）：南海トラフ地震の津波想定が広範。安倍川・大井川・天竜川の氾濫、富士山火山に最大級の留意。</t>
        </is>
      </c>
    </row>
    <row r="970">
      <c r="A970" t="inlineStr">
        <is>
          <t>静岡県</t>
        </is>
      </c>
      <c r="B970" t="inlineStr">
        <is>
          <t>御前崎市</t>
        </is>
      </c>
      <c r="C970" t="n">
        <v>11440</v>
      </c>
      <c r="D970" t="n">
        <v>28616</v>
      </c>
      <c r="E970" s="6" t="n">
        <v>434.1</v>
      </c>
      <c r="F970" s="7" t="n">
        <v>41.7</v>
      </c>
      <c r="G970" t="n">
        <v>31103</v>
      </c>
      <c r="H970" t="n">
        <v>28616</v>
      </c>
      <c r="I970" t="n">
        <v>26937</v>
      </c>
      <c r="J970" t="n">
        <v>21564</v>
      </c>
      <c r="K970" s="27">
        <f>(H970/D970-1)</f>
        <v/>
      </c>
      <c r="L970" s="27">
        <f>(I970/D970-1)</f>
        <v/>
      </c>
      <c r="M970" s="27">
        <f>(J970/D970-1)</f>
        <v/>
      </c>
      <c r="N970" t="n">
        <v>44.4</v>
      </c>
      <c r="O970" s="28">
        <f>(N970+F970)/2</f>
        <v/>
      </c>
      <c r="P970">
        <f>IF(O970="計算不能","計算不能",IF(O970&gt;=80,5,IF(O970&gt;=60,4,IF(O970&gt;=40,3,IF(O970&gt;=28,2,1)))))</f>
        <v/>
      </c>
      <c r="Q970" t="n">
        <v>3324</v>
      </c>
      <c r="R970" t="n">
        <v>1990</v>
      </c>
      <c r="S970" s="27">
        <f>R970/Q970</f>
        <v/>
      </c>
      <c r="T970" t="inlineStr">
        <is>
          <t>御前崎市は2045年までに人口が約24.6%減と明確な減少トレンド。高齢化の進行と世帯数の縮小により、中長期では賃貸需要の構造的縮小に警戒が必要。</t>
        </is>
      </c>
      <c r="U970" t="inlineStr">
        <is>
          <t>御前崎市は人口密度434人/km²と低密度で、賃貸需要は限定的。持ち家比率が高く、駐車場完備の戸建て賃貸が有利。 借家の空室率は約60%と供給過多気味で、空室長期化リスクに要警戒。</t>
        </is>
      </c>
      <c r="V970" t="inlineStr">
        <is>
          <t>御前崎市（静岡県）：南海トラフ地震の津波想定が広範。安倍川・大井川・天竜川の氾濫、富士山火山に最大級の留意。</t>
        </is>
      </c>
    </row>
    <row r="971">
      <c r="A971" t="inlineStr">
        <is>
          <t>静岡県</t>
        </is>
      </c>
      <c r="B971" t="inlineStr">
        <is>
          <t>菊川市</t>
        </is>
      </c>
      <c r="C971" t="n">
        <v>17870</v>
      </c>
      <c r="D971" t="n">
        <v>47208</v>
      </c>
      <c r="E971" s="6" t="n">
        <v>483.4</v>
      </c>
      <c r="F971" s="7" t="n">
        <v>44.2</v>
      </c>
      <c r="G971" t="n">
        <v>47789</v>
      </c>
      <c r="H971" t="n">
        <v>47208</v>
      </c>
      <c r="I971" t="n">
        <v>46339</v>
      </c>
      <c r="J971" t="n">
        <v>42696</v>
      </c>
      <c r="K971" s="27">
        <f>(H971/D971-1)</f>
        <v/>
      </c>
      <c r="L971" s="27">
        <f>(I971/D971-1)</f>
        <v/>
      </c>
      <c r="M971" s="27">
        <f>(J971/D971-1)</f>
        <v/>
      </c>
      <c r="N971" t="n">
        <v>66.59999999999999</v>
      </c>
      <c r="O971" s="28">
        <f>(N971+F971)/2</f>
        <v/>
      </c>
      <c r="P971">
        <f>IF(O971="計算不能","計算不能",IF(O971&gt;=80,5,IF(O971&gt;=60,4,IF(O971&gt;=40,3,IF(O971&gt;=28,2,1)))))</f>
        <v/>
      </c>
      <c r="Q971" t="n">
        <v>5193</v>
      </c>
      <c r="R971" t="n">
        <v>1360</v>
      </c>
      <c r="S971" s="27">
        <f>R971/Q971</f>
        <v/>
      </c>
      <c r="T971" t="inlineStr">
        <is>
          <t>菊川市は2045年までに人口が約9.6%減と緩やかな減少局面。若年層の都市部流出と高齢化が進むが、当面の賃貸稼働は一定程度維持される見通し。</t>
        </is>
      </c>
      <c r="U971" t="inlineStr">
        <is>
          <t>菊川市は人口密度483人/km²と低密度で、賃貸需要は限定的。持ち家比率が高く、駐車場完備の戸建て賃貸が有利。 借家の空室率は約26%と供給過多気味で、空室長期化リスクに要警戒。</t>
        </is>
      </c>
      <c r="V971" t="inlineStr">
        <is>
          <t>菊川市（静岡県）：南海トラフ地震の津波想定が広範。安倍川・大井川・天竜川の氾濫、富士山火山に最大級の留意。</t>
        </is>
      </c>
    </row>
    <row r="972">
      <c r="A972" t="inlineStr">
        <is>
          <t>静岡県</t>
        </is>
      </c>
      <c r="B972" t="inlineStr">
        <is>
          <t>伊豆の国市</t>
        </is>
      </c>
      <c r="C972" t="n">
        <v>18390</v>
      </c>
      <c r="D972" t="n">
        <v>44449</v>
      </c>
      <c r="E972" s="6" t="n">
        <v>466.6</v>
      </c>
      <c r="F972" s="7" t="n">
        <v>43.3</v>
      </c>
      <c r="G972" t="n">
        <v>46804</v>
      </c>
      <c r="H972" t="n">
        <v>44449</v>
      </c>
      <c r="I972" t="n">
        <v>42372</v>
      </c>
      <c r="J972" t="n">
        <v>35780</v>
      </c>
      <c r="K972" s="27">
        <f>(H972/D972-1)</f>
        <v/>
      </c>
      <c r="L972" s="27">
        <f>(I972/D972-1)</f>
        <v/>
      </c>
      <c r="M972" s="27">
        <f>(J972/D972-1)</f>
        <v/>
      </c>
      <c r="N972" t="n">
        <v>52.6</v>
      </c>
      <c r="O972" s="28">
        <f>(N972+F972)/2</f>
        <v/>
      </c>
      <c r="P972">
        <f>IF(O972="計算不能","計算不能",IF(O972&gt;=80,5,IF(O972&gt;=60,4,IF(O972&gt;=40,3,IF(O972&gt;=28,2,1)))))</f>
        <v/>
      </c>
      <c r="Q972" t="n">
        <v>5344</v>
      </c>
      <c r="R972" t="n">
        <v>2450</v>
      </c>
      <c r="S972" s="27">
        <f>R972/Q972</f>
        <v/>
      </c>
      <c r="T972" t="inlineStr">
        <is>
          <t>伊豆の国市は2045年までに人口が約19.5%減と明確な減少トレンド。高齢化の進行と世帯数の縮小により、中長期では賃貸需要の構造的縮小に警戒が必要。</t>
        </is>
      </c>
      <c r="U972" t="inlineStr">
        <is>
          <t>伊豆の国市は人口密度467人/km²と低密度で、賃貸需要は限定的。持ち家比率が高く、駐車場完備の戸建て賃貸が有利。 借家の空室率は約46%と供給過多気味で、空室長期化リスクに要警戒。</t>
        </is>
      </c>
      <c r="V972" t="inlineStr">
        <is>
          <t>伊豆の国市（静岡県）：南海トラフ地震の津波想定が広範。安倍川・大井川・天竜川の氾濫、富士山火山に最大級の留意。</t>
        </is>
      </c>
    </row>
    <row r="973">
      <c r="A973" t="inlineStr">
        <is>
          <t>静岡県</t>
        </is>
      </c>
      <c r="B973" t="inlineStr">
        <is>
          <t>牧之原市</t>
        </is>
      </c>
      <c r="C973" t="n">
        <v>16450</v>
      </c>
      <c r="D973" t="n">
        <v>40982</v>
      </c>
      <c r="E973" s="6" t="n">
        <v>361.2</v>
      </c>
      <c r="F973" s="7" t="n">
        <v>38.1</v>
      </c>
      <c r="G973" t="n">
        <v>43502</v>
      </c>
      <c r="H973" t="n">
        <v>40982</v>
      </c>
      <c r="I973" t="n">
        <v>38371</v>
      </c>
      <c r="J973" t="n">
        <v>30575</v>
      </c>
      <c r="K973" s="27">
        <f>(H973/D973-1)</f>
        <v/>
      </c>
      <c r="L973" s="27">
        <f>(I973/D973-1)</f>
        <v/>
      </c>
      <c r="M973" s="27">
        <f>(J973/D973-1)</f>
        <v/>
      </c>
      <c r="N973" t="n">
        <v>47.3</v>
      </c>
      <c r="O973" s="28">
        <f>(N973+F973)/2</f>
        <v/>
      </c>
      <c r="P973">
        <f>IF(O973="計算不能","計算不能",IF(O973&gt;=80,5,IF(O973&gt;=60,4,IF(O973&gt;=40,3,IF(O973&gt;=28,2,1)))))</f>
        <v/>
      </c>
      <c r="Q973" t="n">
        <v>4780</v>
      </c>
      <c r="R973" t="n">
        <v>950</v>
      </c>
      <c r="S973" s="27">
        <f>R973/Q973</f>
        <v/>
      </c>
      <c r="T973" t="inlineStr">
        <is>
          <t>牧之原市は2045年までに人口が約25.4%減と明確な減少トレンド。高齢化の進行と世帯数の縮小により、中長期では賃貸需要の構造的縮小に警戒が必要。</t>
        </is>
      </c>
      <c r="U973" t="inlineStr">
        <is>
          <t>牧之原市は人口密度361人/km²と低密度で、賃貸需要は限定的。持ち家比率が高く、駐車場完備の戸建て賃貸が有利。 借家の空室率は約20%とやや高めで、競合との差別化が必要。</t>
        </is>
      </c>
      <c r="V973" t="inlineStr">
        <is>
          <t>牧之原市（静岡県）：南海トラフ地震の津波想定が広範。安倍川・大井川・天竜川の氾濫、富士山火山に最大級の留意。</t>
        </is>
      </c>
    </row>
    <row r="974">
      <c r="A974" t="inlineStr">
        <is>
          <t>静岡県</t>
        </is>
      </c>
      <c r="B974" t="inlineStr">
        <is>
          <t>東伊豆町</t>
        </is>
      </c>
      <c r="C974" t="n">
        <v>6321</v>
      </c>
      <c r="D974" t="n">
        <v>10365</v>
      </c>
      <c r="E974" s="6" t="n">
        <v>131.4</v>
      </c>
      <c r="F974" s="7" t="n">
        <v>23.1</v>
      </c>
      <c r="G974" t="n">
        <v>11488</v>
      </c>
      <c r="H974" t="n">
        <v>10365</v>
      </c>
      <c r="I974" t="n">
        <v>9302</v>
      </c>
      <c r="J974" t="n">
        <v>6378</v>
      </c>
      <c r="K974" s="27">
        <f>(H974/D974-1)</f>
        <v/>
      </c>
      <c r="L974" s="27">
        <f>(I974/D974-1)</f>
        <v/>
      </c>
      <c r="M974" s="27">
        <f>(J974/D974-1)</f>
        <v/>
      </c>
      <c r="N974" t="n">
        <v>38.3</v>
      </c>
      <c r="O974" s="28">
        <f>(N974+F974)/2</f>
        <v/>
      </c>
      <c r="P974">
        <f>IF(O974="計算不能","計算不能",IF(O974&gt;=80,5,IF(O974&gt;=60,4,IF(O974&gt;=40,3,IF(O974&gt;=28,2,1)))))</f>
        <v/>
      </c>
      <c r="Q974" t="n">
        <v>1837</v>
      </c>
      <c r="R974" t="n">
        <v>0</v>
      </c>
      <c r="S974" s="27">
        <f>R974/Q974</f>
        <v/>
      </c>
      <c r="T974" t="inlineStr">
        <is>
          <t>東伊豆町は2045年までに人口が約38.5%減と急激な過疎・超高齢化が進行。若年労働世代の流出と自然減が重なり、賃貸事業としての持続性は極めて限定的。</t>
        </is>
      </c>
      <c r="U974" t="inlineStr">
        <is>
          <t>東伊豆町は人口密度131人/km²と過疎的水準で、民間賃貸の新規需要は薄い。実需に裏付けられた格安戸建ての指値取得のみが現実的。 借家の空室率は約0%と需給は比較的引き締まっている。</t>
        </is>
      </c>
      <c r="V974" t="inlineStr">
        <is>
          <t>東伊豆町（静岡県）：南海トラフ地震の津波想定が広範。安倍川・大井川・天竜川の氾濫、富士山火山に最大級の留意。</t>
        </is>
      </c>
    </row>
    <row r="975">
      <c r="A975" t="inlineStr">
        <is>
          <t>静岡県</t>
        </is>
      </c>
      <c r="B975" t="inlineStr">
        <is>
          <t>河津町</t>
        </is>
      </c>
      <c r="C975" t="n">
        <v>3260</v>
      </c>
      <c r="D975" t="n">
        <v>6336</v>
      </c>
      <c r="E975" s="6" t="n">
        <v>61</v>
      </c>
      <c r="F975" s="7" t="n">
        <v>16.1</v>
      </c>
      <c r="G975" t="n">
        <v>6870</v>
      </c>
      <c r="H975" t="n">
        <v>6336</v>
      </c>
      <c r="I975" t="n">
        <v>5869</v>
      </c>
      <c r="J975" t="n">
        <v>4627</v>
      </c>
      <c r="K975" s="27">
        <f>(H975/D975-1)</f>
        <v/>
      </c>
      <c r="L975" s="27">
        <f>(I975/D975-1)</f>
        <v/>
      </c>
      <c r="M975" s="27">
        <f>(J975/D975-1)</f>
        <v/>
      </c>
      <c r="N975" t="n">
        <v>43.6</v>
      </c>
      <c r="O975" s="28">
        <f>(N975+F975)/2</f>
        <v/>
      </c>
      <c r="P975">
        <f>IF(O975="計算不能","計算不能",IF(O975&gt;=80,5,IF(O975&gt;=60,4,IF(O975&gt;=40,3,IF(O975&gt;=28,2,1)))))</f>
        <v/>
      </c>
      <c r="Q975" t="n">
        <v>947</v>
      </c>
      <c r="R975" t="n">
        <v>0</v>
      </c>
      <c r="S975" s="27">
        <f>R975/Q975</f>
        <v/>
      </c>
      <c r="T975" t="inlineStr">
        <is>
          <t>河津町は2045年までに人口が約27.0%減と明確な減少トレンド。高齢化の進行と世帯数の縮小により、中長期では賃貸需要の構造的縮小に警戒が必要。</t>
        </is>
      </c>
      <c r="U975" t="inlineStr">
        <is>
          <t>河津町は人口密度61人/km²と過疎的水準で、民間賃貸の新規需要は薄い。実需に裏付けられた格安戸建ての指値取得のみが現実的。 借家の空室率は約0%と需給は比較的引き締まっている。</t>
        </is>
      </c>
      <c r="V975" t="inlineStr">
        <is>
          <t>河津町（静岡県）：南海トラフ地震の津波想定が広範。安倍川・大井川・天竜川の氾濫、富士山火山に最大級の留意。</t>
        </is>
      </c>
    </row>
    <row r="976">
      <c r="A976" t="inlineStr">
        <is>
          <t>静岡県</t>
        </is>
      </c>
      <c r="B976" t="inlineStr">
        <is>
          <t>南伊豆町</t>
        </is>
      </c>
      <c r="C976" t="n">
        <v>3805</v>
      </c>
      <c r="D976" t="n">
        <v>7199</v>
      </c>
      <c r="E976" s="6" t="n">
        <v>63.7</v>
      </c>
      <c r="F976" s="7" t="n">
        <v>16.4</v>
      </c>
      <c r="G976" t="n">
        <v>7877</v>
      </c>
      <c r="H976" t="n">
        <v>7199</v>
      </c>
      <c r="I976" t="n">
        <v>6580</v>
      </c>
      <c r="J976" t="n">
        <v>4878</v>
      </c>
      <c r="K976" s="27">
        <f>(H976/D976-1)</f>
        <v/>
      </c>
      <c r="L976" s="27">
        <f>(I976/D976-1)</f>
        <v/>
      </c>
      <c r="M976" s="27">
        <f>(J976/D976-1)</f>
        <v/>
      </c>
      <c r="N976" t="n">
        <v>41.3</v>
      </c>
      <c r="O976" s="28">
        <f>(N976+F976)/2</f>
        <v/>
      </c>
      <c r="P976">
        <f>IF(O976="計算不能","計算不能",IF(O976&gt;=80,5,IF(O976&gt;=60,4,IF(O976&gt;=40,3,IF(O976&gt;=28,2,1)))))</f>
        <v/>
      </c>
      <c r="Q976" t="n">
        <v>1105</v>
      </c>
      <c r="R976" t="n">
        <v>0</v>
      </c>
      <c r="S976" s="27">
        <f>R976/Q976</f>
        <v/>
      </c>
      <c r="T976" t="inlineStr">
        <is>
          <t>南伊豆町は2045年までに人口が約32.2%減と急激な過疎・超高齢化が進行。若年労働世代の流出と自然減が重なり、賃貸事業としての持続性は極めて限定的。</t>
        </is>
      </c>
      <c r="U976" t="inlineStr">
        <is>
          <t>南伊豆町は人口密度64人/km²と過疎的水準で、民間賃貸の新規需要は薄い。実需に裏付けられた格安戸建ての指値取得のみが現実的。 借家の空室率は約0%と需給は比較的引き締まっている。</t>
        </is>
      </c>
      <c r="V976" t="inlineStr">
        <is>
          <t>南伊豆町（静岡県）：南海トラフ地震の津波想定が広範。安倍川・大井川・天竜川の氾濫、富士山火山に最大級の留意。</t>
        </is>
      </c>
    </row>
    <row r="977">
      <c r="A977" t="inlineStr">
        <is>
          <t>静岡県</t>
        </is>
      </c>
      <c r="B977" t="inlineStr">
        <is>
          <t>松崎町</t>
        </is>
      </c>
      <c r="C977" t="n">
        <v>2829</v>
      </c>
      <c r="D977" t="n">
        <v>5405</v>
      </c>
      <c r="E977" s="6" t="n">
        <v>61.5</v>
      </c>
      <c r="F977" s="7" t="n">
        <v>16.1</v>
      </c>
      <c r="G977" t="n">
        <v>6038</v>
      </c>
      <c r="H977" t="n">
        <v>5405</v>
      </c>
      <c r="I977" t="n">
        <v>4841</v>
      </c>
      <c r="J977" t="n">
        <v>3286</v>
      </c>
      <c r="K977" s="27">
        <f>(H977/D977-1)</f>
        <v/>
      </c>
      <c r="L977" s="27">
        <f>(I977/D977-1)</f>
        <v/>
      </c>
      <c r="M977" s="27">
        <f>(J977/D977-1)</f>
        <v/>
      </c>
      <c r="N977" t="n">
        <v>37.5</v>
      </c>
      <c r="O977" s="28">
        <f>(N977+F977)/2</f>
        <v/>
      </c>
      <c r="P977">
        <f>IF(O977="計算不能","計算不能",IF(O977&gt;=80,5,IF(O977&gt;=60,4,IF(O977&gt;=40,3,IF(O977&gt;=28,2,1)))))</f>
        <v/>
      </c>
      <c r="Q977" t="n">
        <v>822</v>
      </c>
      <c r="R977" t="n">
        <v>0</v>
      </c>
      <c r="S977" s="27">
        <f>R977/Q977</f>
        <v/>
      </c>
      <c r="T977" t="inlineStr">
        <is>
          <t>松崎町は2045年までに人口が約39.2%減と急激な過疎・超高齢化が進行。若年労働世代の流出と自然減が重なり、賃貸事業としての持続性は極めて限定的。</t>
        </is>
      </c>
      <c r="U977" t="inlineStr">
        <is>
          <t>松崎町は人口密度62人/km²と過疎的水準で、民間賃貸の新規需要は薄い。実需に裏付けられた格安戸建ての指値取得のみが現実的。 借家の空室率は約0%と需給は比較的引き締まっている。</t>
        </is>
      </c>
      <c r="V977" t="inlineStr">
        <is>
          <t>松崎町（静岡県）：南海トラフ地震の津波想定が広範。安倍川・大井川・天竜川の氾濫、富士山火山に最大級の留意。</t>
        </is>
      </c>
    </row>
    <row r="978">
      <c r="A978" t="inlineStr">
        <is>
          <t>静岡県</t>
        </is>
      </c>
      <c r="B978" t="inlineStr">
        <is>
          <t>西伊豆町</t>
        </is>
      </c>
      <c r="C978" t="n">
        <v>3532</v>
      </c>
      <c r="D978" t="n">
        <v>6206</v>
      </c>
      <c r="E978" s="6" t="n">
        <v>57.7</v>
      </c>
      <c r="F978" s="7" t="n">
        <v>15.8</v>
      </c>
      <c r="G978" t="n">
        <v>7090</v>
      </c>
      <c r="H978" t="n">
        <v>6206</v>
      </c>
      <c r="I978" t="n">
        <v>5403</v>
      </c>
      <c r="J978" t="n">
        <v>3392</v>
      </c>
      <c r="K978" s="27">
        <f>(H978/D978-1)</f>
        <v/>
      </c>
      <c r="L978" s="27">
        <f>(I978/D978-1)</f>
        <v/>
      </c>
      <c r="M978" s="27">
        <f>(J978/D978-1)</f>
        <v/>
      </c>
      <c r="N978" t="n">
        <v>33.6</v>
      </c>
      <c r="O978" s="28">
        <f>(N978+F978)/2</f>
        <v/>
      </c>
      <c r="P978">
        <f>IF(O978="計算不能","計算不能",IF(O978&gt;=80,5,IF(O978&gt;=60,4,IF(O978&gt;=40,3,IF(O978&gt;=28,2,1)))))</f>
        <v/>
      </c>
      <c r="Q978" t="n">
        <v>1026</v>
      </c>
      <c r="R978" t="n">
        <v>0</v>
      </c>
      <c r="S978" s="27">
        <f>R978/Q978</f>
        <v/>
      </c>
      <c r="T978" t="inlineStr">
        <is>
          <t>西伊豆町は2045年までに人口が約45.3%減と急激な過疎・超高齢化が進行。若年労働世代の流出と自然減が重なり、賃貸事業としての持続性は極めて限定的。</t>
        </is>
      </c>
      <c r="U978" t="inlineStr">
        <is>
          <t>西伊豆町は人口密度58人/km²と過疎的水準で、民間賃貸の新規需要は薄い。実需に裏付けられた格安戸建ての指値取得のみが現実的。 借家の空室率は約0%と需給は比較的引き締まっている。</t>
        </is>
      </c>
      <c r="V978" t="inlineStr">
        <is>
          <t>西伊豆町（静岡県）：南海トラフ地震の津波想定が広範。安倍川・大井川・天竜川の氾濫、富士山火山に最大級の留意。</t>
        </is>
      </c>
    </row>
    <row r="979">
      <c r="A979" t="inlineStr">
        <is>
          <t>静岡県</t>
        </is>
      </c>
      <c r="B979" t="inlineStr">
        <is>
          <t>函南町</t>
        </is>
      </c>
      <c r="C979" t="n">
        <v>15110</v>
      </c>
      <c r="D979" t="n">
        <v>35525</v>
      </c>
      <c r="E979" s="6" t="n">
        <v>533.6</v>
      </c>
      <c r="F979" s="7" t="n">
        <v>45.7</v>
      </c>
      <c r="G979" t="n">
        <v>36794</v>
      </c>
      <c r="H979" t="n">
        <v>35525</v>
      </c>
      <c r="I979" t="n">
        <v>34017</v>
      </c>
      <c r="J979" t="n">
        <v>28979</v>
      </c>
      <c r="K979" s="27">
        <f>(H979/D979-1)</f>
        <v/>
      </c>
      <c r="L979" s="27">
        <f>(I979/D979-1)</f>
        <v/>
      </c>
      <c r="M979" s="27">
        <f>(J979/D979-1)</f>
        <v/>
      </c>
      <c r="N979" t="n">
        <v>56.3</v>
      </c>
      <c r="O979" s="28">
        <f>(N979+F979)/2</f>
        <v/>
      </c>
      <c r="P979">
        <f>IF(O979="計算不能","計算不能",IF(O979&gt;=80,5,IF(O979&gt;=60,4,IF(O979&gt;=40,3,IF(O979&gt;=28,2,1)))))</f>
        <v/>
      </c>
      <c r="Q979" t="n">
        <v>4391</v>
      </c>
      <c r="R979" t="n">
        <v>960</v>
      </c>
      <c r="S979" s="27">
        <f>R979/Q979</f>
        <v/>
      </c>
      <c r="T979" t="inlineStr">
        <is>
          <t>函南町は2045年までに人口が約18.4%減と明確な減少トレンド。高齢化の進行と世帯数の縮小により、中長期では賃貸需要の構造的縮小に警戒が必要。</t>
        </is>
      </c>
      <c r="U979" t="inlineStr">
        <is>
          <t>函南町は人口密度534人/km²で、主要道路沿いや中心市街地に一定の賃貸需要が局在。立地選別が稼働を左右する。 借家の空室率は約22%とやや高めで、競合との差別化が必要。</t>
        </is>
      </c>
      <c r="V979" t="inlineStr">
        <is>
          <t>函南町（静岡県）：南海トラフ地震の津波想定が広範。安倍川・大井川・天竜川の氾濫、富士山火山に最大級の留意。</t>
        </is>
      </c>
    </row>
    <row r="980">
      <c r="A980" t="inlineStr">
        <is>
          <t>静岡県</t>
        </is>
      </c>
      <c r="B980" t="inlineStr">
        <is>
          <t>清水町</t>
        </is>
      </c>
      <c r="C980" t="n">
        <v>12210</v>
      </c>
      <c r="D980" t="n">
        <v>30810</v>
      </c>
      <c r="E980" s="6" t="n">
        <v>3529.4</v>
      </c>
      <c r="F980" s="7" t="n">
        <v>80</v>
      </c>
      <c r="G980" t="n">
        <v>31710</v>
      </c>
      <c r="H980" t="n">
        <v>30810</v>
      </c>
      <c r="I980" t="n">
        <v>29714</v>
      </c>
      <c r="J980" t="n">
        <v>25769</v>
      </c>
      <c r="K980" s="27">
        <f>(H980/D980-1)</f>
        <v/>
      </c>
      <c r="L980" s="27">
        <f>(I980/D980-1)</f>
        <v/>
      </c>
      <c r="M980" s="27">
        <f>(J980/D980-1)</f>
        <v/>
      </c>
      <c r="N980" t="n">
        <v>59</v>
      </c>
      <c r="O980" s="28">
        <f>(N980+F980)/2</f>
        <v/>
      </c>
      <c r="P980">
        <f>IF(O980="計算不能","計算不能",IF(O980&gt;=80,5,IF(O980&gt;=60,4,IF(O980&gt;=40,3,IF(O980&gt;=28,2,1)))))</f>
        <v/>
      </c>
      <c r="Q980" t="n">
        <v>3548</v>
      </c>
      <c r="R980" t="n">
        <v>930</v>
      </c>
      <c r="S980" s="27">
        <f>R980/Q980</f>
        <v/>
      </c>
      <c r="T980" t="inlineStr">
        <is>
          <t>清水町は2045年までに人口が約16.4%減と明確な減少トレンド。高齢化の進行と世帯数の縮小により、中長期では賃貸需要の構造的縮小に警戒が必要。</t>
        </is>
      </c>
      <c r="U980" t="inlineStr">
        <is>
          <t>清水町は人口密度3,529人/km²の都市部で、駅周辺や生活利便施設沿いに安定した賃貸需要がある。適切な家賃設定で高稼働を期待できる。 借家の空室率は約26%と供給過多気味で、空室長期化リスクに要警戒。</t>
        </is>
      </c>
      <c r="V980" t="inlineStr">
        <is>
          <t>清水町（静岡県）：南海トラフ地震の津波想定が広範。安倍川・大井川・天竜川の氾濫、富士山火山に最大級の留意。</t>
        </is>
      </c>
    </row>
    <row r="981">
      <c r="A981" t="inlineStr">
        <is>
          <t>静岡県</t>
        </is>
      </c>
      <c r="B981" t="inlineStr">
        <is>
          <t>長泉町</t>
        </is>
      </c>
      <c r="C981" t="n">
        <v>17600</v>
      </c>
      <c r="D981" t="n">
        <v>42779</v>
      </c>
      <c r="E981" s="6" t="n">
        <v>1624.4</v>
      </c>
      <c r="F981" s="7" t="n">
        <v>66.2</v>
      </c>
      <c r="G981" t="n">
        <v>43336</v>
      </c>
      <c r="H981" t="n">
        <v>42779</v>
      </c>
      <c r="I981" t="n">
        <v>42810</v>
      </c>
      <c r="J981" t="n">
        <v>41611</v>
      </c>
      <c r="K981" s="27">
        <f>(H981/D981-1)</f>
        <v/>
      </c>
      <c r="L981" s="27">
        <f>(I981/D981-1)</f>
        <v/>
      </c>
      <c r="M981" s="27">
        <f>(J981/D981-1)</f>
        <v/>
      </c>
      <c r="N981" t="n">
        <v>71.09999999999999</v>
      </c>
      <c r="O981" s="28">
        <f>(N981+F981)/2</f>
        <v/>
      </c>
      <c r="P981">
        <f>IF(O981="計算不能","計算不能",IF(O981&gt;=80,5,IF(O981&gt;=60,4,IF(O981&gt;=40,3,IF(O981&gt;=28,2,1)))))</f>
        <v/>
      </c>
      <c r="Q981" t="n">
        <v>5115</v>
      </c>
      <c r="R981" t="n">
        <v>2280</v>
      </c>
      <c r="S981" s="27">
        <f>R981/Q981</f>
        <v/>
      </c>
      <c r="T981" t="inlineStr">
        <is>
          <t>長泉町は2045年までの人口減少率が約2.7%と全国平均より緩やかで、概ね横ばいの安定推移。生産年齢人口の維持により、賃貸需要の急減リスクは相対的に低い。</t>
        </is>
      </c>
      <c r="U981" t="inlineStr">
        <is>
          <t>長泉町は人口密度1,624人/km²の都市部で、駅周辺や生活利便施設沿いに安定した賃貸需要がある。適切な家賃設定で高稼働を期待できる。 借家の空室率は約45%と供給過多気味で、空室長期化リスクに要警戒。</t>
        </is>
      </c>
      <c r="V981" t="inlineStr">
        <is>
          <t>長泉町（静岡県）：南海トラフ地震の津波想定が広範。安倍川・大井川・天竜川の氾濫、富士山火山に最大級の留意。</t>
        </is>
      </c>
    </row>
    <row r="982">
      <c r="A982" t="inlineStr">
        <is>
          <t>静岡県</t>
        </is>
      </c>
      <c r="B982" t="inlineStr">
        <is>
          <t>小山町</t>
        </is>
      </c>
      <c r="C982" t="n">
        <v>6080</v>
      </c>
      <c r="D982" t="n">
        <v>17492</v>
      </c>
      <c r="E982" s="6" t="n">
        <v>126.3</v>
      </c>
      <c r="F982" s="7" t="n">
        <v>22.6</v>
      </c>
      <c r="G982" t="n">
        <v>18568</v>
      </c>
      <c r="H982" t="n">
        <v>17492</v>
      </c>
      <c r="I982" t="n">
        <v>16448</v>
      </c>
      <c r="J982" t="n">
        <v>13383</v>
      </c>
      <c r="K982" s="27">
        <f>(H982/D982-1)</f>
        <v/>
      </c>
      <c r="L982" s="27">
        <f>(I982/D982-1)</f>
        <v/>
      </c>
      <c r="M982" s="27">
        <f>(J982/D982-1)</f>
        <v/>
      </c>
      <c r="N982" t="n">
        <v>48.4</v>
      </c>
      <c r="O982" s="28">
        <f>(N982+F982)/2</f>
        <v/>
      </c>
      <c r="P982">
        <f>IF(O982="計算不能","計算不能",IF(O982&gt;=80,5,IF(O982&gt;=60,4,IF(O982&gt;=40,3,IF(O982&gt;=28,2,1)))))</f>
        <v/>
      </c>
      <c r="Q982" t="n">
        <v>1767</v>
      </c>
      <c r="R982" t="n">
        <v>570</v>
      </c>
      <c r="S982" s="27">
        <f>R982/Q982</f>
        <v/>
      </c>
      <c r="T982" t="inlineStr">
        <is>
          <t>小山町は2045年までに人口が約23.5%減と明確な減少トレンド。高齢化の進行と世帯数の縮小により、中長期では賃貸需要の構造的縮小に警戒が必要。</t>
        </is>
      </c>
      <c r="U982" t="inlineStr">
        <is>
          <t>小山町は人口密度126人/km²と過疎的水準で、民間賃貸の新規需要は薄い。実需に裏付けられた格安戸建ての指値取得のみが現実的。 借家の空室率は約32%と供給過多気味で、空室長期化リスクに要警戒。</t>
        </is>
      </c>
      <c r="V982" t="inlineStr">
        <is>
          <t>小山町（静岡県）：南海トラフ地震の津波想定が広範。安倍川・大井川・天竜川の氾濫、富士山火山に最大級の留意。</t>
        </is>
      </c>
    </row>
    <row r="983">
      <c r="A983" t="inlineStr">
        <is>
          <t>静岡県</t>
        </is>
      </c>
      <c r="B983" t="inlineStr">
        <is>
          <t>吉田町</t>
        </is>
      </c>
      <c r="C983" t="n">
        <v>11410</v>
      </c>
      <c r="D983" t="n">
        <v>28460</v>
      </c>
      <c r="E983" s="6" t="n">
        <v>1338.8</v>
      </c>
      <c r="F983" s="7" t="n">
        <v>61.8</v>
      </c>
      <c r="G983" t="n">
        <v>28919</v>
      </c>
      <c r="H983" t="n">
        <v>28460</v>
      </c>
      <c r="I983" t="n">
        <v>27852</v>
      </c>
      <c r="J983" t="n">
        <v>25256</v>
      </c>
      <c r="K983" s="27">
        <f>(H983/D983-1)</f>
        <v/>
      </c>
      <c r="L983" s="27">
        <f>(I983/D983-1)</f>
        <v/>
      </c>
      <c r="M983" s="27">
        <f>(J983/D983-1)</f>
        <v/>
      </c>
      <c r="N983" t="n">
        <v>64.8</v>
      </c>
      <c r="O983" s="28">
        <f>(N983+F983)/2</f>
        <v/>
      </c>
      <c r="P983">
        <f>IF(O983="計算不能","計算不能",IF(O983&gt;=80,5,IF(O983&gt;=60,4,IF(O983&gt;=40,3,IF(O983&gt;=28,2,1)))))</f>
        <v/>
      </c>
      <c r="Q983" t="n">
        <v>3316</v>
      </c>
      <c r="R983" t="n">
        <v>1380</v>
      </c>
      <c r="S983" s="27">
        <f>R983/Q983</f>
        <v/>
      </c>
      <c r="T983" t="inlineStr">
        <is>
          <t>吉田町は2045年までに人口が約11.3%減と緩やかな減少局面。若年層の都市部流出と高齢化が進むが、当面の賃貸稼働は一定程度維持される見通し。</t>
        </is>
      </c>
      <c r="U983" t="inlineStr">
        <is>
          <t>吉田町は人口密度1,339人/km²で、主要道路沿いや中心市街地に一定の賃貸需要が局在。立地選別が稼働を左右する。 借家の空室率は約42%と供給過多気味で、空室長期化リスクに要警戒。</t>
        </is>
      </c>
      <c r="V983" t="inlineStr">
        <is>
          <t>吉田町（静岡県）：南海トラフ地震の津波想定が広範。安倍川・大井川・天竜川の氾濫、富士山火山に最大級の留意。</t>
        </is>
      </c>
    </row>
    <row r="984">
      <c r="A984" t="inlineStr">
        <is>
          <t>静岡県</t>
        </is>
      </c>
      <c r="B984" t="inlineStr">
        <is>
          <t>川根本町</t>
        </is>
      </c>
      <c r="C984" t="n">
        <v>2661</v>
      </c>
      <c r="D984" t="n">
        <v>5344</v>
      </c>
      <c r="E984" s="6" t="n">
        <v>10.7</v>
      </c>
      <c r="F984" s="7" t="n">
        <v>11.1</v>
      </c>
      <c r="G984" t="n">
        <v>6206</v>
      </c>
      <c r="H984" t="n">
        <v>5344</v>
      </c>
      <c r="I984" t="n">
        <v>4595</v>
      </c>
      <c r="J984" t="n">
        <v>2854</v>
      </c>
      <c r="K984" s="27">
        <f>(H984/D984-1)</f>
        <v/>
      </c>
      <c r="L984" s="27">
        <f>(I984/D984-1)</f>
        <v/>
      </c>
      <c r="M984" s="27">
        <f>(J984/D984-1)</f>
        <v/>
      </c>
      <c r="N984" t="n">
        <v>31.9</v>
      </c>
      <c r="O984" s="28">
        <f>(N984+F984)/2</f>
        <v/>
      </c>
      <c r="P984">
        <f>IF(O984="計算不能","計算不能",IF(O984&gt;=80,5,IF(O984&gt;=60,4,IF(O984&gt;=40,3,IF(O984&gt;=28,2,1)))))</f>
        <v/>
      </c>
      <c r="Q984" t="n">
        <v>773</v>
      </c>
      <c r="R984" t="n">
        <v>0</v>
      </c>
      <c r="S984" s="27">
        <f>R984/Q984</f>
        <v/>
      </c>
      <c r="T984" t="inlineStr">
        <is>
          <t>川根本町は2045年までに人口が約46.6%減と急激な過疎・超高齢化が進行。若年労働世代の流出と自然減が重なり、賃貸事業としての持続性は極めて限定的。</t>
        </is>
      </c>
      <c r="U984" t="inlineStr">
        <is>
          <t>川根本町は人口密度11人/km²と過疎的水準で、民間賃貸の新規需要は薄い。実需に裏付けられた格安戸建ての指値取得のみが現実的。 借家の空室率は約0%と需給は比較的引き締まっている。</t>
        </is>
      </c>
      <c r="V984" t="inlineStr">
        <is>
          <t>川根本町（静岡県）：南海トラフ地震の津波想定が広範。安倍川・大井川・天竜川の氾濫、富士山火山に最大級の留意。</t>
        </is>
      </c>
    </row>
    <row r="985">
      <c r="A985" t="inlineStr">
        <is>
          <t>静岡県</t>
        </is>
      </c>
      <c r="B985" t="inlineStr">
        <is>
          <t>森町</t>
        </is>
      </c>
      <c r="C985" t="n">
        <v>6080</v>
      </c>
      <c r="D985" t="n">
        <v>16027</v>
      </c>
      <c r="E985" s="6" t="n">
        <v>119.1</v>
      </c>
      <c r="F985" s="7" t="n">
        <v>21.9</v>
      </c>
      <c r="G985" t="n">
        <v>17457</v>
      </c>
      <c r="H985" t="n">
        <v>16027</v>
      </c>
      <c r="I985" t="n">
        <v>14908</v>
      </c>
      <c r="J985" t="n">
        <v>11671</v>
      </c>
      <c r="K985" s="27">
        <f>(H985/D985-1)</f>
        <v/>
      </c>
      <c r="L985" s="27">
        <f>(I985/D985-1)</f>
        <v/>
      </c>
      <c r="M985" s="27">
        <f>(J985/D985-1)</f>
        <v/>
      </c>
      <c r="N985" t="n">
        <v>43.3</v>
      </c>
      <c r="O985" s="28">
        <f>(N985+F985)/2</f>
        <v/>
      </c>
      <c r="P985">
        <f>IF(O985="計算不能","計算不能",IF(O985&gt;=80,5,IF(O985&gt;=60,4,IF(O985&gt;=40,3,IF(O985&gt;=28,2,1)))))</f>
        <v/>
      </c>
      <c r="Q985" t="n">
        <v>1767</v>
      </c>
      <c r="R985" t="n">
        <v>90</v>
      </c>
      <c r="S985" s="27">
        <f>R985/Q985</f>
        <v/>
      </c>
      <c r="T985" t="inlineStr">
        <is>
          <t>森町は2045年までに人口が約27.2%減と明確な減少トレンド。高齢化の進行と世帯数の縮小により、中長期では賃貸需要の構造的縮小に警戒が必要。</t>
        </is>
      </c>
      <c r="U985" t="inlineStr">
        <is>
          <t>森町は人口密度119人/km²と過疎的水準で、民間賃貸の新規需要は薄い。実需に裏付けられた格安戸建ての指値取得のみが現実的。 借家の空室率は約5%と需給は比較的引き締まっている。</t>
        </is>
      </c>
      <c r="V985" t="inlineStr">
        <is>
          <t>森町（静岡県）：南海トラフ地震の津波想定が広範。安倍川・大井川・天竜川の氾濫、富士山火山に最大級の留意。</t>
        </is>
      </c>
    </row>
    <row r="986">
      <c r="A986" t="inlineStr">
        <is>
          <t>愛知県</t>
        </is>
      </c>
      <c r="B986" t="inlineStr">
        <is>
          <t>名古屋市</t>
        </is>
      </c>
      <c r="C986" t="n">
        <v>1135100</v>
      </c>
      <c r="D986" t="n">
        <v>2315642</v>
      </c>
      <c r="E986" s="6" t="n">
        <v>7186.1</v>
      </c>
      <c r="F986" s="7" t="n">
        <v>94.40000000000001</v>
      </c>
      <c r="G986" t="n">
        <v>2332176</v>
      </c>
      <c r="H986" t="n">
        <v>2315642</v>
      </c>
      <c r="I986" t="n">
        <v>2291900</v>
      </c>
      <c r="J986" t="n">
        <v>2174477</v>
      </c>
      <c r="K986" s="27">
        <f>(H986/D986-1)</f>
        <v/>
      </c>
      <c r="L986" s="27">
        <f>(I986/D986-1)</f>
        <v/>
      </c>
      <c r="M986" s="27">
        <f>(J986/D986-1)</f>
        <v/>
      </c>
      <c r="N986" t="n">
        <v>69.8</v>
      </c>
      <c r="O986" s="28">
        <f>(N986+F986)/2</f>
        <v/>
      </c>
      <c r="P986">
        <f>IF(O986="計算不能","計算不能",IF(O986&gt;=80,5,IF(O986&gt;=60,4,IF(O986&gt;=40,3,IF(O986&gt;=28,2,1)))))</f>
        <v/>
      </c>
      <c r="Q986" t="n">
        <v>550300</v>
      </c>
      <c r="R986" t="n">
        <v>118100</v>
      </c>
      <c r="S986" s="27">
        <f>R986/Q986</f>
        <v/>
      </c>
      <c r="T986" t="inlineStr">
        <is>
          <t>名古屋市は2045年までに人口が約6.1%減と緩やかな減少局面。若年層の都市部流出と高齢化が進むが、当面の賃貸稼働は一定程度維持される見通し。【最新動向】リニア中央新幹線（2030年代半ば名古屋開業予定）を見据えた名駅再開発が進行（名鉄計画は施工体制を理由に一旦見直し）。中村区商業地は2011年比で地価約2.9倍に上昇。</t>
        </is>
      </c>
      <c r="U986" t="inlineStr">
        <is>
          <t>名古屋市は人口密度7,186人/km²の高密度市街地で、駅近ワンルームからファミリー向けまで極めて強い賃貸実需が存在。資産流動性・出口戦略の容易さも高い。 借家の空室率は約21%とやや高めで、競合との差別化が必要。【最新動向】名駅地区のオフィス好調で若年勤務者が回帰し、賃貸市場は好調。中区・中村区など都心の単身需要が厚く、適切なスペックで高稼働が見込める。</t>
        </is>
      </c>
      <c r="V986" t="inlineStr">
        <is>
          <t>名古屋市（愛知県）：木曽三川下流の海抜ゼロメートル地帯と高潮・津波、庄内川の氾濫、臨海部の液状化に注意。</t>
        </is>
      </c>
    </row>
    <row r="987">
      <c r="A987" t="inlineStr">
        <is>
          <t>愛知県</t>
        </is>
      </c>
      <c r="B987" t="inlineStr">
        <is>
          <t>豊橋市</t>
        </is>
      </c>
      <c r="C987" t="n">
        <v>152130</v>
      </c>
      <c r="D987" t="n">
        <v>357017</v>
      </c>
      <c r="E987" s="6" t="n">
        <v>1373.9</v>
      </c>
      <c r="F987" s="7" t="n">
        <v>62.5</v>
      </c>
      <c r="G987" t="n">
        <v>371920</v>
      </c>
      <c r="H987" t="n">
        <v>357017</v>
      </c>
      <c r="I987" t="n">
        <v>348435</v>
      </c>
      <c r="J987" t="n">
        <v>316380</v>
      </c>
      <c r="K987" s="27">
        <f>(H987/D987-1)</f>
        <v/>
      </c>
      <c r="L987" s="27">
        <f>(I987/D987-1)</f>
        <v/>
      </c>
      <c r="M987" s="27">
        <f>(J987/D987-1)</f>
        <v/>
      </c>
      <c r="N987" t="n">
        <v>59.9</v>
      </c>
      <c r="O987" s="28">
        <f>(N987+F987)/2</f>
        <v/>
      </c>
      <c r="P987">
        <f>IF(O987="計算不能","計算不能",IF(O987&gt;=80,5,IF(O987&gt;=60,4,IF(O987&gt;=40,3,IF(O987&gt;=28,2,1)))))</f>
        <v/>
      </c>
      <c r="Q987" t="n">
        <v>54678</v>
      </c>
      <c r="R987" t="n">
        <v>15110</v>
      </c>
      <c r="S987" s="27">
        <f>R987/Q987</f>
        <v/>
      </c>
      <c r="T987" t="inlineStr">
        <is>
          <t>豊橋市は2045年までに人口が約11.4%減と緩やかな減少局面。若年層の都市部流出と高齢化が進むが、当面の賃貸稼働は一定程度維持される見通し。</t>
        </is>
      </c>
      <c r="U987" t="inlineStr">
        <is>
          <t>豊橋市は人口密度1,374人/km²で、主要道路沿いや中心市街地に一定の賃貸需要が局在。立地選別が稼働を左右する。 借家の空室率は約28%と供給過多気味で、空室長期化リスクに要警戒。</t>
        </is>
      </c>
      <c r="V987" t="inlineStr">
        <is>
          <t>豊橋市（愛知県）：木曽三川下流の海抜ゼロメートル地帯と高潮・津波、庄内川の氾濫、臨海部の液状化に注意。</t>
        </is>
      </c>
    </row>
    <row r="988">
      <c r="A988" t="inlineStr">
        <is>
          <t>愛知県</t>
        </is>
      </c>
      <c r="B988" t="inlineStr">
        <is>
          <t>岡崎市</t>
        </is>
      </c>
      <c r="C988" t="n">
        <v>156440</v>
      </c>
      <c r="D988" t="n">
        <v>385347</v>
      </c>
      <c r="E988" s="6" t="n">
        <v>975.2</v>
      </c>
      <c r="F988" s="7" t="n">
        <v>54.5</v>
      </c>
      <c r="G988" t="n">
        <v>384654</v>
      </c>
      <c r="H988" t="n">
        <v>385347</v>
      </c>
      <c r="I988" t="n">
        <v>382749</v>
      </c>
      <c r="J988" t="n">
        <v>364368</v>
      </c>
      <c r="K988" s="27">
        <f>(H988/D988-1)</f>
        <v/>
      </c>
      <c r="L988" s="27">
        <f>(I988/D988-1)</f>
        <v/>
      </c>
      <c r="M988" s="27">
        <f>(J988/D988-1)</f>
        <v/>
      </c>
      <c r="N988" t="n">
        <v>72.2</v>
      </c>
      <c r="O988" s="28">
        <f>(N988+F988)/2</f>
        <v/>
      </c>
      <c r="P988">
        <f>IF(O988="計算不能","計算不能",IF(O988&gt;=80,5,IF(O988&gt;=60,4,IF(O988&gt;=40,3,IF(O988&gt;=28,2,1)))))</f>
        <v/>
      </c>
      <c r="Q988" t="n">
        <v>56227</v>
      </c>
      <c r="R988" t="n">
        <v>9670</v>
      </c>
      <c r="S988" s="27">
        <f>R988/Q988</f>
        <v/>
      </c>
      <c r="T988" t="inlineStr">
        <is>
          <t>岡崎市は2045年までに人口が約5.4%減と緩やかな減少局面。若年層の都市部流出と高齢化が進むが、当面の賃貸稼働は一定程度維持される見通し。</t>
        </is>
      </c>
      <c r="U988" t="inlineStr">
        <is>
          <t>岡崎市は人口密度975人/km²で、主要道路沿いや中心市街地に一定の賃貸需要が局在。立地選別が稼働を左右する。 借家の空室率は約17%と需給は比較的引き締まっている。</t>
        </is>
      </c>
      <c r="V988" t="inlineStr">
        <is>
          <t>岡崎市（愛知県）：木曽三川下流の海抜ゼロメートル地帯と高潮・津波、庄内川の氾濫、臨海部の液状化に注意。</t>
        </is>
      </c>
    </row>
    <row r="989">
      <c r="A989" t="inlineStr">
        <is>
          <t>愛知県</t>
        </is>
      </c>
      <c r="B989" t="inlineStr">
        <is>
          <t>一宮市</t>
        </is>
      </c>
      <c r="C989" t="n">
        <v>153030</v>
      </c>
      <c r="D989" t="n">
        <v>369245</v>
      </c>
      <c r="E989" s="6" t="n">
        <v>3239.8</v>
      </c>
      <c r="F989" s="7" t="n">
        <v>80</v>
      </c>
      <c r="G989" t="n">
        <v>380073</v>
      </c>
      <c r="H989" t="n">
        <v>369245</v>
      </c>
      <c r="I989" t="n">
        <v>361238</v>
      </c>
      <c r="J989" t="n">
        <v>332241</v>
      </c>
      <c r="K989" s="27">
        <f>(H989/D989-1)</f>
        <v/>
      </c>
      <c r="L989" s="27">
        <f>(I989/D989-1)</f>
        <v/>
      </c>
      <c r="M989" s="27">
        <f>(J989/D989-1)</f>
        <v/>
      </c>
      <c r="N989" t="n">
        <v>63</v>
      </c>
      <c r="O989" s="28">
        <f>(N989+F989)/2</f>
        <v/>
      </c>
      <c r="P989">
        <f>IF(O989="計算不能","計算不能",IF(O989&gt;=80,5,IF(O989&gt;=60,4,IF(O989&gt;=40,3,IF(O989&gt;=28,2,1)))))</f>
        <v/>
      </c>
      <c r="Q989" t="n">
        <v>55001</v>
      </c>
      <c r="R989" t="n">
        <v>8240</v>
      </c>
      <c r="S989" s="27">
        <f>R989/Q989</f>
        <v/>
      </c>
      <c r="T989" t="inlineStr">
        <is>
          <t>一宮市は2045年までに人口が約10.0%減と緩やかな減少局面。若年層の都市部流出と高齢化が進むが、当面の賃貸稼働は一定程度維持される見通し。</t>
        </is>
      </c>
      <c r="U989" t="inlineStr">
        <is>
          <t>一宮市は人口密度3,240人/km²の都市部で、駅周辺や生活利便施設沿いに安定した賃貸需要がある。適切な家賃設定で高稼働を期待できる。 借家の空室率は約15%と需給は比較的引き締まっている。</t>
        </is>
      </c>
      <c r="V989" t="inlineStr">
        <is>
          <t>一宮市（愛知県）：木曽三川下流の海抜ゼロメートル地帯と高潮・津波、庄内川の氾濫、臨海部の液状化に注意。</t>
        </is>
      </c>
    </row>
    <row r="990">
      <c r="A990" t="inlineStr">
        <is>
          <t>愛知県</t>
        </is>
      </c>
      <c r="B990" t="inlineStr">
        <is>
          <t>瀬戸市</t>
        </is>
      </c>
      <c r="C990" t="n">
        <v>52910</v>
      </c>
      <c r="D990" t="n">
        <v>124437</v>
      </c>
      <c r="E990" s="6" t="n">
        <v>1108.7</v>
      </c>
      <c r="F990" s="7" t="n">
        <v>57.2</v>
      </c>
      <c r="G990" t="n">
        <v>127792</v>
      </c>
      <c r="H990" t="n">
        <v>124437</v>
      </c>
      <c r="I990" t="n">
        <v>120231</v>
      </c>
      <c r="J990" t="n">
        <v>106570</v>
      </c>
      <c r="K990" s="27">
        <f>(H990/D990-1)</f>
        <v/>
      </c>
      <c r="L990" s="27">
        <f>(I990/D990-1)</f>
        <v/>
      </c>
      <c r="M990" s="27">
        <f>(J990/D990-1)</f>
        <v/>
      </c>
      <c r="N990" t="n">
        <v>60.5</v>
      </c>
      <c r="O990" s="28">
        <f>(N990+F990)/2</f>
        <v/>
      </c>
      <c r="P990">
        <f>IF(O990="計算不能","計算不能",IF(O990&gt;=80,5,IF(O990&gt;=60,4,IF(O990&gt;=40,3,IF(O990&gt;=28,2,1)))))</f>
        <v/>
      </c>
      <c r="Q990" t="n">
        <v>19016</v>
      </c>
      <c r="R990" t="n">
        <v>2930</v>
      </c>
      <c r="S990" s="27">
        <f>R990/Q990</f>
        <v/>
      </c>
      <c r="T990" t="inlineStr">
        <is>
          <t>瀬戸市は2045年までに人口が約14.4%減と緩やかな減少局面。若年層の都市部流出と高齢化が進むが、当面の賃貸稼働は一定程度維持される見通し。</t>
        </is>
      </c>
      <c r="U990" t="inlineStr">
        <is>
          <t>瀬戸市は人口密度1,109人/km²で、主要道路沿いや中心市街地に一定の賃貸需要が局在。立地選別が稼働を左右する。 借家の空室率は約15%と需給は比較的引き締まっている。</t>
        </is>
      </c>
      <c r="V990" t="inlineStr">
        <is>
          <t>瀬戸市（愛知県）：木曽三川下流の海抜ゼロメートル地帯と高潮・津波、庄内川の氾濫、臨海部の液状化に注意。</t>
        </is>
      </c>
    </row>
    <row r="991">
      <c r="A991" t="inlineStr">
        <is>
          <t>愛知県</t>
        </is>
      </c>
      <c r="B991" t="inlineStr">
        <is>
          <t>半田市</t>
        </is>
      </c>
      <c r="C991" t="n">
        <v>48480</v>
      </c>
      <c r="D991" t="n">
        <v>114719</v>
      </c>
      <c r="E991" s="6" t="n">
        <v>2394.2</v>
      </c>
      <c r="F991" s="7" t="n">
        <v>73.90000000000001</v>
      </c>
      <c r="G991" t="n">
        <v>117884</v>
      </c>
      <c r="H991" t="n">
        <v>114719</v>
      </c>
      <c r="I991" t="n">
        <v>112798</v>
      </c>
      <c r="J991" t="n">
        <v>104770</v>
      </c>
      <c r="K991" s="27">
        <f>(H991/D991-1)</f>
        <v/>
      </c>
      <c r="L991" s="27">
        <f>(I991/D991-1)</f>
        <v/>
      </c>
      <c r="M991" s="27">
        <f>(J991/D991-1)</f>
        <v/>
      </c>
      <c r="N991" t="n">
        <v>64.3</v>
      </c>
      <c r="O991" s="28">
        <f>(N991+F991)/2</f>
        <v/>
      </c>
      <c r="P991">
        <f>IF(O991="計算不能","計算不能",IF(O991&gt;=80,5,IF(O991&gt;=60,4,IF(O991&gt;=40,3,IF(O991&gt;=28,2,1)))))</f>
        <v/>
      </c>
      <c r="Q991" t="n">
        <v>17424</v>
      </c>
      <c r="R991" t="n">
        <v>2950</v>
      </c>
      <c r="S991" s="27">
        <f>R991/Q991</f>
        <v/>
      </c>
      <c r="T991" t="inlineStr">
        <is>
          <t>半田市は2045年までに人口が約8.7%減と緩やかな減少局面。若年層の都市部流出と高齢化が進むが、当面の賃貸稼働は一定程度維持される見通し。</t>
        </is>
      </c>
      <c r="U991" t="inlineStr">
        <is>
          <t>半田市は人口密度2,394人/km²の都市部で、駅周辺や生活利便施設沿いに安定した賃貸需要がある。適切な家賃設定で高稼働を期待できる。 借家の空室率は約17%と需給は比較的引き締まっている。</t>
        </is>
      </c>
      <c r="V991" t="inlineStr">
        <is>
          <t>半田市（愛知県）：木曽三川下流の海抜ゼロメートル地帯と高潮・津波、庄内川の氾濫、臨海部の液状化に注意。</t>
        </is>
      </c>
    </row>
    <row r="992">
      <c r="A992" t="inlineStr">
        <is>
          <t>愛知県</t>
        </is>
      </c>
      <c r="B992" t="inlineStr">
        <is>
          <t>春日井市</t>
        </is>
      </c>
      <c r="C992" t="n">
        <v>128950</v>
      </c>
      <c r="D992" t="n">
        <v>306575</v>
      </c>
      <c r="E992" s="6" t="n">
        <v>3267.1</v>
      </c>
      <c r="F992" s="7" t="n">
        <v>80</v>
      </c>
      <c r="G992" t="n">
        <v>308681</v>
      </c>
      <c r="H992" t="n">
        <v>306575</v>
      </c>
      <c r="I992" t="n">
        <v>301375</v>
      </c>
      <c r="J992" t="n">
        <v>280808</v>
      </c>
      <c r="K992" s="27">
        <f>(H992/D992-1)</f>
        <v/>
      </c>
      <c r="L992" s="27">
        <f>(I992/D992-1)</f>
        <v/>
      </c>
      <c r="M992" s="27">
        <f>(J992/D992-1)</f>
        <v/>
      </c>
      <c r="N992" t="n">
        <v>68.3</v>
      </c>
      <c r="O992" s="28">
        <f>(N992+F992)/2</f>
        <v/>
      </c>
      <c r="P992">
        <f>IF(O992="計算不能","計算不能",IF(O992&gt;=80,5,IF(O992&gt;=60,4,IF(O992&gt;=40,3,IF(O992&gt;=28,2,1)))))</f>
        <v/>
      </c>
      <c r="Q992" t="n">
        <v>46346</v>
      </c>
      <c r="R992" t="n">
        <v>10380</v>
      </c>
      <c r="S992" s="27">
        <f>R992/Q992</f>
        <v/>
      </c>
      <c r="T992" t="inlineStr">
        <is>
          <t>春日井市は2045年までに人口が約8.4%減と緩やかな減少局面。若年層の都市部流出と高齢化が進むが、当面の賃貸稼働は一定程度維持される見通し。</t>
        </is>
      </c>
      <c r="U992" t="inlineStr">
        <is>
          <t>春日井市は人口密度3,267人/km²の都市部で、駅周辺や生活利便施設沿いに安定した賃貸需要がある。適切な家賃設定で高稼働を期待できる。 借家の空室率は約22%とやや高めで、競合との差別化が必要。</t>
        </is>
      </c>
      <c r="V992" t="inlineStr">
        <is>
          <t>春日井市（愛知県）：木曽三川下流の海抜ゼロメートル地帯と高潮・津波、庄内川の氾濫、臨海部の液状化に注意。</t>
        </is>
      </c>
    </row>
    <row r="993">
      <c r="A993" t="inlineStr">
        <is>
          <t>愛知県</t>
        </is>
      </c>
      <c r="B993" t="inlineStr">
        <is>
          <t>豊川市</t>
        </is>
      </c>
      <c r="C993" t="n">
        <v>73360</v>
      </c>
      <c r="D993" t="n">
        <v>182642</v>
      </c>
      <c r="E993" s="6" t="n">
        <v>1132.7</v>
      </c>
      <c r="F993" s="7" t="n">
        <v>57.7</v>
      </c>
      <c r="G993" t="n">
        <v>184661</v>
      </c>
      <c r="H993" t="n">
        <v>182642</v>
      </c>
      <c r="I993" t="n">
        <v>179234</v>
      </c>
      <c r="J993" t="n">
        <v>165568</v>
      </c>
      <c r="K993" s="27">
        <f>(H993/D993-1)</f>
        <v/>
      </c>
      <c r="L993" s="27">
        <f>(I993/D993-1)</f>
        <v/>
      </c>
      <c r="M993" s="27">
        <f>(J993/D993-1)</f>
        <v/>
      </c>
      <c r="N993" t="n">
        <v>66.90000000000001</v>
      </c>
      <c r="O993" s="28">
        <f>(N993+F993)/2</f>
        <v/>
      </c>
      <c r="P993">
        <f>IF(O993="計算不能","計算不能",IF(O993&gt;=80,5,IF(O993&gt;=60,4,IF(O993&gt;=40,3,IF(O993&gt;=28,2,1)))))</f>
        <v/>
      </c>
      <c r="Q993" t="n">
        <v>26366</v>
      </c>
      <c r="R993" t="n">
        <v>4220</v>
      </c>
      <c r="S993" s="27">
        <f>R993/Q993</f>
        <v/>
      </c>
      <c r="T993" t="inlineStr">
        <is>
          <t>豊川市は2045年までに人口が約9.3%減と緩やかな減少局面。若年層の都市部流出と高齢化が進むが、当面の賃貸稼働は一定程度維持される見通し。</t>
        </is>
      </c>
      <c r="U993" t="inlineStr">
        <is>
          <t>豊川市は人口密度1,133人/km²で、主要道路沿いや中心市街地に一定の賃貸需要が局在。立地選別が稼働を左右する。 借家の空室率は約16%と需給は比較的引き締まっている。</t>
        </is>
      </c>
      <c r="V993" t="inlineStr">
        <is>
          <t>豊川市（愛知県）：木曽三川下流の海抜ゼロメートル地帯と高潮・津波、庄内川の氾濫、臨海部の液状化に注意。</t>
        </is>
      </c>
    </row>
    <row r="994">
      <c r="A994" t="inlineStr">
        <is>
          <t>愛知県</t>
        </is>
      </c>
      <c r="B994" t="inlineStr">
        <is>
          <t>津島市</t>
        </is>
      </c>
      <c r="C994" t="n">
        <v>24140</v>
      </c>
      <c r="D994" t="n">
        <v>58202</v>
      </c>
      <c r="E994" s="6" t="n">
        <v>2306.4</v>
      </c>
      <c r="F994" s="7" t="n">
        <v>73.09999999999999</v>
      </c>
      <c r="G994" t="n">
        <v>60942</v>
      </c>
      <c r="H994" t="n">
        <v>58202</v>
      </c>
      <c r="I994" t="n">
        <v>55106</v>
      </c>
      <c r="J994" t="n">
        <v>45485</v>
      </c>
      <c r="K994" s="27">
        <f>(H994/D994-1)</f>
        <v/>
      </c>
      <c r="L994" s="27">
        <f>(I994/D994-1)</f>
        <v/>
      </c>
      <c r="M994" s="27">
        <f>(J994/D994-1)</f>
        <v/>
      </c>
      <c r="N994" t="n">
        <v>52</v>
      </c>
      <c r="O994" s="28">
        <f>(N994+F994)/2</f>
        <v/>
      </c>
      <c r="P994">
        <f>IF(O994="計算不能","計算不能",IF(O994&gt;=80,5,IF(O994&gt;=60,4,IF(O994&gt;=40,3,IF(O994&gt;=28,2,1)))))</f>
        <v/>
      </c>
      <c r="Q994" t="n">
        <v>8676</v>
      </c>
      <c r="R994" t="n">
        <v>1800</v>
      </c>
      <c r="S994" s="27">
        <f>R994/Q994</f>
        <v/>
      </c>
      <c r="T994" t="inlineStr">
        <is>
          <t>津島市は2045年までに人口が約21.8%減と明確な減少トレンド。高齢化の進行と世帯数の縮小により、中長期では賃貸需要の構造的縮小に警戒が必要。</t>
        </is>
      </c>
      <c r="U994" t="inlineStr">
        <is>
          <t>津島市は人口密度2,306人/km²の都市部で、駅周辺や生活利便施設沿いに安定した賃貸需要がある。適切な家賃設定で高稼働を期待できる。 借家の空室率は約21%とやや高めで、競合との差別化が必要。</t>
        </is>
      </c>
      <c r="V994" t="inlineStr">
        <is>
          <t>津島市（愛知県）：木曽三川下流の海抜ゼロメートル地帯と高潮・津波、庄内川の氾濫、臨海部の液状化に注意。</t>
        </is>
      </c>
    </row>
    <row r="995">
      <c r="A995" t="inlineStr">
        <is>
          <t>愛知県</t>
        </is>
      </c>
      <c r="B995" t="inlineStr">
        <is>
          <t>碧南市</t>
        </is>
      </c>
      <c r="C995" t="n">
        <v>27970</v>
      </c>
      <c r="D995" t="n">
        <v>71654</v>
      </c>
      <c r="E995" s="6" t="n">
        <v>1945.2</v>
      </c>
      <c r="F995" s="7" t="n">
        <v>69.5</v>
      </c>
      <c r="G995" t="n">
        <v>72458</v>
      </c>
      <c r="H995" t="n">
        <v>71654</v>
      </c>
      <c r="I995" t="n">
        <v>70544</v>
      </c>
      <c r="J995" t="n">
        <v>65985</v>
      </c>
      <c r="K995" s="27">
        <f>(H995/D995-1)</f>
        <v/>
      </c>
      <c r="L995" s="27">
        <f>(I995/D995-1)</f>
        <v/>
      </c>
      <c r="M995" s="27">
        <f>(J995/D995-1)</f>
        <v/>
      </c>
      <c r="N995" t="n">
        <v>67.8</v>
      </c>
      <c r="O995" s="28">
        <f>(N995+F995)/2</f>
        <v/>
      </c>
      <c r="P995">
        <f>IF(O995="計算不能","計算不能",IF(O995&gt;=80,5,IF(O995&gt;=60,4,IF(O995&gt;=40,3,IF(O995&gt;=28,2,1)))))</f>
        <v/>
      </c>
      <c r="Q995" t="n">
        <v>10052</v>
      </c>
      <c r="R995" t="n">
        <v>1270</v>
      </c>
      <c r="S995" s="27">
        <f>R995/Q995</f>
        <v/>
      </c>
      <c r="T995" t="inlineStr">
        <is>
          <t>碧南市は2045年までに人口が約7.9%減と緩やかな減少局面。若年層の都市部流出と高齢化が進むが、当面の賃貸稼働は一定程度維持される見通し。</t>
        </is>
      </c>
      <c r="U995" t="inlineStr">
        <is>
          <t>碧南市は人口密度1,945人/km²の都市部で、駅周辺や生活利便施設沿いに安定した賃貸需要がある。適切な家賃設定で高稼働を期待できる。 借家の空室率は約13%と需給は比較的引き締まっている。</t>
        </is>
      </c>
      <c r="V995" t="inlineStr">
        <is>
          <t>碧南市（愛知県）：木曽三川下流の海抜ゼロメートル地帯と高潮・津波、庄内川の氾濫、臨海部の液状化に注意。</t>
        </is>
      </c>
    </row>
    <row r="996">
      <c r="A996" t="inlineStr">
        <is>
          <t>愛知県</t>
        </is>
      </c>
      <c r="B996" t="inlineStr">
        <is>
          <t>刈谷市</t>
        </is>
      </c>
      <c r="C996" t="n">
        <v>66120</v>
      </c>
      <c r="D996" t="n">
        <v>155197</v>
      </c>
      <c r="E996" s="6" t="n">
        <v>3032.5</v>
      </c>
      <c r="F996" s="7" t="n">
        <v>80</v>
      </c>
      <c r="G996" t="n">
        <v>153834</v>
      </c>
      <c r="H996" t="n">
        <v>155197</v>
      </c>
      <c r="I996" t="n">
        <v>154984</v>
      </c>
      <c r="J996" t="n">
        <v>148880</v>
      </c>
      <c r="K996" s="27">
        <f>(H996/D996-1)</f>
        <v/>
      </c>
      <c r="L996" s="27">
        <f>(I996/D996-1)</f>
        <v/>
      </c>
      <c r="M996" s="27">
        <f>(J996/D996-1)</f>
        <v/>
      </c>
      <c r="N996" t="n">
        <v>74.59999999999999</v>
      </c>
      <c r="O996" s="28">
        <f>(N996+F996)/2</f>
        <v/>
      </c>
      <c r="P996">
        <f>IF(O996="計算不能","計算不能",IF(O996&gt;=80,5,IF(O996&gt;=60,4,IF(O996&gt;=40,3,IF(O996&gt;=28,2,1)))))</f>
        <v/>
      </c>
      <c r="Q996" t="n">
        <v>23764</v>
      </c>
      <c r="R996" t="n">
        <v>2940</v>
      </c>
      <c r="S996" s="27">
        <f>R996/Q996</f>
        <v/>
      </c>
      <c r="T996" t="inlineStr">
        <is>
          <t>刈谷市は2045年までの人口減少率が約4.1%と全国平均より緩やかで、概ね横ばいの安定推移。生産年齢人口の維持により、賃貸需要の急減リスクは相対的に低い。</t>
        </is>
      </c>
      <c r="U996" t="inlineStr">
        <is>
          <t>刈谷市は人口密度3,032人/km²の都市部で、駅周辺や生活利便施設沿いに安定した賃貸需要がある。適切な家賃設定で高稼働を期待できる。 借家の空室率は約12%と需給は比較的引き締まっている。</t>
        </is>
      </c>
      <c r="V996" t="inlineStr">
        <is>
          <t>刈谷市（愛知県）：木曽三川下流の海抜ゼロメートル地帯と高潮・津波、庄内川の氾濫、臨海部の液状化に注意。</t>
        </is>
      </c>
    </row>
    <row r="997">
      <c r="A997" t="inlineStr">
        <is>
          <t>愛知県</t>
        </is>
      </c>
      <c r="B997" t="inlineStr">
        <is>
          <t>豊田市</t>
        </is>
      </c>
      <c r="C997" t="n">
        <v>166960</v>
      </c>
      <c r="D997" t="n">
        <v>419477</v>
      </c>
      <c r="E997" s="6" t="n">
        <v>448.9</v>
      </c>
      <c r="F997" s="7" t="n">
        <v>42.4</v>
      </c>
      <c r="G997" t="n">
        <v>422330</v>
      </c>
      <c r="H997" t="n">
        <v>419477</v>
      </c>
      <c r="I997" t="n">
        <v>413257</v>
      </c>
      <c r="J997" t="n">
        <v>382436</v>
      </c>
      <c r="K997" s="27">
        <f>(H997/D997-1)</f>
        <v/>
      </c>
      <c r="L997" s="27">
        <f>(I997/D997-1)</f>
        <v/>
      </c>
      <c r="M997" s="27">
        <f>(J997/D997-1)</f>
        <v/>
      </c>
      <c r="N997" t="n">
        <v>68.2</v>
      </c>
      <c r="O997" s="28">
        <f>(N997+F997)/2</f>
        <v/>
      </c>
      <c r="P997">
        <f>IF(O997="計算不能","計算不能",IF(O997&gt;=80,5,IF(O997&gt;=60,4,IF(O997&gt;=40,3,IF(O997&gt;=28,2,1)))))</f>
        <v/>
      </c>
      <c r="Q997" t="n">
        <v>60008</v>
      </c>
      <c r="R997" t="n">
        <v>8800</v>
      </c>
      <c r="S997" s="27">
        <f>R997/Q997</f>
        <v/>
      </c>
      <c r="T997" t="inlineStr">
        <is>
          <t>豊田市は2045年までに人口が約8.8%減と緩やかな減少局面。若年層の都市部流出と高齢化が進むが、当面の賃貸稼働は一定程度維持される見通し。</t>
        </is>
      </c>
      <c r="U997" t="inlineStr">
        <is>
          <t>豊田市は人口密度449人/km²と低密度で、賃貸需要は限定的。持ち家比率が高く、駐車場完備の戸建て賃貸が有利。 借家の空室率は約15%と需給は比較的引き締まっている。</t>
        </is>
      </c>
      <c r="V997" t="inlineStr">
        <is>
          <t>豊田市（愛知県）：木曽三川下流の海抜ゼロメートル地帯と高潮・津波、庄内川の氾濫、臨海部の液状化に注意。</t>
        </is>
      </c>
    </row>
    <row r="998">
      <c r="A998" t="inlineStr">
        <is>
          <t>愛知県</t>
        </is>
      </c>
      <c r="B998" t="inlineStr">
        <is>
          <t>安城市</t>
        </is>
      </c>
      <c r="C998" t="n">
        <v>73010</v>
      </c>
      <c r="D998" t="n">
        <v>182975</v>
      </c>
      <c r="E998" s="6" t="n">
        <v>2165.6</v>
      </c>
      <c r="F998" s="7" t="n">
        <v>71.7</v>
      </c>
      <c r="G998" t="n">
        <v>187990</v>
      </c>
      <c r="H998" t="n">
        <v>182975</v>
      </c>
      <c r="I998" t="n">
        <v>183753</v>
      </c>
      <c r="J998" t="n">
        <v>179612</v>
      </c>
      <c r="K998" s="27">
        <f>(H998/D998-1)</f>
        <v/>
      </c>
      <c r="L998" s="27">
        <f>(I998/D998-1)</f>
        <v/>
      </c>
      <c r="M998" s="27">
        <f>(J998/D998-1)</f>
        <v/>
      </c>
      <c r="N998" t="n">
        <v>69.09999999999999</v>
      </c>
      <c r="O998" s="28">
        <f>(N998+F998)/2</f>
        <v/>
      </c>
      <c r="P998">
        <f>IF(O998="計算不能","計算不能",IF(O998&gt;=80,5,IF(O998&gt;=60,4,IF(O998&gt;=40,3,IF(O998&gt;=28,2,1)))))</f>
        <v/>
      </c>
      <c r="Q998" t="n">
        <v>26241</v>
      </c>
      <c r="R998" t="n">
        <v>3940</v>
      </c>
      <c r="S998" s="27">
        <f>R998/Q998</f>
        <v/>
      </c>
      <c r="T998" t="inlineStr">
        <is>
          <t>安城市は2045年までの人口減少率が約1.8%と全国平均より緩やかで、概ね横ばいの安定推移。生産年齢人口の維持により、賃貸需要の急減リスクは相対的に低い。</t>
        </is>
      </c>
      <c r="U998" t="inlineStr">
        <is>
          <t>安城市は人口密度2,166人/km²の都市部で、駅周辺や生活利便施設沿いに安定した賃貸需要がある。適切な家賃設定で高稼働を期待できる。 借家の空室率は約15%と需給は比較的引き締まっている。</t>
        </is>
      </c>
      <c r="V998" t="inlineStr">
        <is>
          <t>安城市（愛知県）：木曽三川下流の海抜ゼロメートル地帯と高潮・津波、庄内川の氾濫、臨海部の液状化に注意。</t>
        </is>
      </c>
    </row>
    <row r="999">
      <c r="A999" t="inlineStr">
        <is>
          <t>愛知県</t>
        </is>
      </c>
      <c r="B999" t="inlineStr">
        <is>
          <t>西尾市</t>
        </is>
      </c>
      <c r="C999" t="n">
        <v>61550</v>
      </c>
      <c r="D999" t="n">
        <v>168300</v>
      </c>
      <c r="E999" s="6" t="n">
        <v>1030.9</v>
      </c>
      <c r="F999" s="7" t="n">
        <v>55.6</v>
      </c>
      <c r="G999" t="n">
        <v>169046</v>
      </c>
      <c r="H999" t="n">
        <v>168300</v>
      </c>
      <c r="I999" t="n">
        <v>166615</v>
      </c>
      <c r="J999" t="n">
        <v>158092</v>
      </c>
      <c r="K999" s="27">
        <f>(H999/D999-1)</f>
        <v/>
      </c>
      <c r="L999" s="27">
        <f>(I999/D999-1)</f>
        <v/>
      </c>
      <c r="M999" s="27">
        <f>(J999/D999-1)</f>
        <v/>
      </c>
      <c r="N999" t="n">
        <v>70.40000000000001</v>
      </c>
      <c r="O999" s="28">
        <f>(N999+F999)/2</f>
        <v/>
      </c>
      <c r="P999">
        <f>IF(O999="計算不能","計算不能",IF(O999&gt;=80,5,IF(O999&gt;=60,4,IF(O999&gt;=40,3,IF(O999&gt;=28,2,1)))))</f>
        <v/>
      </c>
      <c r="Q999" t="n">
        <v>22122</v>
      </c>
      <c r="R999" t="n">
        <v>5000</v>
      </c>
      <c r="S999" s="27">
        <f>R999/Q999</f>
        <v/>
      </c>
      <c r="T999" t="inlineStr">
        <is>
          <t>西尾市は2045年までに人口が約6.1%減と緩やかな減少局面。若年層の都市部流出と高齢化が進むが、当面の賃貸稼働は一定程度維持される見通し。</t>
        </is>
      </c>
      <c r="U999" t="inlineStr">
        <is>
          <t>西尾市は人口密度1,031人/km²で、主要道路沿いや中心市街地に一定の賃貸需要が局在。立地選別が稼働を左右する。 借家の空室率は約23%とやや高めで、競合との差別化が必要。</t>
        </is>
      </c>
      <c r="V999" t="inlineStr">
        <is>
          <t>西尾市（愛知県）：木曽三川下流の海抜ゼロメートル地帯と高潮・津波、庄内川の氾濫、臨海部の液状化に注意。</t>
        </is>
      </c>
    </row>
    <row r="1000">
      <c r="A1000" t="inlineStr">
        <is>
          <t>愛知県</t>
        </is>
      </c>
      <c r="B1000" t="inlineStr">
        <is>
          <t>蒲郡市</t>
        </is>
      </c>
      <c r="C1000" t="n">
        <v>30800</v>
      </c>
      <c r="D1000" t="n">
        <v>77404</v>
      </c>
      <c r="E1000" s="6" t="n">
        <v>1315.5</v>
      </c>
      <c r="F1000" s="7" t="n">
        <v>61.3</v>
      </c>
      <c r="G1000" t="n">
        <v>79538</v>
      </c>
      <c r="H1000" t="n">
        <v>77404</v>
      </c>
      <c r="I1000" t="n">
        <v>74777</v>
      </c>
      <c r="J1000" t="n">
        <v>66280</v>
      </c>
      <c r="K1000" s="27">
        <f>(H1000/D1000-1)</f>
        <v/>
      </c>
      <c r="L1000" s="27">
        <f>(I1000/D1000-1)</f>
        <v/>
      </c>
      <c r="M1000" s="27">
        <f>(J1000/D1000-1)</f>
        <v/>
      </c>
      <c r="N1000" t="n">
        <v>60.3</v>
      </c>
      <c r="O1000" s="28">
        <f>(N1000+F1000)/2</f>
        <v/>
      </c>
      <c r="P1000">
        <f>IF(O1000="計算不能","計算不能",IF(O1000&gt;=80,5,IF(O1000&gt;=60,4,IF(O1000&gt;=40,3,IF(O1000&gt;=28,2,1)))))</f>
        <v/>
      </c>
      <c r="Q1000" t="n">
        <v>11070</v>
      </c>
      <c r="R1000" t="n">
        <v>2370</v>
      </c>
      <c r="S1000" s="27">
        <f>R1000/Q1000</f>
        <v/>
      </c>
      <c r="T1000" t="inlineStr">
        <is>
          <t>蒲郡市は2045年までに人口が約14.4%減と緩やかな減少局面。若年層の都市部流出と高齢化が進むが、当面の賃貸稼働は一定程度維持される見通し。</t>
        </is>
      </c>
      <c r="U1000" t="inlineStr">
        <is>
          <t>蒲郡市は人口密度1,316人/km²で、主要道路沿いや中心市街地に一定の賃貸需要が局在。立地選別が稼働を左右する。 借家の空室率は約21%とやや高めで、競合との差別化が必要。</t>
        </is>
      </c>
      <c r="V1000" t="inlineStr">
        <is>
          <t>蒲郡市（愛知県）：木曽三川下流の海抜ゼロメートル地帯と高潮・津波、庄内川の氾濫、臨海部の液状化に注意。</t>
        </is>
      </c>
    </row>
    <row r="1001">
      <c r="A1001" t="inlineStr">
        <is>
          <t>愛知県</t>
        </is>
      </c>
      <c r="B1001" t="inlineStr">
        <is>
          <t>犬山市</t>
        </is>
      </c>
      <c r="C1001" t="n">
        <v>28330</v>
      </c>
      <c r="D1001" t="n">
        <v>71265</v>
      </c>
      <c r="E1001" s="6" t="n">
        <v>933.8</v>
      </c>
      <c r="F1001" s="7" t="n">
        <v>53.7</v>
      </c>
      <c r="G1001" t="n">
        <v>73090</v>
      </c>
      <c r="H1001" t="n">
        <v>71265</v>
      </c>
      <c r="I1001" t="n">
        <v>68766</v>
      </c>
      <c r="J1001" t="n">
        <v>60697</v>
      </c>
      <c r="K1001" s="27">
        <f>(H1001/D1001-1)</f>
        <v/>
      </c>
      <c r="L1001" s="27">
        <f>(I1001/D1001-1)</f>
        <v/>
      </c>
      <c r="M1001" s="27">
        <f>(J1001/D1001-1)</f>
        <v/>
      </c>
      <c r="N1001" t="n">
        <v>60.4</v>
      </c>
      <c r="O1001" s="28">
        <f>(N1001+F1001)/2</f>
        <v/>
      </c>
      <c r="P1001">
        <f>IF(O1001="計算不能","計算不能",IF(O1001&gt;=80,5,IF(O1001&gt;=60,4,IF(O1001&gt;=40,3,IF(O1001&gt;=28,2,1)))))</f>
        <v/>
      </c>
      <c r="Q1001" t="n">
        <v>10182</v>
      </c>
      <c r="R1001" t="n">
        <v>1950</v>
      </c>
      <c r="S1001" s="27">
        <f>R1001/Q1001</f>
        <v/>
      </c>
      <c r="T1001" t="inlineStr">
        <is>
          <t>犬山市は2045年までに人口が約14.8%減と緩やかな減少局面。若年層の都市部流出と高齢化が進むが、当面の賃貸稼働は一定程度維持される見通し。</t>
        </is>
      </c>
      <c r="U1001" t="inlineStr">
        <is>
          <t>犬山市は人口密度934人/km²で、主要道路沿いや中心市街地に一定の賃貸需要が局在。立地選別が稼働を左右する。 借家の空室率は約19%とやや高めで、競合との差別化が必要。</t>
        </is>
      </c>
      <c r="V1001" t="inlineStr">
        <is>
          <t>犬山市（愛知県）：木曽三川下流の海抜ゼロメートル地帯と高潮・津波、庄内川の氾濫、臨海部の液状化に注意。</t>
        </is>
      </c>
    </row>
    <row r="1002">
      <c r="A1002" t="inlineStr">
        <is>
          <t>愛知県</t>
        </is>
      </c>
      <c r="B1002" t="inlineStr">
        <is>
          <t>常滑市</t>
        </is>
      </c>
      <c r="C1002" t="n">
        <v>24640</v>
      </c>
      <c r="D1002" t="n">
        <v>57761</v>
      </c>
      <c r="E1002" s="6" t="n">
        <v>1034.6</v>
      </c>
      <c r="F1002" s="7" t="n">
        <v>55.7</v>
      </c>
      <c r="G1002" t="n">
        <v>58710</v>
      </c>
      <c r="H1002" t="n">
        <v>57761</v>
      </c>
      <c r="I1002" t="n">
        <v>58488</v>
      </c>
      <c r="J1002" t="n">
        <v>59309</v>
      </c>
      <c r="K1002" s="27">
        <f>(H1002/D1002-1)</f>
        <v/>
      </c>
      <c r="L1002" s="27">
        <f>(I1002/D1002-1)</f>
        <v/>
      </c>
      <c r="M1002" s="27">
        <f>(J1002/D1002-1)</f>
        <v/>
      </c>
      <c r="N1002" t="n">
        <v>74</v>
      </c>
      <c r="O1002" s="28">
        <f>(N1002+F1002)/2</f>
        <v/>
      </c>
      <c r="P1002">
        <f>IF(O1002="計算不能","計算不能",IF(O1002&gt;=80,5,IF(O1002&gt;=60,4,IF(O1002&gt;=40,3,IF(O1002&gt;=28,2,1)))))</f>
        <v/>
      </c>
      <c r="Q1002" t="n">
        <v>8856</v>
      </c>
      <c r="R1002" t="n">
        <v>2670</v>
      </c>
      <c r="S1002" s="27">
        <f>R1002/Q1002</f>
        <v/>
      </c>
      <c r="T1002" t="inlineStr">
        <is>
          <t>常滑市は2045年までの人口減少率が約2.7%と全国平均より緩やかで、概ね横ばいの安定推移。生産年齢人口の維持により、賃貸需要の急減リスクは相対的に低い。</t>
        </is>
      </c>
      <c r="U1002" t="inlineStr">
        <is>
          <t>常滑市は人口密度1,035人/km²で、主要道路沿いや中心市街地に一定の賃貸需要が局在。立地選別が稼働を左右する。 借家の空室率は約30%と供給過多気味で、空室長期化リスクに要警戒。</t>
        </is>
      </c>
      <c r="V1002" t="inlineStr">
        <is>
          <t>常滑市（愛知県）：木曽三川下流の海抜ゼロメートル地帯と高潮・津波、庄内川の氾濫、臨海部の液状化に注意。</t>
        </is>
      </c>
    </row>
    <row r="1003">
      <c r="A1003" t="inlineStr">
        <is>
          <t>愛知県</t>
        </is>
      </c>
      <c r="B1003" t="inlineStr">
        <is>
          <t>江南市</t>
        </is>
      </c>
      <c r="C1003" t="n">
        <v>38920</v>
      </c>
      <c r="D1003" t="n">
        <v>96167</v>
      </c>
      <c r="E1003" s="6" t="n">
        <v>3117.1</v>
      </c>
      <c r="F1003" s="7" t="n">
        <v>80</v>
      </c>
      <c r="G1003" t="n">
        <v>98255</v>
      </c>
      <c r="H1003" t="n">
        <v>96167</v>
      </c>
      <c r="I1003" t="n">
        <v>93343</v>
      </c>
      <c r="J1003" t="n">
        <v>83585</v>
      </c>
      <c r="K1003" s="27">
        <f>(H1003/D1003-1)</f>
        <v/>
      </c>
      <c r="L1003" s="27">
        <f>(I1003/D1003-1)</f>
        <v/>
      </c>
      <c r="M1003" s="27">
        <f>(J1003/D1003-1)</f>
        <v/>
      </c>
      <c r="N1003" t="n">
        <v>62.3</v>
      </c>
      <c r="O1003" s="28">
        <f>(N1003+F1003)/2</f>
        <v/>
      </c>
      <c r="P1003">
        <f>IF(O1003="計算不能","計算不能",IF(O1003&gt;=80,5,IF(O1003&gt;=60,4,IF(O1003&gt;=40,3,IF(O1003&gt;=28,2,1)))))</f>
        <v/>
      </c>
      <c r="Q1003" t="n">
        <v>13988</v>
      </c>
      <c r="R1003" t="n">
        <v>2420</v>
      </c>
      <c r="S1003" s="27">
        <f>R1003/Q1003</f>
        <v/>
      </c>
      <c r="T1003" t="inlineStr">
        <is>
          <t>江南市は2045年までに人口が約13.1%減と緩やかな減少局面。若年層の都市部流出と高齢化が進むが、当面の賃貸稼働は一定程度維持される見通し。</t>
        </is>
      </c>
      <c r="U1003" t="inlineStr">
        <is>
          <t>江南市は人口密度3,117人/km²の都市部で、駅周辺や生活利便施設沿いに安定した賃貸需要がある。適切な家賃設定で高稼働を期待できる。 借家の空室率は約17%と需給は比較的引き締まっている。</t>
        </is>
      </c>
      <c r="V1003" t="inlineStr">
        <is>
          <t>江南市（愛知県）：木曽三川下流の海抜ゼロメートル地帯と高潮・津波、庄内川の氾濫、臨海部の液状化に注意。</t>
        </is>
      </c>
    </row>
    <row r="1004">
      <c r="A1004" t="inlineStr">
        <is>
          <t>愛知県</t>
        </is>
      </c>
      <c r="B1004" t="inlineStr">
        <is>
          <t>小牧市</t>
        </is>
      </c>
      <c r="C1004" t="n">
        <v>62180</v>
      </c>
      <c r="D1004" t="n">
        <v>148071</v>
      </c>
      <c r="E1004" s="6" t="n">
        <v>2295.5</v>
      </c>
      <c r="F1004" s="7" t="n">
        <v>73</v>
      </c>
      <c r="G1004" t="n">
        <v>148831</v>
      </c>
      <c r="H1004" t="n">
        <v>148071</v>
      </c>
      <c r="I1004" t="n">
        <v>144068</v>
      </c>
      <c r="J1004" t="n">
        <v>129486</v>
      </c>
      <c r="K1004" s="27">
        <f>(H1004/D1004-1)</f>
        <v/>
      </c>
      <c r="L1004" s="27">
        <f>(I1004/D1004-1)</f>
        <v/>
      </c>
      <c r="M1004" s="27">
        <f>(J1004/D1004-1)</f>
        <v/>
      </c>
      <c r="N1004" t="n">
        <v>65.90000000000001</v>
      </c>
      <c r="O1004" s="28">
        <f>(N1004+F1004)/2</f>
        <v/>
      </c>
      <c r="P1004">
        <f>IF(O1004="計算不能","計算不能",IF(O1004&gt;=80,5,IF(O1004&gt;=60,4,IF(O1004&gt;=40,3,IF(O1004&gt;=28,2,1)))))</f>
        <v/>
      </c>
      <c r="Q1004" t="n">
        <v>22348</v>
      </c>
      <c r="R1004" t="n">
        <v>3940</v>
      </c>
      <c r="S1004" s="27">
        <f>R1004/Q1004</f>
        <v/>
      </c>
      <c r="T1004" t="inlineStr">
        <is>
          <t>小牧市は2045年までに人口が約12.6%減と緩やかな減少局面。若年層の都市部流出と高齢化が進むが、当面の賃貸稼働は一定程度維持される見通し。</t>
        </is>
      </c>
      <c r="U1004" t="inlineStr">
        <is>
          <t>小牧市は人口密度2,296人/km²の都市部で、駅周辺や生活利便施設沿いに安定した賃貸需要がある。適切な家賃設定で高稼働を期待できる。 借家の空室率は約18%と需給は比較的引き締まっている。</t>
        </is>
      </c>
      <c r="V1004" t="inlineStr">
        <is>
          <t>小牧市（愛知県）：木曽三川下流の海抜ゼロメートル地帯と高潮・津波、庄内川の氾濫、臨海部の液状化に注意。</t>
        </is>
      </c>
    </row>
    <row r="1005">
      <c r="A1005" t="inlineStr">
        <is>
          <t>愛知県</t>
        </is>
      </c>
      <c r="B1005" t="inlineStr">
        <is>
          <t>稲沢市</t>
        </is>
      </c>
      <c r="C1005" t="n">
        <v>51220</v>
      </c>
      <c r="D1005" t="n">
        <v>129054</v>
      </c>
      <c r="E1005" s="6" t="n">
        <v>1636.9</v>
      </c>
      <c r="F1005" s="7" t="n">
        <v>66.40000000000001</v>
      </c>
      <c r="G1005" t="n">
        <v>134751</v>
      </c>
      <c r="H1005" t="n">
        <v>129054</v>
      </c>
      <c r="I1005" t="n">
        <v>125107</v>
      </c>
      <c r="J1005" t="n">
        <v>111685</v>
      </c>
      <c r="K1005" s="27">
        <f>(H1005/D1005-1)</f>
        <v/>
      </c>
      <c r="L1005" s="27">
        <f>(I1005/D1005-1)</f>
        <v/>
      </c>
      <c r="M1005" s="27">
        <f>(J1005/D1005-1)</f>
        <v/>
      </c>
      <c r="N1005" t="n">
        <v>58</v>
      </c>
      <c r="O1005" s="28">
        <f>(N1005+F1005)/2</f>
        <v/>
      </c>
      <c r="P1005">
        <f>IF(O1005="計算不能","計算不能",IF(O1005&gt;=80,5,IF(O1005&gt;=60,4,IF(O1005&gt;=40,3,IF(O1005&gt;=28,2,1)))))</f>
        <v/>
      </c>
      <c r="Q1005" t="n">
        <v>18409</v>
      </c>
      <c r="R1005" t="n">
        <v>2850</v>
      </c>
      <c r="S1005" s="27">
        <f>R1005/Q1005</f>
        <v/>
      </c>
      <c r="T1005" t="inlineStr">
        <is>
          <t>稲沢市は2045年までに人口が約13.5%減と緩やかな減少局面。若年層の都市部流出と高齢化が進むが、当面の賃貸稼働は一定程度維持される見通し。</t>
        </is>
      </c>
      <c r="U1005" t="inlineStr">
        <is>
          <t>稲沢市は人口密度1,637人/km²の都市部で、駅周辺や生活利便施設沿いに安定した賃貸需要がある。適切な家賃設定で高稼働を期待できる。 借家の空室率は約15%と需給は比較的引き締まっている。</t>
        </is>
      </c>
      <c r="V1005" t="inlineStr">
        <is>
          <t>稲沢市（愛知県）：木曽三川下流の海抜ゼロメートル地帯と高潮・津波、庄内川の氾濫、臨海部の液状化に注意。</t>
        </is>
      </c>
    </row>
    <row r="1006">
      <c r="A1006" t="inlineStr">
        <is>
          <t>愛知県</t>
        </is>
      </c>
      <c r="B1006" t="inlineStr">
        <is>
          <t>新城市</t>
        </is>
      </c>
      <c r="C1006" t="n">
        <v>16190</v>
      </c>
      <c r="D1006" t="n">
        <v>40530</v>
      </c>
      <c r="E1006" s="6" t="n">
        <v>81.5</v>
      </c>
      <c r="F1006" s="7" t="n">
        <v>18.1</v>
      </c>
      <c r="G1006" t="n">
        <v>44355</v>
      </c>
      <c r="H1006" t="n">
        <v>40530</v>
      </c>
      <c r="I1006" t="n">
        <v>37412</v>
      </c>
      <c r="J1006" t="n">
        <v>28433</v>
      </c>
      <c r="K1006" s="27">
        <f>(H1006/D1006-1)</f>
        <v/>
      </c>
      <c r="L1006" s="27">
        <f>(I1006/D1006-1)</f>
        <v/>
      </c>
      <c r="M1006" s="27">
        <f>(J1006/D1006-1)</f>
        <v/>
      </c>
      <c r="N1006" t="n">
        <v>42.1</v>
      </c>
      <c r="O1006" s="28">
        <f>(N1006+F1006)/2</f>
        <v/>
      </c>
      <c r="P1006">
        <f>IF(O1006="計算不能","計算不能",IF(O1006&gt;=80,5,IF(O1006&gt;=60,4,IF(O1006&gt;=40,3,IF(O1006&gt;=28,2,1)))))</f>
        <v/>
      </c>
      <c r="Q1006" t="n">
        <v>5818</v>
      </c>
      <c r="R1006" t="n">
        <v>1680</v>
      </c>
      <c r="S1006" s="27">
        <f>R1006/Q1006</f>
        <v/>
      </c>
      <c r="T1006" t="inlineStr">
        <is>
          <t>新城市は2045年までに人口が約29.8%減と明確な減少トレンド。高齢化の進行と世帯数の縮小により、中長期では賃貸需要の構造的縮小に警戒が必要。</t>
        </is>
      </c>
      <c r="U1006" t="inlineStr">
        <is>
          <t>新城市は人口密度82人/km²と過疎的水準で、民間賃貸の新規需要は薄い。実需に裏付けられた格安戸建ての指値取得のみが現実的。 借家の空室率は約29%と供給過多気味で、空室長期化リスクに要警戒。</t>
        </is>
      </c>
      <c r="V1006" t="inlineStr">
        <is>
          <t>新城市（愛知県）：木曽三川下流の海抜ゼロメートル地帯と高潮・津波、庄内川の氾濫、臨海部の液状化に注意。</t>
        </is>
      </c>
    </row>
    <row r="1007">
      <c r="A1007" t="inlineStr">
        <is>
          <t>愛知県</t>
        </is>
      </c>
      <c r="B1007" t="inlineStr">
        <is>
          <t>東海市</t>
        </is>
      </c>
      <c r="C1007" t="n">
        <v>46950</v>
      </c>
      <c r="D1007" t="n">
        <v>114369</v>
      </c>
      <c r="E1007" s="6" t="n">
        <v>2590.7</v>
      </c>
      <c r="F1007" s="7" t="n">
        <v>75.90000000000001</v>
      </c>
      <c r="G1007" t="n">
        <v>113787</v>
      </c>
      <c r="H1007" t="n">
        <v>114369</v>
      </c>
      <c r="I1007" t="n">
        <v>113702</v>
      </c>
      <c r="J1007" t="n">
        <v>108945</v>
      </c>
      <c r="K1007" s="27">
        <f>(H1007/D1007-1)</f>
        <v/>
      </c>
      <c r="L1007" s="27">
        <f>(I1007/D1007-1)</f>
        <v/>
      </c>
      <c r="M1007" s="27">
        <f>(J1007/D1007-1)</f>
        <v/>
      </c>
      <c r="N1007" t="n">
        <v>73.2</v>
      </c>
      <c r="O1007" s="28">
        <f>(N1007+F1007)/2</f>
        <v/>
      </c>
      <c r="P1007">
        <f>IF(O1007="計算不能","計算不能",IF(O1007&gt;=80,5,IF(O1007&gt;=60,4,IF(O1007&gt;=40,3,IF(O1007&gt;=28,2,1)))))</f>
        <v/>
      </c>
      <c r="Q1007" t="n">
        <v>16874</v>
      </c>
      <c r="R1007" t="n">
        <v>2440</v>
      </c>
      <c r="S1007" s="27">
        <f>R1007/Q1007</f>
        <v/>
      </c>
      <c r="T1007" t="inlineStr">
        <is>
          <t>東海市は2045年までの人口減少率が約4.7%と全国平均より緩やかで、概ね横ばいの安定推移。生産年齢人口の維持により、賃貸需要の急減リスクは相対的に低い。</t>
        </is>
      </c>
      <c r="U1007" t="inlineStr">
        <is>
          <t>東海市は人口密度2,591人/km²の都市部で、駅周辺や生活利便施設沿いに安定した賃貸需要がある。適切な家賃設定で高稼働を期待できる。 借家の空室率は約14%と需給は比較的引き締まっている。</t>
        </is>
      </c>
      <c r="V1007" t="inlineStr">
        <is>
          <t>東海市（愛知県）：木曽三川下流の海抜ゼロメートル地帯と高潮・津波、庄内川の氾濫、臨海部の液状化に注意。</t>
        </is>
      </c>
    </row>
    <row r="1008">
      <c r="A1008" t="inlineStr">
        <is>
          <t>愛知県</t>
        </is>
      </c>
      <c r="B1008" t="inlineStr">
        <is>
          <t>大府市</t>
        </is>
      </c>
      <c r="C1008" t="n">
        <v>36150</v>
      </c>
      <c r="D1008" t="n">
        <v>95114</v>
      </c>
      <c r="E1008" s="6" t="n">
        <v>2746.8</v>
      </c>
      <c r="F1008" s="7" t="n">
        <v>77.5</v>
      </c>
      <c r="G1008" t="n">
        <v>93123</v>
      </c>
      <c r="H1008" t="n">
        <v>95114</v>
      </c>
      <c r="I1008" t="n">
        <v>95895</v>
      </c>
      <c r="J1008" t="n">
        <v>95167</v>
      </c>
      <c r="K1008" s="27">
        <f>(H1008/D1008-1)</f>
        <v/>
      </c>
      <c r="L1008" s="27">
        <f>(I1008/D1008-1)</f>
        <v/>
      </c>
      <c r="M1008" s="27">
        <f>(J1008/D1008-1)</f>
        <v/>
      </c>
      <c r="N1008" t="n">
        <v>79.90000000000001</v>
      </c>
      <c r="O1008" s="28">
        <f>(N1008+F1008)/2</f>
        <v/>
      </c>
      <c r="P1008">
        <f>IF(O1008="計算不能","計算不能",IF(O1008&gt;=80,5,IF(O1008&gt;=60,4,IF(O1008&gt;=40,3,IF(O1008&gt;=28,2,1)))))</f>
        <v/>
      </c>
      <c r="Q1008" t="n">
        <v>12992</v>
      </c>
      <c r="R1008" t="n">
        <v>2490</v>
      </c>
      <c r="S1008" s="27">
        <f>R1008/Q1008</f>
        <v/>
      </c>
      <c r="T1008" t="inlineStr">
        <is>
          <t>大府市は2045年までの人口減少率が約0.1%と全国平均より緩やかで、概ね横ばいの安定推移。生産年齢人口の維持により、賃貸需要の急減リスクは相対的に低い。</t>
        </is>
      </c>
      <c r="U1008" t="inlineStr">
        <is>
          <t>大府市は人口密度2,747人/km²の都市部で、駅周辺や生活利便施設沿いに安定した賃貸需要がある。適切な家賃設定で高稼働を期待できる。 借家の空室率は約19%とやや高めで、競合との差別化が必要。</t>
        </is>
      </c>
      <c r="V1008" t="inlineStr">
        <is>
          <t>大府市（愛知県）：木曽三川下流の海抜ゼロメートル地帯と高潮・津波、庄内川の氾濫、臨海部の液状化に注意。</t>
        </is>
      </c>
    </row>
    <row r="1009">
      <c r="A1009" t="inlineStr">
        <is>
          <t>愛知県</t>
        </is>
      </c>
      <c r="B1009" t="inlineStr">
        <is>
          <t>知多市</t>
        </is>
      </c>
      <c r="C1009" t="n">
        <v>35390</v>
      </c>
      <c r="D1009" t="n">
        <v>81132</v>
      </c>
      <c r="E1009" s="6" t="n">
        <v>1788.6</v>
      </c>
      <c r="F1009" s="7" t="n">
        <v>67.90000000000001</v>
      </c>
      <c r="G1009" t="n">
        <v>84364</v>
      </c>
      <c r="H1009" t="n">
        <v>81132</v>
      </c>
      <c r="I1009" t="n">
        <v>79129</v>
      </c>
      <c r="J1009" t="n">
        <v>71641</v>
      </c>
      <c r="K1009" s="27">
        <f>(H1009/D1009-1)</f>
        <v/>
      </c>
      <c r="L1009" s="27">
        <f>(I1009/D1009-1)</f>
        <v/>
      </c>
      <c r="M1009" s="27">
        <f>(J1009/D1009-1)</f>
        <v/>
      </c>
      <c r="N1009" t="n">
        <v>60.1</v>
      </c>
      <c r="O1009" s="28">
        <f>(N1009+F1009)/2</f>
        <v/>
      </c>
      <c r="P1009">
        <f>IF(O1009="計算不能","計算不能",IF(O1009&gt;=80,5,IF(O1009&gt;=60,4,IF(O1009&gt;=40,3,IF(O1009&gt;=28,2,1)))))</f>
        <v/>
      </c>
      <c r="Q1009" t="n">
        <v>12719</v>
      </c>
      <c r="R1009" t="n">
        <v>1460</v>
      </c>
      <c r="S1009" s="27">
        <f>R1009/Q1009</f>
        <v/>
      </c>
      <c r="T1009" t="inlineStr">
        <is>
          <t>知多市は2045年までに人口が約11.7%減と緩やかな減少局面。若年層の都市部流出と高齢化が進むが、当面の賃貸稼働は一定程度維持される見通し。</t>
        </is>
      </c>
      <c r="U1009" t="inlineStr">
        <is>
          <t>知多市は人口密度1,789人/km²の都市部で、駅周辺や生活利便施設沿いに安定した賃貸需要がある。適切な家賃設定で高稼働を期待できる。 借家の空室率は約11%と需給は比較的引き締まっている。</t>
        </is>
      </c>
      <c r="V1009" t="inlineStr">
        <is>
          <t>知多市（愛知県）：木曽三川下流の海抜ゼロメートル地帯と高潮・津波、庄内川の氾濫、臨海部の液状化に注意。</t>
        </is>
      </c>
    </row>
    <row r="1010">
      <c r="A1010" t="inlineStr">
        <is>
          <t>愛知県</t>
        </is>
      </c>
      <c r="B1010" t="inlineStr">
        <is>
          <t>知立市</t>
        </is>
      </c>
      <c r="C1010" t="n">
        <v>31430</v>
      </c>
      <c r="D1010" t="n">
        <v>72595</v>
      </c>
      <c r="E1010" s="6" t="n">
        <v>4449.3</v>
      </c>
      <c r="F1010" s="7" t="n">
        <v>80</v>
      </c>
      <c r="G1010" t="n">
        <v>72193</v>
      </c>
      <c r="H1010" t="n">
        <v>72595</v>
      </c>
      <c r="I1010" t="n">
        <v>72273</v>
      </c>
      <c r="J1010" t="n">
        <v>69296</v>
      </c>
      <c r="K1010" s="27">
        <f>(H1010/D1010-1)</f>
        <v/>
      </c>
      <c r="L1010" s="27">
        <f>(I1010/D1010-1)</f>
        <v/>
      </c>
      <c r="M1010" s="27">
        <f>(J1010/D1010-1)</f>
        <v/>
      </c>
      <c r="N1010" t="n">
        <v>73.5</v>
      </c>
      <c r="O1010" s="28">
        <f>(N1010+F1010)/2</f>
        <v/>
      </c>
      <c r="P1010">
        <f>IF(O1010="計算不能","計算不能",IF(O1010&gt;=80,5,IF(O1010&gt;=60,4,IF(O1010&gt;=40,3,IF(O1010&gt;=28,2,1)))))</f>
        <v/>
      </c>
      <c r="Q1010" t="n">
        <v>11296</v>
      </c>
      <c r="R1010" t="n">
        <v>1660</v>
      </c>
      <c r="S1010" s="27">
        <f>R1010/Q1010</f>
        <v/>
      </c>
      <c r="T1010" t="inlineStr">
        <is>
          <t>知立市は2045年までの人口減少率が約4.5%と全国平均より緩やかで、概ね横ばいの安定推移。生産年齢人口の維持により、賃貸需要の急減リスクは相対的に低い。</t>
        </is>
      </c>
      <c r="U1010" t="inlineStr">
        <is>
          <t>知立市は人口密度4,449人/km²の都市部で、駅周辺や生活利便施設沿いに安定した賃貸需要がある。適切な家賃設定で高稼働を期待できる。 借家の空室率は約15%と需給は比較的引き締まっている。</t>
        </is>
      </c>
      <c r="V1010" t="inlineStr">
        <is>
          <t>知立市（愛知県）：木曽三川下流の海抜ゼロメートル地帯と高潮・津波、庄内川の氾濫、臨海部の液状化に注意。</t>
        </is>
      </c>
    </row>
    <row r="1011">
      <c r="A1011" t="inlineStr">
        <is>
          <t>愛知県</t>
        </is>
      </c>
      <c r="B1011" t="inlineStr">
        <is>
          <t>尾張旭市</t>
        </is>
      </c>
      <c r="C1011" t="n">
        <v>34010</v>
      </c>
      <c r="D1011" t="n">
        <v>82779</v>
      </c>
      <c r="E1011" s="6" t="n">
        <v>3921.5</v>
      </c>
      <c r="F1011" s="7" t="n">
        <v>80</v>
      </c>
      <c r="G1011" t="n">
        <v>83144</v>
      </c>
      <c r="H1011" t="n">
        <v>82779</v>
      </c>
      <c r="I1011" t="n">
        <v>81834</v>
      </c>
      <c r="J1011" t="n">
        <v>76945</v>
      </c>
      <c r="K1011" s="27">
        <f>(H1011/D1011-1)</f>
        <v/>
      </c>
      <c r="L1011" s="27">
        <f>(I1011/D1011-1)</f>
        <v/>
      </c>
      <c r="M1011" s="27">
        <f>(J1011/D1011-1)</f>
        <v/>
      </c>
      <c r="N1011" t="n">
        <v>69.8</v>
      </c>
      <c r="O1011" s="28">
        <f>(N1011+F1011)/2</f>
        <v/>
      </c>
      <c r="P1011">
        <f>IF(O1011="計算不能","計算不能",IF(O1011&gt;=80,5,IF(O1011&gt;=60,4,IF(O1011&gt;=40,3,IF(O1011&gt;=28,2,1)))))</f>
        <v/>
      </c>
      <c r="Q1011" t="n">
        <v>12223</v>
      </c>
      <c r="R1011" t="n">
        <v>1440</v>
      </c>
      <c r="S1011" s="27">
        <f>R1011/Q1011</f>
        <v/>
      </c>
      <c r="T1011" t="inlineStr">
        <is>
          <t>尾張旭市は2045年までに人口が約7.0%減と緩やかな減少局面。若年層の都市部流出と高齢化が進むが、当面の賃貸稼働は一定程度維持される見通し。</t>
        </is>
      </c>
      <c r="U1011" t="inlineStr">
        <is>
          <t>尾張旭市は人口密度3,922人/km²の都市部で、駅周辺や生活利便施設沿いに安定した賃貸需要がある。適切な家賃設定で高稼働を期待できる。 借家の空室率は約12%と需給は比較的引き締まっている。</t>
        </is>
      </c>
      <c r="V1011" t="inlineStr">
        <is>
          <t>尾張旭市（愛知県）：木曽三川下流の海抜ゼロメートル地帯と高潮・津波、庄内川の氾濫、臨海部の液状化に注意。</t>
        </is>
      </c>
    </row>
    <row r="1012">
      <c r="A1012" t="inlineStr">
        <is>
          <t>愛知県</t>
        </is>
      </c>
      <c r="B1012" t="inlineStr">
        <is>
          <t>高浜市</t>
        </is>
      </c>
      <c r="C1012" t="n">
        <v>18530</v>
      </c>
      <c r="D1012" t="n">
        <v>46682</v>
      </c>
      <c r="E1012" s="6" t="n">
        <v>3670.6</v>
      </c>
      <c r="F1012" s="7" t="n">
        <v>80</v>
      </c>
      <c r="G1012" t="n">
        <v>46106</v>
      </c>
      <c r="H1012" t="n">
        <v>46682</v>
      </c>
      <c r="I1012" t="n">
        <v>46975</v>
      </c>
      <c r="J1012" t="n">
        <v>46498</v>
      </c>
      <c r="K1012" s="27">
        <f>(H1012/D1012-1)</f>
        <v/>
      </c>
      <c r="L1012" s="27">
        <f>(I1012/D1012-1)</f>
        <v/>
      </c>
      <c r="M1012" s="27">
        <f>(J1012/D1012-1)</f>
        <v/>
      </c>
      <c r="N1012" t="n">
        <v>77.7</v>
      </c>
      <c r="O1012" s="28">
        <f>(N1012+F1012)/2</f>
        <v/>
      </c>
      <c r="P1012">
        <f>IF(O1012="計算不能","計算不能",IF(O1012&gt;=80,5,IF(O1012&gt;=60,4,IF(O1012&gt;=40,3,IF(O1012&gt;=28,2,1)))))</f>
        <v/>
      </c>
      <c r="Q1012" t="n">
        <v>6660</v>
      </c>
      <c r="R1012" t="n">
        <v>910</v>
      </c>
      <c r="S1012" s="27">
        <f>R1012/Q1012</f>
        <v/>
      </c>
      <c r="T1012" t="inlineStr">
        <is>
          <t>高浜市は2045年までの人口減少率が約0.4%と全国平均より緩やかで、概ね横ばいの安定推移。生産年齢人口の維持により、賃貸需要の急減リスクは相対的に低い。</t>
        </is>
      </c>
      <c r="U1012" t="inlineStr">
        <is>
          <t>高浜市は人口密度3,671人/km²の都市部で、駅周辺や生活利便施設沿いに安定した賃貸需要がある。適切な家賃設定で高稼働を期待できる。 借家の空室率は約14%と需給は比較的引き締まっている。</t>
        </is>
      </c>
      <c r="V1012" t="inlineStr">
        <is>
          <t>高浜市（愛知県）：木曽三川下流の海抜ゼロメートル地帯と高潮・津波、庄内川の氾濫、臨海部の液状化に注意。</t>
        </is>
      </c>
    </row>
    <row r="1013">
      <c r="A1013" t="inlineStr">
        <is>
          <t>愛知県</t>
        </is>
      </c>
      <c r="B1013" t="inlineStr">
        <is>
          <t>岩倉市</t>
        </is>
      </c>
      <c r="C1013" t="n">
        <v>21530</v>
      </c>
      <c r="D1013" t="n">
        <v>47197</v>
      </c>
      <c r="E1013" s="6" t="n">
        <v>4525.9</v>
      </c>
      <c r="F1013" s="7" t="n">
        <v>80</v>
      </c>
      <c r="G1013" t="n">
        <v>47983</v>
      </c>
      <c r="H1013" t="n">
        <v>47197</v>
      </c>
      <c r="I1013" t="n">
        <v>46026</v>
      </c>
      <c r="J1013" t="n">
        <v>42053</v>
      </c>
      <c r="K1013" s="27">
        <f>(H1013/D1013-1)</f>
        <v/>
      </c>
      <c r="L1013" s="27">
        <f>(I1013/D1013-1)</f>
        <v/>
      </c>
      <c r="M1013" s="27">
        <f>(J1013/D1013-1)</f>
        <v/>
      </c>
      <c r="N1013" t="n">
        <v>64.7</v>
      </c>
      <c r="O1013" s="28">
        <f>(N1013+F1013)/2</f>
        <v/>
      </c>
      <c r="P1013">
        <f>IF(O1013="計算不能","計算不能",IF(O1013&gt;=80,5,IF(O1013&gt;=60,4,IF(O1013&gt;=40,3,IF(O1013&gt;=28,2,1)))))</f>
        <v/>
      </c>
      <c r="Q1013" t="n">
        <v>7738</v>
      </c>
      <c r="R1013" t="n">
        <v>1450</v>
      </c>
      <c r="S1013" s="27">
        <f>R1013/Q1013</f>
        <v/>
      </c>
      <c r="T1013" t="inlineStr">
        <is>
          <t>岩倉市は2045年までに人口が約10.9%減と緩やかな減少局面。若年層の都市部流出と高齢化が進むが、当面の賃貸稼働は一定程度維持される見通し。</t>
        </is>
      </c>
      <c r="U1013" t="inlineStr">
        <is>
          <t>岩倉市は人口密度4,526人/km²の都市部で、駅周辺や生活利便施設沿いに安定した賃貸需要がある。適切な家賃設定で高稼働を期待できる。 借家の空室率は約19%とやや高めで、競合との差別化が必要。</t>
        </is>
      </c>
      <c r="V1013" t="inlineStr">
        <is>
          <t>岩倉市（愛知県）：木曽三川下流の海抜ゼロメートル地帯と高潮・津波、庄内川の氾濫、臨海部の液状化に注意。</t>
        </is>
      </c>
    </row>
    <row r="1014">
      <c r="A1014" t="inlineStr">
        <is>
          <t>愛知県</t>
        </is>
      </c>
      <c r="B1014" t="inlineStr">
        <is>
          <t>豊明市</t>
        </is>
      </c>
      <c r="C1014" t="n">
        <v>28820</v>
      </c>
      <c r="D1014" t="n">
        <v>68351</v>
      </c>
      <c r="E1014" s="6" t="n">
        <v>2945</v>
      </c>
      <c r="F1014" s="7" t="n">
        <v>79.5</v>
      </c>
      <c r="G1014" t="n">
        <v>69295</v>
      </c>
      <c r="H1014" t="n">
        <v>68351</v>
      </c>
      <c r="I1014" t="n">
        <v>66786</v>
      </c>
      <c r="J1014" t="n">
        <v>61652</v>
      </c>
      <c r="K1014" s="27">
        <f>(H1014/D1014-1)</f>
        <v/>
      </c>
      <c r="L1014" s="27">
        <f>(I1014/D1014-1)</f>
        <v/>
      </c>
      <c r="M1014" s="27">
        <f>(J1014/D1014-1)</f>
        <v/>
      </c>
      <c r="N1014" t="n">
        <v>65.90000000000001</v>
      </c>
      <c r="O1014" s="28">
        <f>(N1014+F1014)/2</f>
        <v/>
      </c>
      <c r="P1014">
        <f>IF(O1014="計算不能","計算不能",IF(O1014&gt;=80,5,IF(O1014&gt;=60,4,IF(O1014&gt;=40,3,IF(O1014&gt;=28,2,1)))))</f>
        <v/>
      </c>
      <c r="Q1014" t="n">
        <v>10358</v>
      </c>
      <c r="R1014" t="n">
        <v>1420</v>
      </c>
      <c r="S1014" s="27">
        <f>R1014/Q1014</f>
        <v/>
      </c>
      <c r="T1014" t="inlineStr">
        <is>
          <t>豊明市は2045年までに人口が約9.8%減と緩やかな減少局面。若年層の都市部流出と高齢化が進むが、当面の賃貸稼働は一定程度維持される見通し。</t>
        </is>
      </c>
      <c r="U1014" t="inlineStr">
        <is>
          <t>豊明市は人口密度2,945人/km²の都市部で、駅周辺や生活利便施設沿いに安定した賃貸需要がある。適切な家賃設定で高稼働を期待できる。 借家の空室率は約14%と需給は比較的引き締まっている。</t>
        </is>
      </c>
      <c r="V1014" t="inlineStr">
        <is>
          <t>豊明市（愛知県）：木曽三川下流の海抜ゼロメートル地帯と高潮・津波、庄内川の氾濫、臨海部の液状化に注意。</t>
        </is>
      </c>
    </row>
    <row r="1015">
      <c r="A1015" t="inlineStr">
        <is>
          <t>愛知県</t>
        </is>
      </c>
      <c r="B1015" t="inlineStr">
        <is>
          <t>日進市</t>
        </is>
      </c>
      <c r="C1015" t="n">
        <v>37300</v>
      </c>
      <c r="D1015" t="n">
        <v>93550</v>
      </c>
      <c r="E1015" s="6" t="n">
        <v>2713.8</v>
      </c>
      <c r="F1015" s="7" t="n">
        <v>77.09999999999999</v>
      </c>
      <c r="G1015" t="n">
        <v>91520</v>
      </c>
      <c r="H1015" t="n">
        <v>93550</v>
      </c>
      <c r="I1015" t="n">
        <v>94548</v>
      </c>
      <c r="J1015" t="n">
        <v>93444</v>
      </c>
      <c r="K1015" s="27">
        <f>(H1015/D1015-1)</f>
        <v/>
      </c>
      <c r="L1015" s="27">
        <f>(I1015/D1015-1)</f>
        <v/>
      </c>
      <c r="M1015" s="27">
        <f>(J1015/D1015-1)</f>
        <v/>
      </c>
      <c r="N1015" t="n">
        <v>80.09999999999999</v>
      </c>
      <c r="O1015" s="28">
        <f>(N1015+F1015)/2</f>
        <v/>
      </c>
      <c r="P1015">
        <f>IF(O1015="計算不能","計算不能",IF(O1015&gt;=80,5,IF(O1015&gt;=60,4,IF(O1015&gt;=40,3,IF(O1015&gt;=28,2,1)))))</f>
        <v/>
      </c>
      <c r="Q1015" t="n">
        <v>13406</v>
      </c>
      <c r="R1015" t="n">
        <v>2180</v>
      </c>
      <c r="S1015" s="27">
        <f>R1015/Q1015</f>
        <v/>
      </c>
      <c r="T1015" t="inlineStr">
        <is>
          <t>日進市は2045年までの人口減少率が約0.1%と全国平均より緩やかで、概ね横ばいの安定推移。生産年齢人口の維持により、賃貸需要の急減リスクは相対的に低い。</t>
        </is>
      </c>
      <c r="U1015" t="inlineStr">
        <is>
          <t>日進市は人口密度2,714人/km²の都市部で、駅周辺や生活利便施設沿いに安定した賃貸需要がある。適切な家賃設定で高稼働を期待できる。 借家の空室率は約16%と需給は比較的引き締まっている。</t>
        </is>
      </c>
      <c r="V1015" t="inlineStr">
        <is>
          <t>日進市（愛知県）：木曽三川下流の海抜ゼロメートル地帯と高潮・津波、庄内川の氾濫、臨海部の液状化に注意。</t>
        </is>
      </c>
    </row>
    <row r="1016">
      <c r="A1016" t="inlineStr">
        <is>
          <t>愛知県</t>
        </is>
      </c>
      <c r="B1016" t="inlineStr">
        <is>
          <t>田原市</t>
        </is>
      </c>
      <c r="C1016" t="n">
        <v>20560</v>
      </c>
      <c r="D1016" t="n">
        <v>56628</v>
      </c>
      <c r="E1016" s="6" t="n">
        <v>294.9</v>
      </c>
      <c r="F1016" s="7" t="n">
        <v>34.7</v>
      </c>
      <c r="G1016" t="n">
        <v>59360</v>
      </c>
      <c r="H1016" t="n">
        <v>56628</v>
      </c>
      <c r="I1016" t="n">
        <v>53674</v>
      </c>
      <c r="J1016" t="n">
        <v>44213</v>
      </c>
      <c r="K1016" s="27">
        <f>(H1016/D1016-1)</f>
        <v/>
      </c>
      <c r="L1016" s="27">
        <f>(I1016/D1016-1)</f>
        <v/>
      </c>
      <c r="M1016" s="27">
        <f>(J1016/D1016-1)</f>
        <v/>
      </c>
      <c r="N1016" t="n">
        <v>51.9</v>
      </c>
      <c r="O1016" s="28">
        <f>(N1016+F1016)/2</f>
        <v/>
      </c>
      <c r="P1016">
        <f>IF(O1016="計算不能","計算不能",IF(O1016&gt;=80,5,IF(O1016&gt;=60,4,IF(O1016&gt;=40,3,IF(O1016&gt;=28,2,1)))))</f>
        <v/>
      </c>
      <c r="Q1016" t="n">
        <v>7389</v>
      </c>
      <c r="R1016" t="n">
        <v>840</v>
      </c>
      <c r="S1016" s="27">
        <f>R1016/Q1016</f>
        <v/>
      </c>
      <c r="T1016" t="inlineStr">
        <is>
          <t>田原市は2045年までに人口が約21.9%減と明確な減少トレンド。高齢化の進行と世帯数の縮小により、中長期では賃貸需要の構造的縮小に警戒が必要。</t>
        </is>
      </c>
      <c r="U1016" t="inlineStr">
        <is>
          <t>田原市は人口密度295人/km²と低密度で、賃貸需要は限定的。持ち家比率が高く、駐車場完備の戸建て賃貸が有利。 借家の空室率は約11%と需給は比較的引き締まっている。</t>
        </is>
      </c>
      <c r="V1016" t="inlineStr">
        <is>
          <t>田原市（愛知県）：木曽三川下流の海抜ゼロメートル地帯と高潮・津波、庄内川の氾濫、臨海部の液状化に注意。</t>
        </is>
      </c>
    </row>
    <row r="1017">
      <c r="A1017" t="inlineStr">
        <is>
          <t>愛知県</t>
        </is>
      </c>
      <c r="B1017" t="inlineStr">
        <is>
          <t>愛西市</t>
        </is>
      </c>
      <c r="C1017" t="n">
        <v>21570</v>
      </c>
      <c r="D1017" t="n">
        <v>58015</v>
      </c>
      <c r="E1017" s="6" t="n">
        <v>866.9</v>
      </c>
      <c r="F1017" s="7" t="n">
        <v>52.3</v>
      </c>
      <c r="G1017" t="n">
        <v>60829</v>
      </c>
      <c r="H1017" t="n">
        <v>58015</v>
      </c>
      <c r="I1017" t="n">
        <v>54858</v>
      </c>
      <c r="J1017" t="n">
        <v>45341</v>
      </c>
      <c r="K1017" s="27">
        <f>(H1017/D1017-1)</f>
        <v/>
      </c>
      <c r="L1017" s="27">
        <f>(I1017/D1017-1)</f>
        <v/>
      </c>
      <c r="M1017" s="27">
        <f>(J1017/D1017-1)</f>
        <v/>
      </c>
      <c r="N1017" t="n">
        <v>51.7</v>
      </c>
      <c r="O1017" s="28">
        <f>(N1017+F1017)/2</f>
        <v/>
      </c>
      <c r="P1017">
        <f>IF(O1017="計算不能","計算不能",IF(O1017&gt;=80,5,IF(O1017&gt;=60,4,IF(O1017&gt;=40,3,IF(O1017&gt;=28,2,1)))))</f>
        <v/>
      </c>
      <c r="Q1017" t="n">
        <v>7752</v>
      </c>
      <c r="R1017" t="n">
        <v>660</v>
      </c>
      <c r="S1017" s="27">
        <f>R1017/Q1017</f>
        <v/>
      </c>
      <c r="T1017" t="inlineStr">
        <is>
          <t>愛西市は2045年までに人口が約21.8%減と明確な減少トレンド。高齢化の進行と世帯数の縮小により、中長期では賃貸需要の構造的縮小に警戒が必要。</t>
        </is>
      </c>
      <c r="U1017" t="inlineStr">
        <is>
          <t>愛西市は人口密度867人/km²で、主要道路沿いや中心市街地に一定の賃貸需要が局在。立地選別が稼働を左右する。 借家の空室率は約9%と需給は比較的引き締まっている。</t>
        </is>
      </c>
      <c r="V1017" t="inlineStr">
        <is>
          <t>愛西市（愛知県）：木曽三川下流の海抜ゼロメートル地帯と高潮・津波、庄内川の氾濫、臨海部の液状化に注意。</t>
        </is>
      </c>
    </row>
    <row r="1018">
      <c r="A1018" t="inlineStr">
        <is>
          <t>愛知県</t>
        </is>
      </c>
      <c r="B1018" t="inlineStr">
        <is>
          <t>清須市</t>
        </is>
      </c>
      <c r="C1018" t="n">
        <v>29160</v>
      </c>
      <c r="D1018" t="n">
        <v>67723</v>
      </c>
      <c r="E1018" s="6" t="n">
        <v>3929.6</v>
      </c>
      <c r="F1018" s="7" t="n">
        <v>80</v>
      </c>
      <c r="G1018" t="n">
        <v>67352</v>
      </c>
      <c r="H1018" t="n">
        <v>67723</v>
      </c>
      <c r="I1018" t="n">
        <v>67451</v>
      </c>
      <c r="J1018" t="n">
        <v>65029</v>
      </c>
      <c r="K1018" s="27">
        <f>(H1018/D1018-1)</f>
        <v/>
      </c>
      <c r="L1018" s="27">
        <f>(I1018/D1018-1)</f>
        <v/>
      </c>
      <c r="M1018" s="27">
        <f>(J1018/D1018-1)</f>
        <v/>
      </c>
      <c r="N1018" t="n">
        <v>73.8</v>
      </c>
      <c r="O1018" s="28">
        <f>(N1018+F1018)/2</f>
        <v/>
      </c>
      <c r="P1018">
        <f>IF(O1018="計算不能","計算不能",IF(O1018&gt;=80,5,IF(O1018&gt;=60,4,IF(O1018&gt;=40,3,IF(O1018&gt;=28,2,1)))))</f>
        <v/>
      </c>
      <c r="Q1018" t="n">
        <v>10480</v>
      </c>
      <c r="R1018" t="n">
        <v>2600</v>
      </c>
      <c r="S1018" s="27">
        <f>R1018/Q1018</f>
        <v/>
      </c>
      <c r="T1018" t="inlineStr">
        <is>
          <t>清須市は2045年までの人口減少率が約4.0%と全国平均より緩やかで、概ね横ばいの安定推移。生産年齢人口の維持により、賃貸需要の急減リスクは相対的に低い。</t>
        </is>
      </c>
      <c r="U1018" t="inlineStr">
        <is>
          <t>清須市は人口密度3,930人/km²の都市部で、駅周辺や生活利便施設沿いに安定した賃貸需要がある。適切な家賃設定で高稼働を期待できる。 借家の空室率は約25%とやや高めで、競合との差別化が必要。</t>
        </is>
      </c>
      <c r="V1018" t="inlineStr">
        <is>
          <t>清須市（愛知県）：木曽三川下流の海抜ゼロメートル地帯と高潮・津波、庄内川の氾濫、臨海部の液状化に注意。</t>
        </is>
      </c>
    </row>
    <row r="1019">
      <c r="A1019" t="inlineStr">
        <is>
          <t>愛知県</t>
        </is>
      </c>
      <c r="B1019" t="inlineStr">
        <is>
          <t>北名古屋市</t>
        </is>
      </c>
      <c r="C1019" t="n">
        <v>36310</v>
      </c>
      <c r="D1019" t="n">
        <v>87084</v>
      </c>
      <c r="E1019" s="6" t="n">
        <v>4664.5</v>
      </c>
      <c r="F1019" s="7" t="n">
        <v>80</v>
      </c>
      <c r="G1019" t="n">
        <v>86385</v>
      </c>
      <c r="H1019" t="n">
        <v>87084</v>
      </c>
      <c r="I1019" t="n">
        <v>86677</v>
      </c>
      <c r="J1019" t="n">
        <v>83452</v>
      </c>
      <c r="K1019" s="27">
        <f>(H1019/D1019-1)</f>
        <v/>
      </c>
      <c r="L1019" s="27">
        <f>(I1019/D1019-1)</f>
        <v/>
      </c>
      <c r="M1019" s="27">
        <f>(J1019/D1019-1)</f>
        <v/>
      </c>
      <c r="N1019" t="n">
        <v>74.2</v>
      </c>
      <c r="O1019" s="28">
        <f>(N1019+F1019)/2</f>
        <v/>
      </c>
      <c r="P1019">
        <f>IF(O1019="計算不能","計算不能",IF(O1019&gt;=80,5,IF(O1019&gt;=60,4,IF(O1019&gt;=40,3,IF(O1019&gt;=28,2,1)))))</f>
        <v/>
      </c>
      <c r="Q1019" t="n">
        <v>13050</v>
      </c>
      <c r="R1019" t="n">
        <v>2760</v>
      </c>
      <c r="S1019" s="27">
        <f>R1019/Q1019</f>
        <v/>
      </c>
      <c r="T1019" t="inlineStr">
        <is>
          <t>北名古屋市は2045年までの人口減少率が約4.2%と全国平均より緩やかで、概ね横ばいの安定推移。生産年齢人口の維持により、賃貸需要の急減リスクは相対的に低い。</t>
        </is>
      </c>
      <c r="U1019" t="inlineStr">
        <is>
          <t>北名古屋市は人口密度4,664人/km²の都市部で、駅周辺や生活利便施設沿いに安定した賃貸需要がある。適切な家賃設定で高稼働を期待できる。 借家の空室率は約21%とやや高めで、競合との差別化が必要。</t>
        </is>
      </c>
      <c r="V1019" t="inlineStr">
        <is>
          <t>北名古屋市（愛知県）：木曽三川下流の海抜ゼロメートル地帯と高潮・津波、庄内川の氾濫、臨海部の液状化に注意。</t>
        </is>
      </c>
    </row>
    <row r="1020">
      <c r="A1020" t="inlineStr">
        <is>
          <t>愛知県</t>
        </is>
      </c>
      <c r="B1020" t="inlineStr">
        <is>
          <t>弥富市</t>
        </is>
      </c>
      <c r="C1020" t="n">
        <v>16720</v>
      </c>
      <c r="D1020" t="n">
        <v>42251</v>
      </c>
      <c r="E1020" s="6" t="n">
        <v>857.4</v>
      </c>
      <c r="F1020" s="7" t="n">
        <v>52.1</v>
      </c>
      <c r="G1020" t="n">
        <v>43025</v>
      </c>
      <c r="H1020" t="n">
        <v>42251</v>
      </c>
      <c r="I1020" t="n">
        <v>41159</v>
      </c>
      <c r="J1020" t="n">
        <v>37109</v>
      </c>
      <c r="K1020" s="27">
        <f>(H1020/D1020-1)</f>
        <v/>
      </c>
      <c r="L1020" s="27">
        <f>(I1020/D1020-1)</f>
        <v/>
      </c>
      <c r="M1020" s="27">
        <f>(J1020/D1020-1)</f>
        <v/>
      </c>
      <c r="N1020" t="n">
        <v>63.6</v>
      </c>
      <c r="O1020" s="28">
        <f>(N1020+F1020)/2</f>
        <v/>
      </c>
      <c r="P1020">
        <f>IF(O1020="計算不能","計算不能",IF(O1020&gt;=80,5,IF(O1020&gt;=60,4,IF(O1020&gt;=40,3,IF(O1020&gt;=28,2,1)))))</f>
        <v/>
      </c>
      <c r="Q1020" t="n">
        <v>6009</v>
      </c>
      <c r="R1020" t="n">
        <v>850</v>
      </c>
      <c r="S1020" s="27">
        <f>R1020/Q1020</f>
        <v/>
      </c>
      <c r="T1020" t="inlineStr">
        <is>
          <t>弥富市は2045年までに人口が約12.2%減と緩やかな減少局面。若年層の都市部流出と高齢化が進むが、当面の賃貸稼働は一定程度維持される見通し。</t>
        </is>
      </c>
      <c r="U1020" t="inlineStr">
        <is>
          <t>弥富市は人口密度857人/km²で、主要道路沿いや中心市街地に一定の賃貸需要が局在。立地選別が稼働を左右する。 借家の空室率は約14%と需給は比較的引き締まっている。</t>
        </is>
      </c>
      <c r="V1020" t="inlineStr">
        <is>
          <t>弥富市（愛知県）：木曽三川下流の海抜ゼロメートル地帯と高潮・津波、庄内川の氾濫、臨海部の液状化に注意。</t>
        </is>
      </c>
    </row>
    <row r="1021">
      <c r="A1021" t="inlineStr">
        <is>
          <t>愛知県</t>
        </is>
      </c>
      <c r="B1021" t="inlineStr">
        <is>
          <t>みよし市</t>
        </is>
      </c>
      <c r="C1021" t="n">
        <v>24540</v>
      </c>
      <c r="D1021" t="n">
        <v>61961</v>
      </c>
      <c r="E1021" s="6" t="n">
        <v>1909</v>
      </c>
      <c r="F1021" s="7" t="n">
        <v>69.09999999999999</v>
      </c>
      <c r="G1021" t="n">
        <v>61952</v>
      </c>
      <c r="H1021" t="n">
        <v>61961</v>
      </c>
      <c r="I1021" t="n">
        <v>61282</v>
      </c>
      <c r="J1021" t="n">
        <v>58011</v>
      </c>
      <c r="K1021" s="27">
        <f>(H1021/D1021-1)</f>
        <v/>
      </c>
      <c r="L1021" s="27">
        <f>(I1021/D1021-1)</f>
        <v/>
      </c>
      <c r="M1021" s="27">
        <f>(J1021/D1021-1)</f>
        <v/>
      </c>
      <c r="N1021" t="n">
        <v>71.09999999999999</v>
      </c>
      <c r="O1021" s="28">
        <f>(N1021+F1021)/2</f>
        <v/>
      </c>
      <c r="P1021">
        <f>IF(O1021="計算不能","計算不能",IF(O1021&gt;=80,5,IF(O1021&gt;=60,4,IF(O1021&gt;=40,3,IF(O1021&gt;=28,2,1)))))</f>
        <v/>
      </c>
      <c r="Q1021" t="n">
        <v>8820</v>
      </c>
      <c r="R1021" t="n">
        <v>1570</v>
      </c>
      <c r="S1021" s="27">
        <f>R1021/Q1021</f>
        <v/>
      </c>
      <c r="T1021" t="inlineStr">
        <is>
          <t>みよし市は2045年までに人口が約6.4%減と緩やかな減少局面。若年層の都市部流出と高齢化が進むが、当面の賃貸稼働は一定程度維持される見通し。</t>
        </is>
      </c>
      <c r="U1021" t="inlineStr">
        <is>
          <t>みよし市は人口密度1,909人/km²の都市部で、駅周辺や生活利便施設沿いに安定した賃貸需要がある。適切な家賃設定で高稼働を期待できる。 借家の空室率は約18%と需給は比較的引き締まっている。</t>
        </is>
      </c>
      <c r="V1021" t="inlineStr">
        <is>
          <t>みよし市（愛知県）：木曽三川下流の海抜ゼロメートル地帯と高潮・津波、庄内川の氾濫、臨海部の液状化に注意。</t>
        </is>
      </c>
    </row>
    <row r="1022">
      <c r="A1022" t="inlineStr">
        <is>
          <t>愛知県</t>
        </is>
      </c>
      <c r="B1022" t="inlineStr">
        <is>
          <t>あま市</t>
        </is>
      </c>
      <c r="C1022" t="n">
        <v>34550</v>
      </c>
      <c r="D1022" t="n">
        <v>84623</v>
      </c>
      <c r="E1022" s="6" t="n">
        <v>3148.5</v>
      </c>
      <c r="F1022" s="7" t="n">
        <v>80</v>
      </c>
      <c r="G1022" t="n">
        <v>86126</v>
      </c>
      <c r="H1022" t="n">
        <v>84623</v>
      </c>
      <c r="I1022" t="n">
        <v>82343</v>
      </c>
      <c r="J1022" t="n">
        <v>75061</v>
      </c>
      <c r="K1022" s="27">
        <f>(H1022/D1022-1)</f>
        <v/>
      </c>
      <c r="L1022" s="27">
        <f>(I1022/D1022-1)</f>
        <v/>
      </c>
      <c r="M1022" s="27">
        <f>(J1022/D1022-1)</f>
        <v/>
      </c>
      <c r="N1022" t="n">
        <v>64.09999999999999</v>
      </c>
      <c r="O1022" s="28">
        <f>(N1022+F1022)/2</f>
        <v/>
      </c>
      <c r="P1022">
        <f>IF(O1022="計算不能","計算不能",IF(O1022&gt;=80,5,IF(O1022&gt;=60,4,IF(O1022&gt;=40,3,IF(O1022&gt;=28,2,1)))))</f>
        <v/>
      </c>
      <c r="Q1022" t="n">
        <v>12417</v>
      </c>
      <c r="R1022" t="n">
        <v>1380</v>
      </c>
      <c r="S1022" s="27">
        <f>R1022/Q1022</f>
        <v/>
      </c>
      <c r="T1022" t="inlineStr">
        <is>
          <t>あま市は2045年までに人口が約11.3%減と緩やかな減少局面。若年層の都市部流出と高齢化が進むが、当面の賃貸稼働は一定程度維持される見通し。</t>
        </is>
      </c>
      <c r="U1022" t="inlineStr">
        <is>
          <t>あま市は人口密度3,148人/km²の都市部で、駅周辺や生活利便施設沿いに安定した賃貸需要がある。適切な家賃設定で高稼働を期待できる。 借家の空室率は約11%と需給は比較的引き締まっている。</t>
        </is>
      </c>
      <c r="V1022" t="inlineStr">
        <is>
          <t>あま市（愛知県）：木曽三川下流の海抜ゼロメートル地帯と高潮・津波、庄内川の氾濫、臨海部の液状化に注意。</t>
        </is>
      </c>
    </row>
    <row r="1023">
      <c r="A1023" t="inlineStr">
        <is>
          <t>愛知県</t>
        </is>
      </c>
      <c r="B1023" t="inlineStr">
        <is>
          <t>長久手市</t>
        </is>
      </c>
      <c r="C1023" t="n">
        <v>26650</v>
      </c>
      <c r="D1023" t="n">
        <v>62845</v>
      </c>
      <c r="E1023" s="6" t="n">
        <v>2941.3</v>
      </c>
      <c r="F1023" s="7" t="n">
        <v>79.40000000000001</v>
      </c>
      <c r="G1023" t="n">
        <v>60162</v>
      </c>
      <c r="H1023" t="n">
        <v>62845</v>
      </c>
      <c r="I1023" t="n">
        <v>64419</v>
      </c>
      <c r="J1023" t="n">
        <v>65235</v>
      </c>
      <c r="K1023" s="27">
        <f>(H1023/D1023-1)</f>
        <v/>
      </c>
      <c r="L1023" s="27">
        <f>(I1023/D1023-1)</f>
        <v/>
      </c>
      <c r="M1023" s="27">
        <f>(J1023/D1023-1)</f>
        <v/>
      </c>
      <c r="N1023" t="n">
        <v>87.7</v>
      </c>
      <c r="O1023" s="28">
        <f>(N1023+F1023)/2</f>
        <v/>
      </c>
      <c r="P1023">
        <f>IF(O1023="計算不能","計算不能",IF(O1023&gt;=80,5,IF(O1023&gt;=60,4,IF(O1023&gt;=40,3,IF(O1023&gt;=28,2,1)))))</f>
        <v/>
      </c>
      <c r="Q1023" t="n">
        <v>9578</v>
      </c>
      <c r="R1023" t="n">
        <v>2400</v>
      </c>
      <c r="S1023" s="27">
        <f>R1023/Q1023</f>
        <v/>
      </c>
      <c r="T1023" t="inlineStr">
        <is>
          <t>長久手市は2025年から2045年にかけて人口が約3.8%増と全国的にも希少な人口増トレンド。都市機能の集積と職住近接需要を背景に、単身・若年ファミリー層の流入が継続し、賃貸母数の拡大が見込める。</t>
        </is>
      </c>
      <c r="U1023" t="inlineStr">
        <is>
          <t>長久手市は人口密度2,941人/km²の都市部で、駅周辺や生活利便施設沿いに安定した賃貸需要がある。適切な家賃設定で高稼働を期待できる。 借家の空室率は約25%と供給過多気味で、空室長期化リスクに要警戒。</t>
        </is>
      </c>
      <c r="V1023" t="inlineStr">
        <is>
          <t>長久手市（愛知県）：木曽三川下流の海抜ゼロメートル地帯と高潮・津波、庄内川の氾濫、臨海部の液状化に注意。</t>
        </is>
      </c>
    </row>
    <row r="1024">
      <c r="A1024" t="inlineStr">
        <is>
          <t>愛知県</t>
        </is>
      </c>
      <c r="B1024" t="inlineStr">
        <is>
          <t>東郷町</t>
        </is>
      </c>
      <c r="C1024" t="n">
        <v>17330</v>
      </c>
      <c r="D1024" t="n">
        <v>44136</v>
      </c>
      <c r="E1024" s="6" t="n">
        <v>2434.3</v>
      </c>
      <c r="F1024" s="7" t="n">
        <v>74.3</v>
      </c>
      <c r="G1024" t="n">
        <v>43903</v>
      </c>
      <c r="H1024" t="n">
        <v>44136</v>
      </c>
      <c r="I1024" t="n">
        <v>43811</v>
      </c>
      <c r="J1024" t="n">
        <v>41922</v>
      </c>
      <c r="K1024" s="27">
        <f>(H1024/D1024-1)</f>
        <v/>
      </c>
      <c r="L1024" s="27">
        <f>(I1024/D1024-1)</f>
        <v/>
      </c>
      <c r="M1024" s="27">
        <f>(J1024/D1024-1)</f>
        <v/>
      </c>
      <c r="N1024" t="n">
        <v>73</v>
      </c>
      <c r="O1024" s="28">
        <f>(N1024+F1024)/2</f>
        <v/>
      </c>
      <c r="P1024">
        <f>IF(O1024="計算不能","計算不能",IF(O1024&gt;=80,5,IF(O1024&gt;=60,4,IF(O1024&gt;=40,3,IF(O1024&gt;=28,2,1)))))</f>
        <v/>
      </c>
      <c r="Q1024" t="n">
        <v>6228</v>
      </c>
      <c r="R1024" t="n">
        <v>440</v>
      </c>
      <c r="S1024" s="27">
        <f>R1024/Q1024</f>
        <v/>
      </c>
      <c r="T1024" t="inlineStr">
        <is>
          <t>東郷町は2045年までに人口が約5.0%減と緩やかな減少局面。若年層の都市部流出と高齢化が進むが、当面の賃貸稼働は一定程度維持される見通し。</t>
        </is>
      </c>
      <c r="U1024" t="inlineStr">
        <is>
          <t>東郷町は人口密度2,434人/km²の都市部で、駅周辺や生活利便施設沿いに安定した賃貸需要がある。適切な家賃設定で高稼働を期待できる。 借家の空室率は約7%と需給は比較的引き締まっている。</t>
        </is>
      </c>
      <c r="V1024" t="inlineStr">
        <is>
          <t>東郷町（愛知県）：木曽三川下流の海抜ゼロメートル地帯と高潮・津波、庄内川の氾濫、臨海部の液状化に注意。</t>
        </is>
      </c>
    </row>
    <row r="1025">
      <c r="A1025" t="inlineStr">
        <is>
          <t>愛知県</t>
        </is>
      </c>
      <c r="B1025" t="inlineStr">
        <is>
          <t>豊山町</t>
        </is>
      </c>
      <c r="C1025" t="n">
        <v>6620</v>
      </c>
      <c r="D1025" t="n">
        <v>15912</v>
      </c>
      <c r="E1025" s="6" t="n">
        <v>2552.6</v>
      </c>
      <c r="F1025" s="7" t="n">
        <v>75.5</v>
      </c>
      <c r="G1025" t="n">
        <v>15613</v>
      </c>
      <c r="H1025" t="n">
        <v>15912</v>
      </c>
      <c r="I1025" t="n">
        <v>16018</v>
      </c>
      <c r="J1025" t="n">
        <v>15623</v>
      </c>
      <c r="K1025" s="27">
        <f>(H1025/D1025-1)</f>
        <v/>
      </c>
      <c r="L1025" s="27">
        <f>(I1025/D1025-1)</f>
        <v/>
      </c>
      <c r="M1025" s="27">
        <f>(J1025/D1025-1)</f>
        <v/>
      </c>
      <c r="N1025" t="n">
        <v>78.40000000000001</v>
      </c>
      <c r="O1025" s="28">
        <f>(N1025+F1025)/2</f>
        <v/>
      </c>
      <c r="P1025">
        <f>IF(O1025="計算不能","計算不能",IF(O1025&gt;=80,5,IF(O1025&gt;=60,4,IF(O1025&gt;=40,3,IF(O1025&gt;=28,2,1)))))</f>
        <v/>
      </c>
      <c r="Q1025" t="n">
        <v>2379</v>
      </c>
      <c r="R1025" t="n">
        <v>890</v>
      </c>
      <c r="S1025" s="27">
        <f>R1025/Q1025</f>
        <v/>
      </c>
      <c r="T1025" t="inlineStr">
        <is>
          <t>豊山町は2045年までの人口減少率が約1.8%と全国平均より緩やかで、概ね横ばいの安定推移。生産年齢人口の維持により、賃貸需要の急減リスクは相対的に低い。</t>
        </is>
      </c>
      <c r="U1025" t="inlineStr">
        <is>
          <t>豊山町は人口密度2,553人/km²の都市部で、駅周辺や生活利便施設沿いに安定した賃貸需要がある。適切な家賃設定で高稼働を期待できる。 借家の空室率は約37%と供給過多気味で、空室長期化リスクに要警戒。</t>
        </is>
      </c>
      <c r="V1025" t="inlineStr">
        <is>
          <t>豊山町（愛知県）：木曽三川下流の海抜ゼロメートル地帯と高潮・津波、庄内川の氾濫、臨海部の液状化に注意。</t>
        </is>
      </c>
    </row>
    <row r="1026">
      <c r="A1026" t="inlineStr">
        <is>
          <t>愛知県</t>
        </is>
      </c>
      <c r="B1026" t="inlineStr">
        <is>
          <t>大口町</t>
        </is>
      </c>
      <c r="C1026" t="n">
        <v>9690</v>
      </c>
      <c r="D1026" t="n">
        <v>24607</v>
      </c>
      <c r="E1026" s="6" t="n">
        <v>1726.7</v>
      </c>
      <c r="F1026" s="7" t="n">
        <v>67.3</v>
      </c>
      <c r="G1026" t="n">
        <v>24305</v>
      </c>
      <c r="H1026" t="n">
        <v>24607</v>
      </c>
      <c r="I1026" t="n">
        <v>24625</v>
      </c>
      <c r="J1026" t="n">
        <v>23828</v>
      </c>
      <c r="K1026" s="27">
        <f>(H1026/D1026-1)</f>
        <v/>
      </c>
      <c r="L1026" s="27">
        <f>(I1026/D1026-1)</f>
        <v/>
      </c>
      <c r="M1026" s="27">
        <f>(J1026/D1026-1)</f>
        <v/>
      </c>
      <c r="N1026" t="n">
        <v>75.90000000000001</v>
      </c>
      <c r="O1026" s="28">
        <f>(N1026+F1026)/2</f>
        <v/>
      </c>
      <c r="P1026">
        <f>IF(O1026="計算不能","計算不能",IF(O1026&gt;=80,5,IF(O1026&gt;=60,4,IF(O1026&gt;=40,3,IF(O1026&gt;=28,2,1)))))</f>
        <v/>
      </c>
      <c r="Q1026" t="n">
        <v>3482</v>
      </c>
      <c r="R1026" t="n">
        <v>720</v>
      </c>
      <c r="S1026" s="27">
        <f>R1026/Q1026</f>
        <v/>
      </c>
      <c r="T1026" t="inlineStr">
        <is>
          <t>大口町は2045年までの人口減少率が約3.2%と全国平均より緩やかで、概ね横ばいの安定推移。生産年齢人口の維持により、賃貸需要の急減リスクは相対的に低い。</t>
        </is>
      </c>
      <c r="U1026" t="inlineStr">
        <is>
          <t>大口町は人口密度1,727人/km²の都市部で、駅周辺や生活利便施設沿いに安定した賃貸需要がある。適切な家賃設定で高稼働を期待できる。 借家の空室率は約21%とやや高めで、競合との差別化が必要。</t>
        </is>
      </c>
      <c r="V1026" t="inlineStr">
        <is>
          <t>大口町（愛知県）：木曽三川下流の海抜ゼロメートル地帯と高潮・津波、庄内川の氾濫、臨海部の液状化に注意。</t>
        </is>
      </c>
    </row>
    <row r="1027">
      <c r="A1027" t="inlineStr">
        <is>
          <t>愛知県</t>
        </is>
      </c>
      <c r="B1027" t="inlineStr">
        <is>
          <t>扶桑町</t>
        </is>
      </c>
      <c r="C1027" t="n">
        <v>13380</v>
      </c>
      <c r="D1027" t="n">
        <v>33767</v>
      </c>
      <c r="E1027" s="6" t="n">
        <v>3050.6</v>
      </c>
      <c r="F1027" s="7" t="n">
        <v>80</v>
      </c>
      <c r="G1027" t="n">
        <v>34133</v>
      </c>
      <c r="H1027" t="n">
        <v>33767</v>
      </c>
      <c r="I1027" t="n">
        <v>33355</v>
      </c>
      <c r="J1027" t="n">
        <v>31310</v>
      </c>
      <c r="K1027" s="27">
        <f>(H1027/D1027-1)</f>
        <v/>
      </c>
      <c r="L1027" s="27">
        <f>(I1027/D1027-1)</f>
        <v/>
      </c>
      <c r="M1027" s="27">
        <f>(J1027/D1027-1)</f>
        <v/>
      </c>
      <c r="N1027" t="n">
        <v>68.40000000000001</v>
      </c>
      <c r="O1027" s="28">
        <f>(N1027+F1027)/2</f>
        <v/>
      </c>
      <c r="P1027">
        <f>IF(O1027="計算不能","計算不能",IF(O1027&gt;=80,5,IF(O1027&gt;=60,4,IF(O1027&gt;=40,3,IF(O1027&gt;=28,2,1)))))</f>
        <v/>
      </c>
      <c r="Q1027" t="n">
        <v>4809</v>
      </c>
      <c r="R1027" t="n">
        <v>570</v>
      </c>
      <c r="S1027" s="27">
        <f>R1027/Q1027</f>
        <v/>
      </c>
      <c r="T1027" t="inlineStr">
        <is>
          <t>扶桑町は2045年までに人口が約7.3%減と緩やかな減少局面。若年層の都市部流出と高齢化が進むが、当面の賃貸稼働は一定程度維持される見通し。</t>
        </is>
      </c>
      <c r="U1027" t="inlineStr">
        <is>
          <t>扶桑町は人口密度3,051人/km²の都市部で、駅周辺や生活利便施設沿いに安定した賃貸需要がある。適切な家賃設定で高稼働を期待できる。 借家の空室率は約12%と需給は比較的引き締まっている。</t>
        </is>
      </c>
      <c r="V1027" t="inlineStr">
        <is>
          <t>扶桑町（愛知県）：木曽三川下流の海抜ゼロメートル地帯と高潮・津波、庄内川の氾濫、臨海部の液状化に注意。</t>
        </is>
      </c>
    </row>
    <row r="1028">
      <c r="A1028" t="inlineStr">
        <is>
          <t>愛知県</t>
        </is>
      </c>
      <c r="B1028" t="inlineStr">
        <is>
          <t>大治町</t>
        </is>
      </c>
      <c r="C1028" t="n">
        <v>13900</v>
      </c>
      <c r="D1028" t="n">
        <v>32847</v>
      </c>
      <c r="E1028" s="6" t="n">
        <v>4924.1</v>
      </c>
      <c r="F1028" s="7" t="n">
        <v>80</v>
      </c>
      <c r="G1028" t="n">
        <v>32399</v>
      </c>
      <c r="H1028" t="n">
        <v>32847</v>
      </c>
      <c r="I1028" t="n">
        <v>32886</v>
      </c>
      <c r="J1028" t="n">
        <v>31798</v>
      </c>
      <c r="K1028" s="27">
        <f>(H1028/D1028-1)</f>
        <v/>
      </c>
      <c r="L1028" s="27">
        <f>(I1028/D1028-1)</f>
        <v/>
      </c>
      <c r="M1028" s="27">
        <f>(J1028/D1028-1)</f>
        <v/>
      </c>
      <c r="N1028" t="n">
        <v>76.2</v>
      </c>
      <c r="O1028" s="28">
        <f>(N1028+F1028)/2</f>
        <v/>
      </c>
      <c r="P1028">
        <f>IF(O1028="計算不能","計算不能",IF(O1028&gt;=80,5,IF(O1028&gt;=60,4,IF(O1028&gt;=40,3,IF(O1028&gt;=28,2,1)))))</f>
        <v/>
      </c>
      <c r="Q1028" t="n">
        <v>4995</v>
      </c>
      <c r="R1028" t="n">
        <v>1160</v>
      </c>
      <c r="S1028" s="27">
        <f>R1028/Q1028</f>
        <v/>
      </c>
      <c r="T1028" t="inlineStr">
        <is>
          <t>大治町は2045年までの人口減少率が約3.2%と全国平均より緩やかで、概ね横ばいの安定推移。生産年齢人口の維持により、賃貸需要の急減リスクは相対的に低い。</t>
        </is>
      </c>
      <c r="U1028" t="inlineStr">
        <is>
          <t>大治町は人口密度4,924人/km²の都市部で、駅周辺や生活利便施設沿いに安定した賃貸需要がある。適切な家賃設定で高稼働を期待できる。 借家の空室率は約23%とやや高めで、競合との差別化が必要。</t>
        </is>
      </c>
      <c r="V1028" t="inlineStr">
        <is>
          <t>大治町（愛知県）：木曽三川下流の海抜ゼロメートル地帯と高潮・津波、庄内川の氾濫、臨海部の液状化に注意。</t>
        </is>
      </c>
    </row>
    <row r="1029">
      <c r="A1029" t="inlineStr">
        <is>
          <t>愛知県</t>
        </is>
      </c>
      <c r="B1029" t="inlineStr">
        <is>
          <t>蟹江町</t>
        </is>
      </c>
      <c r="C1029" t="n">
        <v>16280</v>
      </c>
      <c r="D1029" t="n">
        <v>36798</v>
      </c>
      <c r="E1029" s="6" t="n">
        <v>3288.6</v>
      </c>
      <c r="F1029" s="7" t="n">
        <v>80</v>
      </c>
      <c r="G1029" t="n">
        <v>37338</v>
      </c>
      <c r="H1029" t="n">
        <v>36798</v>
      </c>
      <c r="I1029" t="n">
        <v>35942</v>
      </c>
      <c r="J1029" t="n">
        <v>32886</v>
      </c>
      <c r="K1029" s="27">
        <f>(H1029/D1029-1)</f>
        <v/>
      </c>
      <c r="L1029" s="27">
        <f>(I1029/D1029-1)</f>
        <v/>
      </c>
      <c r="M1029" s="27">
        <f>(J1029/D1029-1)</f>
        <v/>
      </c>
      <c r="N1029" t="n">
        <v>65.3</v>
      </c>
      <c r="O1029" s="28">
        <f>(N1029+F1029)/2</f>
        <v/>
      </c>
      <c r="P1029">
        <f>IF(O1029="計算不能","計算不能",IF(O1029&gt;=80,5,IF(O1029&gt;=60,4,IF(O1029&gt;=40,3,IF(O1029&gt;=28,2,1)))))</f>
        <v/>
      </c>
      <c r="Q1029" t="n">
        <v>5851</v>
      </c>
      <c r="R1029" t="n">
        <v>1230</v>
      </c>
      <c r="S1029" s="27">
        <f>R1029/Q1029</f>
        <v/>
      </c>
      <c r="T1029" t="inlineStr">
        <is>
          <t>蟹江町は2045年までに人口が約10.6%減と緩やかな減少局面。若年層の都市部流出と高齢化が進むが、当面の賃貸稼働は一定程度維持される見通し。</t>
        </is>
      </c>
      <c r="U1029" t="inlineStr">
        <is>
          <t>蟹江町は人口密度3,289人/km²の都市部で、駅周辺や生活利便施設沿いに安定した賃貸需要がある。適切な家賃設定で高稼働を期待できる。 借家の空室率は約21%とやや高めで、競合との差別化が必要。</t>
        </is>
      </c>
      <c r="V1029" t="inlineStr">
        <is>
          <t>蟹江町（愛知県）：木曽三川下流の海抜ゼロメートル地帯と高潮・津波、庄内川の氾濫、臨海部の液状化に注意。</t>
        </is>
      </c>
    </row>
    <row r="1030">
      <c r="A1030" t="inlineStr">
        <is>
          <t>愛知県</t>
        </is>
      </c>
      <c r="B1030" t="inlineStr">
        <is>
          <t>飛島村</t>
        </is>
      </c>
      <c r="C1030" t="n">
        <v>1889</v>
      </c>
      <c r="D1030" t="n">
        <v>4595</v>
      </c>
      <c r="E1030" s="6" t="n">
        <v>196.6</v>
      </c>
      <c r="F1030" s="7" t="n">
        <v>29.7</v>
      </c>
      <c r="G1030" t="n">
        <v>4575</v>
      </c>
      <c r="H1030" t="n">
        <v>4595</v>
      </c>
      <c r="I1030" t="n">
        <v>4589</v>
      </c>
      <c r="J1030" t="n">
        <v>4426</v>
      </c>
      <c r="K1030" s="27">
        <f>(H1030/D1030-1)</f>
        <v/>
      </c>
      <c r="L1030" s="27">
        <f>(I1030/D1030-1)</f>
        <v/>
      </c>
      <c r="M1030" s="27">
        <f>(J1030/D1030-1)</f>
        <v/>
      </c>
      <c r="N1030" t="n">
        <v>73.90000000000001</v>
      </c>
      <c r="O1030" s="28">
        <f>(N1030+F1030)/2</f>
        <v/>
      </c>
      <c r="P1030">
        <f>IF(O1030="計算不能","計算不能",IF(O1030&gt;=80,5,IF(O1030&gt;=60,4,IF(O1030&gt;=40,3,IF(O1030&gt;=28,2,1)))))</f>
        <v/>
      </c>
      <c r="Q1030" t="n">
        <v>678</v>
      </c>
      <c r="R1030" t="n">
        <v>0</v>
      </c>
      <c r="S1030" s="27">
        <f>R1030/Q1030</f>
        <v/>
      </c>
      <c r="T1030" t="inlineStr">
        <is>
          <t>飛島村は2045年までの人口減少率が約3.7%と全国平均より緩やかで、概ね横ばいの安定推移。生産年齢人口の維持により、賃貸需要の急減リスクは相対的に低い。</t>
        </is>
      </c>
      <c r="U1030" t="inlineStr">
        <is>
          <t>飛島村は人口密度197人/km²と過疎的水準で、民間賃貸の新規需要は薄い。実需に裏付けられた格安戸建ての指値取得のみが現実的。 借家の空室率は約0%と需給は比較的引き締まっている。</t>
        </is>
      </c>
      <c r="V1030" t="inlineStr">
        <is>
          <t>飛島村（愛知県）：木曽三川下流の海抜ゼロメートル地帯と高潮・津波、庄内川の氾濫、臨海部の液状化に注意。</t>
        </is>
      </c>
    </row>
    <row r="1031">
      <c r="A1031" t="inlineStr">
        <is>
          <t>愛知県</t>
        </is>
      </c>
      <c r="B1031" t="inlineStr">
        <is>
          <t>阿久比町</t>
        </is>
      </c>
      <c r="C1031" t="n">
        <v>9870</v>
      </c>
      <c r="D1031" t="n">
        <v>28679</v>
      </c>
      <c r="E1031" s="6" t="n">
        <v>1150.3</v>
      </c>
      <c r="F1031" s="7" t="n">
        <v>58</v>
      </c>
      <c r="G1031" t="n">
        <v>28383</v>
      </c>
      <c r="H1031" t="n">
        <v>28679</v>
      </c>
      <c r="I1031" t="n">
        <v>28580</v>
      </c>
      <c r="J1031" t="n">
        <v>27629</v>
      </c>
      <c r="K1031" s="27">
        <f>(H1031/D1031-1)</f>
        <v/>
      </c>
      <c r="L1031" s="27">
        <f>(I1031/D1031-1)</f>
        <v/>
      </c>
      <c r="M1031" s="27">
        <f>(J1031/D1031-1)</f>
        <v/>
      </c>
      <c r="N1031" t="n">
        <v>75</v>
      </c>
      <c r="O1031" s="28">
        <f>(N1031+F1031)/2</f>
        <v/>
      </c>
      <c r="P1031">
        <f>IF(O1031="計算不能","計算不能",IF(O1031&gt;=80,5,IF(O1031&gt;=60,4,IF(O1031&gt;=40,3,IF(O1031&gt;=28,2,1)))))</f>
        <v/>
      </c>
      <c r="Q1031" t="n">
        <v>3547</v>
      </c>
      <c r="R1031" t="n">
        <v>240</v>
      </c>
      <c r="S1031" s="27">
        <f>R1031/Q1031</f>
        <v/>
      </c>
      <c r="T1031" t="inlineStr">
        <is>
          <t>阿久比町は2045年までの人口減少率が約3.7%と全国平均より緩やかで、概ね横ばいの安定推移。生産年齢人口の維持により、賃貸需要の急減リスクは相対的に低い。</t>
        </is>
      </c>
      <c r="U1031" t="inlineStr">
        <is>
          <t>阿久比町は人口密度1,150人/km²で、主要道路沿いや中心市街地に一定の賃貸需要が局在。立地選別が稼働を左右する。 借家の空室率は約7%と需給は比較的引き締まっている。</t>
        </is>
      </c>
      <c r="V1031" t="inlineStr">
        <is>
          <t>阿久比町（愛知県）：木曽三川下流の海抜ゼロメートル地帯と高潮・津波、庄内川の氾濫、臨海部の液状化に注意。</t>
        </is>
      </c>
    </row>
    <row r="1032">
      <c r="A1032" t="inlineStr">
        <is>
          <t>愛知県</t>
        </is>
      </c>
      <c r="B1032" t="inlineStr">
        <is>
          <t>東浦町</t>
        </is>
      </c>
      <c r="C1032" t="n">
        <v>19500</v>
      </c>
      <c r="D1032" t="n">
        <v>49008</v>
      </c>
      <c r="E1032" s="6" t="n">
        <v>1572.2</v>
      </c>
      <c r="F1032" s="7" t="n">
        <v>65.7</v>
      </c>
      <c r="G1032" t="n">
        <v>49596</v>
      </c>
      <c r="H1032" t="n">
        <v>49008</v>
      </c>
      <c r="I1032" t="n">
        <v>48313</v>
      </c>
      <c r="J1032" t="n">
        <v>45551</v>
      </c>
      <c r="K1032" s="27">
        <f>(H1032/D1032-1)</f>
        <v/>
      </c>
      <c r="L1032" s="27">
        <f>(I1032/D1032-1)</f>
        <v/>
      </c>
      <c r="M1032" s="27">
        <f>(J1032/D1032-1)</f>
        <v/>
      </c>
      <c r="N1032" t="n">
        <v>68.2</v>
      </c>
      <c r="O1032" s="28">
        <f>(N1032+F1032)/2</f>
        <v/>
      </c>
      <c r="P1032">
        <f>IF(O1032="計算不能","計算不能",IF(O1032&gt;=80,5,IF(O1032&gt;=60,4,IF(O1032&gt;=40,3,IF(O1032&gt;=28,2,1)))))</f>
        <v/>
      </c>
      <c r="Q1032" t="n">
        <v>7008</v>
      </c>
      <c r="R1032" t="n">
        <v>920</v>
      </c>
      <c r="S1032" s="27">
        <f>R1032/Q1032</f>
        <v/>
      </c>
      <c r="T1032" t="inlineStr">
        <is>
          <t>東浦町は2045年までに人口が約7.1%減と緩やかな減少局面。若年層の都市部流出と高齢化が進むが、当面の賃貸稼働は一定程度維持される見通し。</t>
        </is>
      </c>
      <c r="U1032" t="inlineStr">
        <is>
          <t>東浦町は人口密度1,572人/km²の都市部で、駅周辺や生活利便施設沿いに安定した賃貸需要がある。適切な家賃設定で高稼働を期待できる。 借家の空室率は約13%と需給は比較的引き締まっている。</t>
        </is>
      </c>
      <c r="V1032" t="inlineStr">
        <is>
          <t>東浦町（愛知県）：木曽三川下流の海抜ゼロメートル地帯と高潮・津波、庄内川の氾濫、臨海部の液状化に注意。</t>
        </is>
      </c>
    </row>
    <row r="1033">
      <c r="A1033" t="inlineStr">
        <is>
          <t>愛知県</t>
        </is>
      </c>
      <c r="B1033" t="inlineStr">
        <is>
          <t>南知多町</t>
        </is>
      </c>
      <c r="C1033" t="n">
        <v>6360</v>
      </c>
      <c r="D1033" t="n">
        <v>15001</v>
      </c>
      <c r="E1033" s="6" t="n">
        <v>378</v>
      </c>
      <c r="F1033" s="7" t="n">
        <v>38.9</v>
      </c>
      <c r="G1033" t="n">
        <v>16617</v>
      </c>
      <c r="H1033" t="n">
        <v>15001</v>
      </c>
      <c r="I1033" t="n">
        <v>13445</v>
      </c>
      <c r="J1033" t="n">
        <v>9078</v>
      </c>
      <c r="K1033" s="27">
        <f>(H1033/D1033-1)</f>
        <v/>
      </c>
      <c r="L1033" s="27">
        <f>(I1033/D1033-1)</f>
        <v/>
      </c>
      <c r="M1033" s="27">
        <f>(J1033/D1033-1)</f>
        <v/>
      </c>
      <c r="N1033" t="n">
        <v>38.1</v>
      </c>
      <c r="O1033" s="28">
        <f>(N1033+F1033)/2</f>
        <v/>
      </c>
      <c r="P1033">
        <f>IF(O1033="計算不能","計算不能",IF(O1033&gt;=80,5,IF(O1033&gt;=60,4,IF(O1033&gt;=40,3,IF(O1033&gt;=28,2,1)))))</f>
        <v/>
      </c>
      <c r="Q1033" t="n">
        <v>2285</v>
      </c>
      <c r="R1033" t="n">
        <v>390</v>
      </c>
      <c r="S1033" s="27">
        <f>R1033/Q1033</f>
        <v/>
      </c>
      <c r="T1033" t="inlineStr">
        <is>
          <t>南知多町は2045年までに人口が約39.5%減と急激な過疎・超高齢化が進行。若年労働世代の流出と自然減が重なり、賃貸事業としての持続性は極めて限定的。</t>
        </is>
      </c>
      <c r="U1033" t="inlineStr">
        <is>
          <t>南知多町は人口密度378人/km²と低密度で、賃貸需要は限定的。持ち家比率が高く、駐車場完備の戸建て賃貸が有利。 借家の空室率は約17%と需給は比較的引き締まっている。</t>
        </is>
      </c>
      <c r="V1033" t="inlineStr">
        <is>
          <t>南知多町（愛知県）：木曽三川下流の海抜ゼロメートル地帯と高潮・津波、庄内川の氾濫、臨海部の液状化に注意。</t>
        </is>
      </c>
    </row>
    <row r="1034">
      <c r="A1034" t="inlineStr">
        <is>
          <t>愛知県</t>
        </is>
      </c>
      <c r="B1034" t="inlineStr">
        <is>
          <t>美浜町</t>
        </is>
      </c>
      <c r="C1034" t="n">
        <v>9130</v>
      </c>
      <c r="D1034" t="n">
        <v>21313</v>
      </c>
      <c r="E1034" s="6" t="n">
        <v>473</v>
      </c>
      <c r="F1034" s="7" t="n">
        <v>43.6</v>
      </c>
      <c r="G1034" t="n">
        <v>22496</v>
      </c>
      <c r="H1034" t="n">
        <v>21313</v>
      </c>
      <c r="I1034" t="n">
        <v>19919</v>
      </c>
      <c r="J1034" t="n">
        <v>15466</v>
      </c>
      <c r="K1034" s="27">
        <f>(H1034/D1034-1)</f>
        <v/>
      </c>
      <c r="L1034" s="27">
        <f>(I1034/D1034-1)</f>
        <v/>
      </c>
      <c r="M1034" s="27">
        <f>(J1034/D1034-1)</f>
        <v/>
      </c>
      <c r="N1034" t="n">
        <v>47.1</v>
      </c>
      <c r="O1034" s="28">
        <f>(N1034+F1034)/2</f>
        <v/>
      </c>
      <c r="P1034">
        <f>IF(O1034="計算不能","計算不能",IF(O1034&gt;=80,5,IF(O1034&gt;=60,4,IF(O1034&gt;=40,3,IF(O1034&gt;=28,2,1)))))</f>
        <v/>
      </c>
      <c r="Q1034" t="n">
        <v>3281</v>
      </c>
      <c r="R1034" t="n">
        <v>1070</v>
      </c>
      <c r="S1034" s="27">
        <f>R1034/Q1034</f>
        <v/>
      </c>
      <c r="T1034" t="inlineStr">
        <is>
          <t>美浜町は2045年までに人口が約27.4%減と明確な減少トレンド。高齢化の進行と世帯数の縮小により、中長期では賃貸需要の構造的縮小に警戒が必要。</t>
        </is>
      </c>
      <c r="U1034" t="inlineStr">
        <is>
          <t>美浜町は人口密度473人/km²と低密度で、賃貸需要は限定的。持ち家比率が高く、駐車場完備の戸建て賃貸が有利。 借家の空室率は約33%と供給過多気味で、空室長期化リスクに要警戒。</t>
        </is>
      </c>
      <c r="V1034" t="inlineStr">
        <is>
          <t>美浜町（愛知県）：木曽三川下流の海抜ゼロメートル地帯と高潮・津波、庄内川の氾濫、臨海部の液状化に注意。</t>
        </is>
      </c>
    </row>
    <row r="1035">
      <c r="A1035" t="inlineStr">
        <is>
          <t>愛知県</t>
        </is>
      </c>
      <c r="B1035" t="inlineStr">
        <is>
          <t>武豊町</t>
        </is>
      </c>
      <c r="C1035" t="n">
        <v>17250</v>
      </c>
      <c r="D1035" t="n">
        <v>43350</v>
      </c>
      <c r="E1035" s="6" t="n">
        <v>1627.6</v>
      </c>
      <c r="F1035" s="7" t="n">
        <v>66.3</v>
      </c>
      <c r="G1035" t="n">
        <v>43535</v>
      </c>
      <c r="H1035" t="n">
        <v>43350</v>
      </c>
      <c r="I1035" t="n">
        <v>42733</v>
      </c>
      <c r="J1035" t="n">
        <v>39946</v>
      </c>
      <c r="K1035" s="27">
        <f>(H1035/D1035-1)</f>
        <v/>
      </c>
      <c r="L1035" s="27">
        <f>(I1035/D1035-1)</f>
        <v/>
      </c>
      <c r="M1035" s="27">
        <f>(J1035/D1035-1)</f>
        <v/>
      </c>
      <c r="N1035" t="n">
        <v>69.2</v>
      </c>
      <c r="O1035" s="28">
        <f>(N1035+F1035)/2</f>
        <v/>
      </c>
      <c r="P1035">
        <f>IF(O1035="計算不能","計算不能",IF(O1035&gt;=80,5,IF(O1035&gt;=60,4,IF(O1035&gt;=40,3,IF(O1035&gt;=28,2,1)))))</f>
        <v/>
      </c>
      <c r="Q1035" t="n">
        <v>6199</v>
      </c>
      <c r="R1035" t="n">
        <v>1090</v>
      </c>
      <c r="S1035" s="27">
        <f>R1035/Q1035</f>
        <v/>
      </c>
      <c r="T1035" t="inlineStr">
        <is>
          <t>武豊町は2045年までに人口が約7.9%減と緩やかな減少局面。若年層の都市部流出と高齢化が進むが、当面の賃貸稼働は一定程度維持される見通し。</t>
        </is>
      </c>
      <c r="U1035" t="inlineStr">
        <is>
          <t>武豊町は人口密度1,628人/km²の都市部で、駅周辺や生活利便施設沿いに安定した賃貸需要がある。適切な家賃設定で高稼働を期待できる。 借家の空室率は約18%と需給は比較的引き締まっている。</t>
        </is>
      </c>
      <c r="V1035" t="inlineStr">
        <is>
          <t>武豊町（愛知県）：木曽三川下流の海抜ゼロメートル地帯と高潮・津波、庄内川の氾濫、臨海部の液状化に注意。</t>
        </is>
      </c>
    </row>
    <row r="1036">
      <c r="A1036" t="inlineStr">
        <is>
          <t>愛知県</t>
        </is>
      </c>
      <c r="B1036" t="inlineStr">
        <is>
          <t>幸田町</t>
        </is>
      </c>
      <c r="C1036" t="n">
        <v>15520</v>
      </c>
      <c r="D1036" t="n">
        <v>41137</v>
      </c>
      <c r="E1036" s="6" t="n">
        <v>733.3</v>
      </c>
      <c r="F1036" s="7" t="n">
        <v>49.7</v>
      </c>
      <c r="G1036" t="n">
        <v>42449</v>
      </c>
      <c r="H1036" t="n">
        <v>41137</v>
      </c>
      <c r="I1036" t="n">
        <v>41666</v>
      </c>
      <c r="J1036" t="n">
        <v>41515</v>
      </c>
      <c r="K1036" s="27">
        <f>(H1036/D1036-1)</f>
        <v/>
      </c>
      <c r="L1036" s="27">
        <f>(I1036/D1036-1)</f>
        <v/>
      </c>
      <c r="M1036" s="27">
        <f>(J1036/D1036-1)</f>
        <v/>
      </c>
      <c r="N1036" t="n">
        <v>70.09999999999999</v>
      </c>
      <c r="O1036" s="28">
        <f>(N1036+F1036)/2</f>
        <v/>
      </c>
      <c r="P1036">
        <f>IF(O1036="計算不能","計算不能",IF(O1036&gt;=80,5,IF(O1036&gt;=60,4,IF(O1036&gt;=40,3,IF(O1036&gt;=28,2,1)))))</f>
        <v/>
      </c>
      <c r="Q1036" t="n">
        <v>5578</v>
      </c>
      <c r="R1036" t="n">
        <v>850</v>
      </c>
      <c r="S1036" s="27">
        <f>R1036/Q1036</f>
        <v/>
      </c>
      <c r="T1036" t="inlineStr">
        <is>
          <t>幸田町は2045年までの人口減少率が約0.9%と全国平均より緩やかで、概ね横ばいの安定推移。生産年齢人口の維持により、賃貸需要の急減リスクは相対的に低い。</t>
        </is>
      </c>
      <c r="U1036" t="inlineStr">
        <is>
          <t>幸田町は人口密度733人/km²で、主要道路沿いや中心市街地に一定の賃貸需要が局在。立地選別が稼働を左右する。 借家の空室率は約15%と需給は比較的引き締まっている。</t>
        </is>
      </c>
      <c r="V1036" t="inlineStr">
        <is>
          <t>幸田町（愛知県）：木曽三川下流の海抜ゼロメートル地帯と高潮・津波、庄内川の氾濫、臨海部の液状化に注意。</t>
        </is>
      </c>
    </row>
    <row r="1037">
      <c r="A1037" t="inlineStr">
        <is>
          <t>愛知県</t>
        </is>
      </c>
      <c r="B1037" t="inlineStr">
        <is>
          <t>設楽町</t>
        </is>
      </c>
      <c r="C1037" t="n">
        <v>1916</v>
      </c>
      <c r="D1037" t="n">
        <v>3898</v>
      </c>
      <c r="E1037" s="6" t="n">
        <v>14.3</v>
      </c>
      <c r="F1037" s="7" t="n">
        <v>11.4</v>
      </c>
      <c r="G1037" t="n">
        <v>4437</v>
      </c>
      <c r="H1037" t="n">
        <v>3898</v>
      </c>
      <c r="I1037" t="n">
        <v>3407</v>
      </c>
      <c r="J1037" t="n">
        <v>2248</v>
      </c>
      <c r="K1037" s="27">
        <f>(H1037/D1037-1)</f>
        <v/>
      </c>
      <c r="L1037" s="27">
        <f>(I1037/D1037-1)</f>
        <v/>
      </c>
      <c r="M1037" s="27">
        <f>(J1037/D1037-1)</f>
        <v/>
      </c>
      <c r="N1037" t="n">
        <v>34.7</v>
      </c>
      <c r="O1037" s="28">
        <f>(N1037+F1037)/2</f>
        <v/>
      </c>
      <c r="P1037">
        <f>IF(O1037="計算不能","計算不能",IF(O1037&gt;=80,5,IF(O1037&gt;=60,4,IF(O1037&gt;=40,3,IF(O1037&gt;=28,2,1)))))</f>
        <v/>
      </c>
      <c r="Q1037" t="n">
        <v>688</v>
      </c>
      <c r="R1037" t="n">
        <v>0</v>
      </c>
      <c r="S1037" s="27">
        <f>R1037/Q1037</f>
        <v/>
      </c>
      <c r="T1037" t="inlineStr">
        <is>
          <t>設楽町は2045年までに人口が約42.3%減と急激な過疎・超高齢化が進行。若年労働世代の流出と自然減が重なり、賃貸事業としての持続性は極めて限定的。</t>
        </is>
      </c>
      <c r="U1037" t="inlineStr">
        <is>
          <t>設楽町は人口密度14人/km²と過疎的水準で、民間賃貸の新規需要は薄い。実需に裏付けられた格安戸建ての指値取得のみが現実的。 借家の空室率は約0%と需給は比較的引き締まっている。</t>
        </is>
      </c>
      <c r="V1037" t="inlineStr">
        <is>
          <t>設楽町（愛知県）：木曽三川下流の海抜ゼロメートル地帯と高潮・津波、庄内川の氾濫、臨海部の液状化に注意。</t>
        </is>
      </c>
    </row>
    <row r="1038">
      <c r="A1038" t="inlineStr">
        <is>
          <t>愛知県</t>
        </is>
      </c>
      <c r="B1038" t="inlineStr">
        <is>
          <t>東栄町</t>
        </is>
      </c>
      <c r="C1038" t="n">
        <v>1323</v>
      </c>
      <c r="D1038" t="n">
        <v>2583</v>
      </c>
      <c r="E1038" s="6" t="n">
        <v>20</v>
      </c>
      <c r="F1038" s="7" t="n">
        <v>12</v>
      </c>
      <c r="G1038" t="n">
        <v>2942</v>
      </c>
      <c r="H1038" t="n">
        <v>2583</v>
      </c>
      <c r="I1038" t="n">
        <v>2265</v>
      </c>
      <c r="J1038" t="n">
        <v>1502</v>
      </c>
      <c r="K1038" s="27">
        <f>(H1038/D1038-1)</f>
        <v/>
      </c>
      <c r="L1038" s="27">
        <f>(I1038/D1038-1)</f>
        <v/>
      </c>
      <c r="M1038" s="27">
        <f>(J1038/D1038-1)</f>
        <v/>
      </c>
      <c r="N1038" t="n">
        <v>34.8</v>
      </c>
      <c r="O1038" s="28">
        <f>(N1038+F1038)/2</f>
        <v/>
      </c>
      <c r="P1038">
        <f>IF(O1038="計算不能","計算不能",IF(O1038&gt;=80,5,IF(O1038&gt;=60,4,IF(O1038&gt;=40,3,IF(O1038&gt;=28,2,1)))))</f>
        <v/>
      </c>
      <c r="Q1038" t="n">
        <v>475</v>
      </c>
      <c r="R1038" t="n">
        <v>0</v>
      </c>
      <c r="S1038" s="27">
        <f>R1038/Q1038</f>
        <v/>
      </c>
      <c r="T1038" t="inlineStr">
        <is>
          <t>東栄町は2045年までに人口が約41.9%減と急激な過疎・超高齢化が進行。若年労働世代の流出と自然減が重なり、賃貸事業としての持続性は極めて限定的。</t>
        </is>
      </c>
      <c r="U1038" t="inlineStr">
        <is>
          <t>東栄町は人口密度20人/km²と過疎的水準で、民間賃貸の新規需要は薄い。実需に裏付けられた格安戸建ての指値取得のみが現実的。 借家の空室率は約0%と需給は比較的引き締まっている。</t>
        </is>
      </c>
      <c r="V1038" t="inlineStr">
        <is>
          <t>東栄町（愛知県）：木曽三川下流の海抜ゼロメートル地帯と高潮・津波、庄内川の氾濫、臨海部の液状化に注意。</t>
        </is>
      </c>
    </row>
    <row r="1039">
      <c r="A1039" t="inlineStr">
        <is>
          <t>愛知県</t>
        </is>
      </c>
      <c r="B1039" t="inlineStr">
        <is>
          <t>豊根村</t>
        </is>
      </c>
      <c r="C1039" t="n">
        <v>449</v>
      </c>
      <c r="D1039" t="n">
        <v>887</v>
      </c>
      <c r="E1039" s="6" t="n">
        <v>5.4</v>
      </c>
      <c r="F1039" s="7" t="n">
        <v>10.5</v>
      </c>
      <c r="G1039" t="n">
        <v>1017</v>
      </c>
      <c r="H1039" t="n">
        <v>887</v>
      </c>
      <c r="I1039" t="n">
        <v>789</v>
      </c>
      <c r="J1039" t="n">
        <v>554</v>
      </c>
      <c r="K1039" s="27">
        <f>(H1039/D1039-1)</f>
        <v/>
      </c>
      <c r="L1039" s="27">
        <f>(I1039/D1039-1)</f>
        <v/>
      </c>
      <c r="M1039" s="27">
        <f>(J1039/D1039-1)</f>
        <v/>
      </c>
      <c r="N1039" t="n">
        <v>35.7</v>
      </c>
      <c r="O1039" s="28">
        <f>(N1039+F1039)/2</f>
        <v/>
      </c>
      <c r="P1039">
        <f>IF(O1039="計算不能","計算不能",IF(O1039&gt;=80,5,IF(O1039&gt;=60,4,IF(O1039&gt;=40,3,IF(O1039&gt;=28,2,1)))))</f>
        <v/>
      </c>
      <c r="Q1039" t="n">
        <v>161</v>
      </c>
      <c r="R1039" t="n">
        <v>0</v>
      </c>
      <c r="S1039" s="27">
        <f>R1039/Q1039</f>
        <v/>
      </c>
      <c r="T1039" t="inlineStr">
        <is>
          <t>豊根村は2045年までに人口が約37.5%減と急激な過疎・超高齢化が進行。若年労働世代の流出と自然減が重なり、賃貸事業としての持続性は極めて限定的。</t>
        </is>
      </c>
      <c r="U1039" t="inlineStr">
        <is>
          <t>豊根村は人口密度5人/km²と過疎的水準で、民間賃貸の新規需要は薄い。実需に裏付けられた格安戸建ての指値取得のみが現実的。 借家の空室率は約0%と需給は比較的引き締まっている。</t>
        </is>
      </c>
      <c r="V1039" t="inlineStr">
        <is>
          <t>豊根村（愛知県）：木曽三川下流の海抜ゼロメートル地帯と高潮・津波、庄内川の氾濫、臨海部の液状化に注意。</t>
        </is>
      </c>
    </row>
    <row r="1040">
      <c r="A1040" t="inlineStr">
        <is>
          <t>三重県</t>
        </is>
      </c>
      <c r="B1040" t="inlineStr">
        <is>
          <t>津市</t>
        </is>
      </c>
      <c r="C1040" t="n">
        <v>117350</v>
      </c>
      <c r="D1040" t="n">
        <v>266699</v>
      </c>
      <c r="E1040" s="6" t="n">
        <v>371.1</v>
      </c>
      <c r="F1040" s="7" t="n">
        <v>38.6</v>
      </c>
      <c r="G1040" t="n">
        <v>274537</v>
      </c>
      <c r="H1040" t="n">
        <v>266699</v>
      </c>
      <c r="I1040" t="n">
        <v>257719</v>
      </c>
      <c r="J1040" t="n">
        <v>228120</v>
      </c>
      <c r="K1040" s="27">
        <f>(H1040/D1040-1)</f>
        <v/>
      </c>
      <c r="L1040" s="27">
        <f>(I1040/D1040-1)</f>
        <v/>
      </c>
      <c r="M1040" s="27">
        <f>(J1040/D1040-1)</f>
        <v/>
      </c>
      <c r="N1040" t="n">
        <v>60</v>
      </c>
      <c r="O1040" s="28">
        <f>(N1040+F1040)/2</f>
        <v/>
      </c>
      <c r="P1040">
        <f>IF(O1040="計算不能","計算不能",IF(O1040&gt;=80,5,IF(O1040&gt;=60,4,IF(O1040&gt;=40,3,IF(O1040&gt;=28,2,1)))))</f>
        <v/>
      </c>
      <c r="Q1040" t="n">
        <v>28329</v>
      </c>
      <c r="R1040" t="n">
        <v>10190</v>
      </c>
      <c r="S1040" s="27">
        <f>R1040/Q1040</f>
        <v/>
      </c>
      <c r="T1040" t="inlineStr">
        <is>
          <t>津市は2045年までに人口が約14.5%減と緩やかな減少局面。若年層の都市部流出と高齢化が進むが、当面の賃貸稼働は一定程度維持される見通し。</t>
        </is>
      </c>
      <c r="U1040" t="inlineStr">
        <is>
          <t>津市は人口密度371人/km²と低密度で、賃貸需要は限定的。持ち家比率が高く、駐車場完備の戸建て賃貸が有利。 借家の空室率は約36%と供給過多気味で、空室長期化リスクに要警戒。</t>
        </is>
      </c>
      <c r="V1040" t="inlineStr">
        <is>
          <t>津市（三重県）：南海トラフ津波の想定が深刻。雲出川・宮川の氾濫、伊勢湾岸の高潮・液状化に留意。</t>
        </is>
      </c>
    </row>
    <row r="1041">
      <c r="A1041" t="inlineStr">
        <is>
          <t>三重県</t>
        </is>
      </c>
      <c r="B1041" t="inlineStr">
        <is>
          <t>四日市市</t>
        </is>
      </c>
      <c r="C1041" t="n">
        <v>134160</v>
      </c>
      <c r="D1041" t="n">
        <v>300635</v>
      </c>
      <c r="E1041" s="6" t="n">
        <v>1471.7</v>
      </c>
      <c r="F1041" s="7" t="n">
        <v>64.40000000000001</v>
      </c>
      <c r="G1041" t="n">
        <v>305424</v>
      </c>
      <c r="H1041" t="n">
        <v>300635</v>
      </c>
      <c r="I1041" t="n">
        <v>293839</v>
      </c>
      <c r="J1041" t="n">
        <v>268620</v>
      </c>
      <c r="K1041" s="27">
        <f>(H1041/D1041-1)</f>
        <v/>
      </c>
      <c r="L1041" s="27">
        <f>(I1041/D1041-1)</f>
        <v/>
      </c>
      <c r="M1041" s="27">
        <f>(J1041/D1041-1)</f>
        <v/>
      </c>
      <c r="N1041" t="n">
        <v>65.09999999999999</v>
      </c>
      <c r="O1041" s="28">
        <f>(N1041+F1041)/2</f>
        <v/>
      </c>
      <c r="P1041">
        <f>IF(O1041="計算不能","計算不能",IF(O1041&gt;=80,5,IF(O1041&gt;=60,4,IF(O1041&gt;=40,3,IF(O1041&gt;=28,2,1)))))</f>
        <v/>
      </c>
      <c r="Q1041" t="n">
        <v>32387</v>
      </c>
      <c r="R1041" t="n">
        <v>7090</v>
      </c>
      <c r="S1041" s="27">
        <f>R1041/Q1041</f>
        <v/>
      </c>
      <c r="T1041" t="inlineStr">
        <is>
          <t>四日市市は2045年までに人口が約10.6%減と緩やかな減少局面。若年層の都市部流出と高齢化が進むが、当面の賃貸稼働は一定程度維持される見通し。</t>
        </is>
      </c>
      <c r="U1041" t="inlineStr">
        <is>
          <t>四日市市は人口密度1,472人/km²で、主要道路沿いや中心市街地に一定の賃貸需要が局在。立地選別が稼働を左右する。 借家の空室率は約22%とやや高めで、競合との差別化が必要。</t>
        </is>
      </c>
      <c r="V1041" t="inlineStr">
        <is>
          <t>四日市市（三重県）：南海トラフ津波の想定が深刻。雲出川・宮川の氾濫、伊勢湾岸の高潮・液状化に留意。</t>
        </is>
      </c>
    </row>
    <row r="1042">
      <c r="A1042" t="inlineStr">
        <is>
          <t>三重県</t>
        </is>
      </c>
      <c r="B1042" t="inlineStr">
        <is>
          <t>伊勢市</t>
        </is>
      </c>
      <c r="C1042" t="n">
        <v>51250</v>
      </c>
      <c r="D1042" t="n">
        <v>117152</v>
      </c>
      <c r="E1042" s="6" t="n">
        <v>554.1</v>
      </c>
      <c r="F1042" s="7" t="n">
        <v>46.1</v>
      </c>
      <c r="G1042" t="n">
        <v>122765</v>
      </c>
      <c r="H1042" t="n">
        <v>117152</v>
      </c>
      <c r="I1042" t="n">
        <v>110846</v>
      </c>
      <c r="J1042" t="n">
        <v>91599</v>
      </c>
      <c r="K1042" s="27">
        <f>(H1042/D1042-1)</f>
        <v/>
      </c>
      <c r="L1042" s="27">
        <f>(I1042/D1042-1)</f>
        <v/>
      </c>
      <c r="M1042" s="27">
        <f>(J1042/D1042-1)</f>
        <v/>
      </c>
      <c r="N1042" t="n">
        <v>51.9</v>
      </c>
      <c r="O1042" s="28">
        <f>(N1042+F1042)/2</f>
        <v/>
      </c>
      <c r="P1042">
        <f>IF(O1042="計算不能","計算不能",IF(O1042&gt;=80,5,IF(O1042&gt;=60,4,IF(O1042&gt;=40,3,IF(O1042&gt;=28,2,1)))))</f>
        <v/>
      </c>
      <c r="Q1042" t="n">
        <v>12372</v>
      </c>
      <c r="R1042" t="n">
        <v>3280</v>
      </c>
      <c r="S1042" s="27">
        <f>R1042/Q1042</f>
        <v/>
      </c>
      <c r="T1042" t="inlineStr">
        <is>
          <t>伊勢市は2045年までに人口が約21.8%減と明確な減少トレンド。高齢化の進行と世帯数の縮小により、中長期では賃貸需要の構造的縮小に警戒が必要。</t>
        </is>
      </c>
      <c r="U1042" t="inlineStr">
        <is>
          <t>伊勢市は人口密度554人/km²で、主要道路沿いや中心市街地に一定の賃貸需要が局在。立地選別が稼働を左右する。 借家の空室率は約27%と供給過多気味で、空室長期化リスクに要警戒。</t>
        </is>
      </c>
      <c r="V1042" t="inlineStr">
        <is>
          <t>伊勢市（三重県）：南海トラフ津波の想定が深刻。雲出川・宮川の氾濫、伊勢湾岸の高潮・液状化に留意。</t>
        </is>
      </c>
    </row>
    <row r="1043">
      <c r="A1043" t="inlineStr">
        <is>
          <t>三重県</t>
        </is>
      </c>
      <c r="B1043" t="inlineStr">
        <is>
          <t>松阪市</t>
        </is>
      </c>
      <c r="C1043" t="n">
        <v>62230</v>
      </c>
      <c r="D1043" t="n">
        <v>151069</v>
      </c>
      <c r="E1043" s="6" t="n">
        <v>241.6</v>
      </c>
      <c r="F1043" s="7" t="n">
        <v>32.1</v>
      </c>
      <c r="G1043" t="n">
        <v>159145</v>
      </c>
      <c r="H1043" t="n">
        <v>151069</v>
      </c>
      <c r="I1043" t="n">
        <v>144752</v>
      </c>
      <c r="J1043" t="n">
        <v>124818</v>
      </c>
      <c r="K1043" s="27">
        <f>(H1043/D1043-1)</f>
        <v/>
      </c>
      <c r="L1043" s="27">
        <f>(I1043/D1043-1)</f>
        <v/>
      </c>
      <c r="M1043" s="27">
        <f>(J1043/D1043-1)</f>
        <v/>
      </c>
      <c r="N1043" t="n">
        <v>53.8</v>
      </c>
      <c r="O1043" s="28">
        <f>(N1043+F1043)/2</f>
        <v/>
      </c>
      <c r="P1043">
        <f>IF(O1043="計算不能","計算不能",IF(O1043&gt;=80,5,IF(O1043&gt;=60,4,IF(O1043&gt;=40,3,IF(O1043&gt;=28,2,1)))))</f>
        <v/>
      </c>
      <c r="Q1043" t="n">
        <v>15022</v>
      </c>
      <c r="R1043" t="n">
        <v>5070</v>
      </c>
      <c r="S1043" s="27">
        <f>R1043/Q1043</f>
        <v/>
      </c>
      <c r="T1043" t="inlineStr">
        <is>
          <t>松阪市は2045年までに人口が約17.4%減と明確な減少トレンド。高齢化の進行と世帯数の縮小により、中長期では賃貸需要の構造的縮小に警戒が必要。</t>
        </is>
      </c>
      <c r="U1043" t="inlineStr">
        <is>
          <t>松阪市は人口密度242人/km²と低密度で、賃貸需要は限定的。持ち家比率が高く、駐車場完備の戸建て賃貸が有利。 借家の空室率は約34%と供給過多気味で、空室長期化リスクに要警戒。</t>
        </is>
      </c>
      <c r="V1043" t="inlineStr">
        <is>
          <t>松阪市（三重県）：南海トラフ津波の想定が深刻。雲出川・宮川の氾濫、伊勢湾岸の高潮・液状化に留意。</t>
        </is>
      </c>
    </row>
    <row r="1044">
      <c r="A1044" t="inlineStr">
        <is>
          <t>三重県</t>
        </is>
      </c>
      <c r="B1044" t="inlineStr">
        <is>
          <t>桑名市</t>
        </is>
      </c>
      <c r="C1044" t="n">
        <v>55400</v>
      </c>
      <c r="D1044" t="n">
        <v>136146</v>
      </c>
      <c r="E1044" s="6" t="n">
        <v>980.1</v>
      </c>
      <c r="F1044" s="7" t="n">
        <v>54.6</v>
      </c>
      <c r="G1044" t="n">
        <v>138613</v>
      </c>
      <c r="H1044" t="n">
        <v>136146</v>
      </c>
      <c r="I1044" t="n">
        <v>132741</v>
      </c>
      <c r="J1044" t="n">
        <v>120499</v>
      </c>
      <c r="K1044" s="27">
        <f>(H1044/D1044-1)</f>
        <v/>
      </c>
      <c r="L1044" s="27">
        <f>(I1044/D1044-1)</f>
        <v/>
      </c>
      <c r="M1044" s="27">
        <f>(J1044/D1044-1)</f>
        <v/>
      </c>
      <c r="N1044" t="n">
        <v>64.09999999999999</v>
      </c>
      <c r="O1044" s="28">
        <f>(N1044+F1044)/2</f>
        <v/>
      </c>
      <c r="P1044">
        <f>IF(O1044="計算不能","計算不能",IF(O1044&gt;=80,5,IF(O1044&gt;=60,4,IF(O1044&gt;=40,3,IF(O1044&gt;=28,2,1)))))</f>
        <v/>
      </c>
      <c r="Q1044" t="n">
        <v>13373</v>
      </c>
      <c r="R1044" t="n">
        <v>3240</v>
      </c>
      <c r="S1044" s="27">
        <f>R1044/Q1044</f>
        <v/>
      </c>
      <c r="T1044" t="inlineStr">
        <is>
          <t>桑名市は2045年までに人口が約11.5%減と緩やかな減少局面。若年層の都市部流出と高齢化が進むが、当面の賃貸稼働は一定程度維持される見通し。</t>
        </is>
      </c>
      <c r="U1044" t="inlineStr">
        <is>
          <t>桑名市は人口密度980人/km²で、主要道路沿いや中心市街地に一定の賃貸需要が局在。立地選別が稼働を左右する。 借家の空室率は約24%とやや高めで、競合との差別化が必要。</t>
        </is>
      </c>
      <c r="V1044" t="inlineStr">
        <is>
          <t>桑名市（三重県）：南海トラフ津波の想定が深刻。雲出川・宮川の氾濫、伊勢湾岸の高潮・液状化に留意。</t>
        </is>
      </c>
    </row>
    <row r="1045">
      <c r="A1045" t="inlineStr">
        <is>
          <t>三重県</t>
        </is>
      </c>
      <c r="B1045" t="inlineStr">
        <is>
          <t>鈴鹿市</t>
        </is>
      </c>
      <c r="C1045" t="n">
        <v>81600</v>
      </c>
      <c r="D1045" t="n">
        <v>187922</v>
      </c>
      <c r="E1045" s="6" t="n">
        <v>976.4</v>
      </c>
      <c r="F1045" s="7" t="n">
        <v>54.5</v>
      </c>
      <c r="G1045" t="n">
        <v>195670</v>
      </c>
      <c r="H1045" t="n">
        <v>187922</v>
      </c>
      <c r="I1045" t="n">
        <v>183491</v>
      </c>
      <c r="J1045" t="n">
        <v>164617</v>
      </c>
      <c r="K1045" s="27">
        <f>(H1045/D1045-1)</f>
        <v/>
      </c>
      <c r="L1045" s="27">
        <f>(I1045/D1045-1)</f>
        <v/>
      </c>
      <c r="M1045" s="27">
        <f>(J1045/D1045-1)</f>
        <v/>
      </c>
      <c r="N1045" t="n">
        <v>59.5</v>
      </c>
      <c r="O1045" s="28">
        <f>(N1045+F1045)/2</f>
        <v/>
      </c>
      <c r="P1045">
        <f>IF(O1045="計算不能","計算不能",IF(O1045&gt;=80,5,IF(O1045&gt;=60,4,IF(O1045&gt;=40,3,IF(O1045&gt;=28,2,1)))))</f>
        <v/>
      </c>
      <c r="Q1045" t="n">
        <v>19698</v>
      </c>
      <c r="R1045" t="n">
        <v>5640</v>
      </c>
      <c r="S1045" s="27">
        <f>R1045/Q1045</f>
        <v/>
      </c>
      <c r="T1045" t="inlineStr">
        <is>
          <t>鈴鹿市は2045年までに人口が約12.4%減と緩やかな減少局面。若年層の都市部流出と高齢化が進むが、当面の賃貸稼働は一定程度維持される見通し。</t>
        </is>
      </c>
      <c r="U1045" t="inlineStr">
        <is>
          <t>鈴鹿市は人口密度976人/km²で、主要道路沿いや中心市街地に一定の賃貸需要が局在。立地選別が稼働を左右する。 借家の空室率は約29%と供給過多気味で、空室長期化リスクに要警戒。</t>
        </is>
      </c>
      <c r="V1045" t="inlineStr">
        <is>
          <t>鈴鹿市（三重県）：南海トラフ津波の想定が深刻。雲出川・宮川の氾濫、伊勢湾岸の高潮・液状化に留意。</t>
        </is>
      </c>
    </row>
    <row r="1046">
      <c r="A1046" t="inlineStr">
        <is>
          <t>三重県</t>
        </is>
      </c>
      <c r="B1046" t="inlineStr">
        <is>
          <t>名張市</t>
        </is>
      </c>
      <c r="C1046" t="n">
        <v>31500</v>
      </c>
      <c r="D1046" t="n">
        <v>71965</v>
      </c>
      <c r="E1046" s="6" t="n">
        <v>555.1</v>
      </c>
      <c r="F1046" s="7" t="n">
        <v>46.1</v>
      </c>
      <c r="G1046" t="n">
        <v>76387</v>
      </c>
      <c r="H1046" t="n">
        <v>71965</v>
      </c>
      <c r="I1046" t="n">
        <v>68073</v>
      </c>
      <c r="J1046" t="n">
        <v>54690</v>
      </c>
      <c r="K1046" s="27">
        <f>(H1046/D1046-1)</f>
        <v/>
      </c>
      <c r="L1046" s="27">
        <f>(I1046/D1046-1)</f>
        <v/>
      </c>
      <c r="M1046" s="27">
        <f>(J1046/D1046-1)</f>
        <v/>
      </c>
      <c r="N1046" t="n">
        <v>48.5</v>
      </c>
      <c r="O1046" s="28">
        <f>(N1046+F1046)/2</f>
        <v/>
      </c>
      <c r="P1046">
        <f>IF(O1046="計算不能","計算不能",IF(O1046&gt;=80,5,IF(O1046&gt;=60,4,IF(O1046&gt;=40,3,IF(O1046&gt;=28,2,1)))))</f>
        <v/>
      </c>
      <c r="Q1046" t="n">
        <v>7604</v>
      </c>
      <c r="R1046" t="n">
        <v>1620</v>
      </c>
      <c r="S1046" s="27">
        <f>R1046/Q1046</f>
        <v/>
      </c>
      <c r="T1046" t="inlineStr">
        <is>
          <t>名張市は2045年までに人口が約24.0%減と明確な減少トレンド。高齢化の進行と世帯数の縮小により、中長期では賃貸需要の構造的縮小に警戒が必要。</t>
        </is>
      </c>
      <c r="U1046" t="inlineStr">
        <is>
          <t>名張市は人口密度555人/km²で、主要道路沿いや中心市街地に一定の賃貸需要が局在。立地選別が稼働を左右する。 借家の空室率は約21%とやや高めで、競合との差別化が必要。</t>
        </is>
      </c>
      <c r="V1046" t="inlineStr">
        <is>
          <t>名張市（三重県）：南海トラフ津波の想定が深刻。雲出川・宮川の氾濫、伊勢湾岸の高潮・液状化に留意。</t>
        </is>
      </c>
    </row>
    <row r="1047">
      <c r="A1047" t="inlineStr">
        <is>
          <t>三重県</t>
        </is>
      </c>
      <c r="B1047" t="inlineStr">
        <is>
          <t>尾鷲市</t>
        </is>
      </c>
      <c r="C1047" t="n">
        <v>7600</v>
      </c>
      <c r="D1047" t="n">
        <v>14351</v>
      </c>
      <c r="E1047" s="6" t="n">
        <v>73.3</v>
      </c>
      <c r="F1047" s="7" t="n">
        <v>17.3</v>
      </c>
      <c r="G1047" t="n">
        <v>16252</v>
      </c>
      <c r="H1047" t="n">
        <v>14351</v>
      </c>
      <c r="I1047" t="n">
        <v>12645</v>
      </c>
      <c r="J1047" t="n">
        <v>8296</v>
      </c>
      <c r="K1047" s="27">
        <f>(H1047/D1047-1)</f>
        <v/>
      </c>
      <c r="L1047" s="27">
        <f>(I1047/D1047-1)</f>
        <v/>
      </c>
      <c r="M1047" s="27">
        <f>(J1047/D1047-1)</f>
        <v/>
      </c>
      <c r="N1047" t="n">
        <v>35.3</v>
      </c>
      <c r="O1047" s="28">
        <f>(N1047+F1047)/2</f>
        <v/>
      </c>
      <c r="P1047">
        <f>IF(O1047="計算不能","計算不能",IF(O1047&gt;=80,5,IF(O1047&gt;=60,4,IF(O1047&gt;=40,3,IF(O1047&gt;=28,2,1)))))</f>
        <v/>
      </c>
      <c r="Q1047" t="n">
        <v>1834</v>
      </c>
      <c r="R1047" t="n">
        <v>380</v>
      </c>
      <c r="S1047" s="27">
        <f>R1047/Q1047</f>
        <v/>
      </c>
      <c r="T1047" t="inlineStr">
        <is>
          <t>尾鷲市は2045年までに人口が約42.2%減と急激な過疎・超高齢化が進行。若年労働世代の流出と自然減が重なり、賃貸事業としての持続性は極めて限定的。</t>
        </is>
      </c>
      <c r="U1047" t="inlineStr">
        <is>
          <t>尾鷲市は人口密度73人/km²と過疎的水準で、民間賃貸の新規需要は薄い。実需に裏付けられた格安戸建ての指値取得のみが現実的。 借家の空室率は約21%とやや高めで、競合との差別化が必要。</t>
        </is>
      </c>
      <c r="V1047" t="inlineStr">
        <is>
          <t>尾鷲市（三重県）：南海トラフ津波の想定が深刻。雲出川・宮川の氾濫、伊勢湾岸の高潮・液状化に留意。</t>
        </is>
      </c>
    </row>
    <row r="1048">
      <c r="A1048" t="inlineStr">
        <is>
          <t>三重県</t>
        </is>
      </c>
      <c r="B1048" t="inlineStr">
        <is>
          <t>亀山市</t>
        </is>
      </c>
      <c r="C1048" t="n">
        <v>20820</v>
      </c>
      <c r="D1048" t="n">
        <v>49370</v>
      </c>
      <c r="E1048" s="6" t="n">
        <v>257.4</v>
      </c>
      <c r="F1048" s="7" t="n">
        <v>32.9</v>
      </c>
      <c r="G1048" t="n">
        <v>49835</v>
      </c>
      <c r="H1048" t="n">
        <v>49370</v>
      </c>
      <c r="I1048" t="n">
        <v>48497</v>
      </c>
      <c r="J1048" t="n">
        <v>44740</v>
      </c>
      <c r="K1048" s="27">
        <f>(H1048/D1048-1)</f>
        <v/>
      </c>
      <c r="L1048" s="27">
        <f>(I1048/D1048-1)</f>
        <v/>
      </c>
      <c r="M1048" s="27">
        <f>(J1048/D1048-1)</f>
        <v/>
      </c>
      <c r="N1048" t="n">
        <v>67.3</v>
      </c>
      <c r="O1048" s="28">
        <f>(N1048+F1048)/2</f>
        <v/>
      </c>
      <c r="P1048">
        <f>IF(O1048="計算不能","計算不能",IF(O1048&gt;=80,5,IF(O1048&gt;=60,4,IF(O1048&gt;=40,3,IF(O1048&gt;=28,2,1)))))</f>
        <v/>
      </c>
      <c r="Q1048" t="n">
        <v>5026</v>
      </c>
      <c r="R1048" t="n">
        <v>1760</v>
      </c>
      <c r="S1048" s="27">
        <f>R1048/Q1048</f>
        <v/>
      </c>
      <c r="T1048" t="inlineStr">
        <is>
          <t>亀山市は2045年までに人口が約9.4%減と緩やかな減少局面。若年層の都市部流出と高齢化が進むが、当面の賃貸稼働は一定程度維持される見通し。</t>
        </is>
      </c>
      <c r="U1048" t="inlineStr">
        <is>
          <t>亀山市は人口密度257人/km²と低密度で、賃貸需要は限定的。持ち家比率が高く、駐車場完備の戸建て賃貸が有利。 借家の空室率は約35%と供給過多気味で、空室長期化リスクに要警戒。</t>
        </is>
      </c>
      <c r="V1048" t="inlineStr">
        <is>
          <t>亀山市（三重県）：南海トラフ津波の想定が深刻。雲出川・宮川の氾濫、伊勢湾岸の高潮・液状化に留意。</t>
        </is>
      </c>
    </row>
    <row r="1049">
      <c r="A1049" t="inlineStr">
        <is>
          <t>三重県</t>
        </is>
      </c>
      <c r="B1049" t="inlineStr">
        <is>
          <t>鳥羽市</t>
        </is>
      </c>
      <c r="C1049" t="n">
        <v>7340</v>
      </c>
      <c r="D1049" t="n">
        <v>15513</v>
      </c>
      <c r="E1049" s="6" t="n">
        <v>140.9</v>
      </c>
      <c r="F1049" s="7" t="n">
        <v>24.1</v>
      </c>
      <c r="G1049" t="n">
        <v>17525</v>
      </c>
      <c r="H1049" t="n">
        <v>15513</v>
      </c>
      <c r="I1049" t="n">
        <v>13869</v>
      </c>
      <c r="J1049" t="n">
        <v>9409</v>
      </c>
      <c r="K1049" s="27">
        <f>(H1049/D1049-1)</f>
        <v/>
      </c>
      <c r="L1049" s="27">
        <f>(I1049/D1049-1)</f>
        <v/>
      </c>
      <c r="M1049" s="27">
        <f>(J1049/D1049-1)</f>
        <v/>
      </c>
      <c r="N1049" t="n">
        <v>36.5</v>
      </c>
      <c r="O1049" s="28">
        <f>(N1049+F1049)/2</f>
        <v/>
      </c>
      <c r="P1049">
        <f>IF(O1049="計算不能","計算不能",IF(O1049&gt;=80,5,IF(O1049&gt;=60,4,IF(O1049&gt;=40,3,IF(O1049&gt;=28,2,1)))))</f>
        <v/>
      </c>
      <c r="Q1049" t="n">
        <v>1771</v>
      </c>
      <c r="R1049" t="n">
        <v>510</v>
      </c>
      <c r="S1049" s="27">
        <f>R1049/Q1049</f>
        <v/>
      </c>
      <c r="T1049" t="inlineStr">
        <is>
          <t>鳥羽市は2045年までに人口が約39.3%減と急激な過疎・超高齢化が進行。若年労働世代の流出と自然減が重なり、賃貸事業としての持続性は極めて限定的。</t>
        </is>
      </c>
      <c r="U1049" t="inlineStr">
        <is>
          <t>鳥羽市は人口密度141人/km²と過疎的水準で、民間賃貸の新規需要は薄い。実需に裏付けられた格安戸建ての指値取得のみが現実的。 借家の空室率は約29%と供給過多気味で、空室長期化リスクに要警戒。</t>
        </is>
      </c>
      <c r="V1049" t="inlineStr">
        <is>
          <t>鳥羽市（三重県）：南海トラフ津波の想定が深刻。雲出川・宮川の氾濫、伊勢湾岸の高潮・液状化に留意。</t>
        </is>
      </c>
    </row>
    <row r="1050">
      <c r="A1050" t="inlineStr">
        <is>
          <t>三重県</t>
        </is>
      </c>
      <c r="B1050" t="inlineStr">
        <is>
          <t>熊野市</t>
        </is>
      </c>
      <c r="C1050" t="n">
        <v>7340</v>
      </c>
      <c r="D1050" t="n">
        <v>14592</v>
      </c>
      <c r="E1050" s="6" t="n">
        <v>37.5</v>
      </c>
      <c r="F1050" s="7" t="n">
        <v>13.8</v>
      </c>
      <c r="G1050" t="n">
        <v>15965</v>
      </c>
      <c r="H1050" t="n">
        <v>14592</v>
      </c>
      <c r="I1050" t="n">
        <v>13191</v>
      </c>
      <c r="J1050" t="n">
        <v>9422</v>
      </c>
      <c r="K1050" s="27">
        <f>(H1050/D1050-1)</f>
        <v/>
      </c>
      <c r="L1050" s="27">
        <f>(I1050/D1050-1)</f>
        <v/>
      </c>
      <c r="M1050" s="27">
        <f>(J1050/D1050-1)</f>
        <v/>
      </c>
      <c r="N1050" t="n">
        <v>40.2</v>
      </c>
      <c r="O1050" s="28">
        <f>(N1050+F1050)/2</f>
        <v/>
      </c>
      <c r="P1050">
        <f>IF(O1050="計算不能","計算不能",IF(O1050&gt;=80,5,IF(O1050&gt;=60,4,IF(O1050&gt;=40,3,IF(O1050&gt;=28,2,1)))))</f>
        <v/>
      </c>
      <c r="Q1050" t="n">
        <v>1771</v>
      </c>
      <c r="R1050" t="n">
        <v>370</v>
      </c>
      <c r="S1050" s="27">
        <f>R1050/Q1050</f>
        <v/>
      </c>
      <c r="T1050" t="inlineStr">
        <is>
          <t>熊野市は2045年までに人口が約35.4%減と急激な過疎・超高齢化が進行。若年労働世代の流出と自然減が重なり、賃貸事業としての持続性は極めて限定的。</t>
        </is>
      </c>
      <c r="U1050" t="inlineStr">
        <is>
          <t>熊野市は人口密度38人/km²と過疎的水準で、民間賃貸の新規需要は薄い。実需に裏付けられた格安戸建ての指値取得のみが現実的。 借家の空室率は約21%とやや高めで、競合との差別化が必要。</t>
        </is>
      </c>
      <c r="V1050" t="inlineStr">
        <is>
          <t>熊野市（三重県）：南海トラフ津波の想定が深刻。雲出川・宮川の氾濫、伊勢湾岸の高潮・液状化に留意。</t>
        </is>
      </c>
    </row>
    <row r="1051">
      <c r="A1051" t="inlineStr">
        <is>
          <t>三重県</t>
        </is>
      </c>
      <c r="B1051" t="inlineStr">
        <is>
          <t>いなべ市</t>
        </is>
      </c>
      <c r="C1051" t="n">
        <v>16160</v>
      </c>
      <c r="D1051" t="n">
        <v>43953</v>
      </c>
      <c r="E1051" s="6" t="n">
        <v>200.6</v>
      </c>
      <c r="F1051" s="7" t="n">
        <v>30</v>
      </c>
      <c r="G1051" t="n">
        <v>44973</v>
      </c>
      <c r="H1051" t="n">
        <v>43953</v>
      </c>
      <c r="I1051" t="n">
        <v>42741</v>
      </c>
      <c r="J1051" t="n">
        <v>37986</v>
      </c>
      <c r="K1051" s="27">
        <f>(H1051/D1051-1)</f>
        <v/>
      </c>
      <c r="L1051" s="27">
        <f>(I1051/D1051-1)</f>
        <v/>
      </c>
      <c r="M1051" s="27">
        <f>(J1051/D1051-1)</f>
        <v/>
      </c>
      <c r="N1051" t="n">
        <v>61.9</v>
      </c>
      <c r="O1051" s="28">
        <f>(N1051+F1051)/2</f>
        <v/>
      </c>
      <c r="P1051">
        <f>IF(O1051="計算不能","計算不能",IF(O1051&gt;=80,5,IF(O1051&gt;=60,4,IF(O1051&gt;=40,3,IF(O1051&gt;=28,2,1)))))</f>
        <v/>
      </c>
      <c r="Q1051" t="n">
        <v>3901</v>
      </c>
      <c r="R1051" t="n">
        <v>1740</v>
      </c>
      <c r="S1051" s="27">
        <f>R1051/Q1051</f>
        <v/>
      </c>
      <c r="T1051" t="inlineStr">
        <is>
          <t>いなべ市は2045年までに人口が約13.6%減と緩やかな減少局面。若年層の都市部流出と高齢化が進むが、当面の賃貸稼働は一定程度維持される見通し。</t>
        </is>
      </c>
      <c r="U1051" t="inlineStr">
        <is>
          <t>いなべ市は人口密度201人/km²と低密度で、賃貸需要は限定的。持ち家比率が高く、駐車場完備の戸建て賃貸が有利。 借家の空室率は約45%と供給過多気味で、空室長期化リスクに要警戒。</t>
        </is>
      </c>
      <c r="V1051" t="inlineStr">
        <is>
          <t>いなべ市（三重県）：南海トラフ津波の想定が深刻。雲出川・宮川の氾濫、伊勢湾岸の高潮・液状化に留意。</t>
        </is>
      </c>
    </row>
    <row r="1052">
      <c r="A1052" t="inlineStr">
        <is>
          <t>三重県</t>
        </is>
      </c>
      <c r="B1052" t="inlineStr">
        <is>
          <t>志摩市</t>
        </is>
      </c>
      <c r="C1052" t="n">
        <v>19090</v>
      </c>
      <c r="D1052" t="n">
        <v>41412</v>
      </c>
      <c r="E1052" s="6" t="n">
        <v>226.5</v>
      </c>
      <c r="F1052" s="7" t="n">
        <v>31.3</v>
      </c>
      <c r="G1052" t="n">
        <v>46057</v>
      </c>
      <c r="H1052" t="n">
        <v>41412</v>
      </c>
      <c r="I1052" t="n">
        <v>37300</v>
      </c>
      <c r="J1052" t="n">
        <v>25931</v>
      </c>
      <c r="K1052" s="27">
        <f>(H1052/D1052-1)</f>
        <v/>
      </c>
      <c r="L1052" s="27">
        <f>(I1052/D1052-1)</f>
        <v/>
      </c>
      <c r="M1052" s="27">
        <f>(J1052/D1052-1)</f>
        <v/>
      </c>
      <c r="N1052" t="n">
        <v>38.4</v>
      </c>
      <c r="O1052" s="28">
        <f>(N1052+F1052)/2</f>
        <v/>
      </c>
      <c r="P1052">
        <f>IF(O1052="計算不能","計算不能",IF(O1052&gt;=80,5,IF(O1052&gt;=60,4,IF(O1052&gt;=40,3,IF(O1052&gt;=28,2,1)))))</f>
        <v/>
      </c>
      <c r="Q1052" t="n">
        <v>4608</v>
      </c>
      <c r="R1052" t="n">
        <v>2200</v>
      </c>
      <c r="S1052" s="27">
        <f>R1052/Q1052</f>
        <v/>
      </c>
      <c r="T1052" t="inlineStr">
        <is>
          <t>志摩市は2045年までに人口が約37.4%減と急激な過疎・超高齢化が進行。若年労働世代の流出と自然減が重なり、賃貸事業としての持続性は極めて限定的。</t>
        </is>
      </c>
      <c r="U1052" t="inlineStr">
        <is>
          <t>志摩市は人口密度226人/km²と低密度で、賃貸需要は限定的。持ち家比率が高く、駐車場完備の戸建て賃貸が有利。 借家の空室率は約48%と供給過多気味で、空室長期化リスクに要警戒。</t>
        </is>
      </c>
      <c r="V1052" t="inlineStr">
        <is>
          <t>志摩市（三重県）：南海トラフ津波の想定が深刻。雲出川・宮川の氾濫、伊勢湾岸の高潮・液状化に留意。</t>
        </is>
      </c>
    </row>
    <row r="1053">
      <c r="A1053" t="inlineStr">
        <is>
          <t>三重県</t>
        </is>
      </c>
      <c r="B1053" t="inlineStr">
        <is>
          <t>伊賀市</t>
        </is>
      </c>
      <c r="C1053" t="n">
        <v>35700</v>
      </c>
      <c r="D1053" t="n">
        <v>84149</v>
      </c>
      <c r="E1053" s="6" t="n">
        <v>146.7</v>
      </c>
      <c r="F1053" s="7" t="n">
        <v>24.7</v>
      </c>
      <c r="G1053" t="n">
        <v>88766</v>
      </c>
      <c r="H1053" t="n">
        <v>84149</v>
      </c>
      <c r="I1053" t="n">
        <v>79441</v>
      </c>
      <c r="J1053" t="n">
        <v>65258</v>
      </c>
      <c r="K1053" s="27">
        <f>(H1053/D1053-1)</f>
        <v/>
      </c>
      <c r="L1053" s="27">
        <f>(I1053/D1053-1)</f>
        <v/>
      </c>
      <c r="M1053" s="27">
        <f>(J1053/D1053-1)</f>
        <v/>
      </c>
      <c r="N1053" t="n">
        <v>50.2</v>
      </c>
      <c r="O1053" s="28">
        <f>(N1053+F1053)/2</f>
        <v/>
      </c>
      <c r="P1053">
        <f>IF(O1053="計算不能","計算不能",IF(O1053&gt;=80,5,IF(O1053&gt;=60,4,IF(O1053&gt;=40,3,IF(O1053&gt;=28,2,1)))))</f>
        <v/>
      </c>
      <c r="Q1053" t="n">
        <v>8618</v>
      </c>
      <c r="R1053" t="n">
        <v>3060</v>
      </c>
      <c r="S1053" s="27">
        <f>R1053/Q1053</f>
        <v/>
      </c>
      <c r="T1053" t="inlineStr">
        <is>
          <t>伊賀市は2045年までに人口が約22.4%減と明確な減少トレンド。高齢化の進行と世帯数の縮小により、中長期では賃貸需要の構造的縮小に警戒が必要。</t>
        </is>
      </c>
      <c r="U1053" t="inlineStr">
        <is>
          <t>伊賀市は人口密度147人/km²と過疎的水準で、民間賃貸の新規需要は薄い。実需に裏付けられた格安戸建ての指値取得のみが現実的。 借家の空室率は約36%と供給過多気味で、空室長期化リスクに要警戒。</t>
        </is>
      </c>
      <c r="V1053" t="inlineStr">
        <is>
          <t>伊賀市（三重県）：南海トラフ津波の想定が深刻。雲出川・宮川の氾濫、伊勢湾岸の高潮・液状化に留意。</t>
        </is>
      </c>
    </row>
    <row r="1054">
      <c r="A1054" t="inlineStr">
        <is>
          <t>三重県</t>
        </is>
      </c>
      <c r="B1054" t="inlineStr">
        <is>
          <t>木曽岬町</t>
        </is>
      </c>
      <c r="C1054" t="n">
        <v>2611</v>
      </c>
      <c r="D1054" t="n">
        <v>5656</v>
      </c>
      <c r="E1054" s="6" t="n">
        <v>363</v>
      </c>
      <c r="F1054" s="7" t="n">
        <v>38.1</v>
      </c>
      <c r="G1054" t="n">
        <v>6023</v>
      </c>
      <c r="H1054" t="n">
        <v>5656</v>
      </c>
      <c r="I1054" t="n">
        <v>5251</v>
      </c>
      <c r="J1054" t="n">
        <v>3944</v>
      </c>
      <c r="K1054" s="27">
        <f>(H1054/D1054-1)</f>
        <v/>
      </c>
      <c r="L1054" s="27">
        <f>(I1054/D1054-1)</f>
        <v/>
      </c>
      <c r="M1054" s="27">
        <f>(J1054/D1054-1)</f>
        <v/>
      </c>
      <c r="N1054" t="n">
        <v>44.4</v>
      </c>
      <c r="O1054" s="28">
        <f>(N1054+F1054)/2</f>
        <v/>
      </c>
      <c r="P1054">
        <f>IF(O1054="計算不能","計算不能",IF(O1054&gt;=80,5,IF(O1054&gt;=60,4,IF(O1054&gt;=40,3,IF(O1054&gt;=28,2,1)))))</f>
        <v/>
      </c>
      <c r="Q1054" t="n">
        <v>630</v>
      </c>
      <c r="R1054" t="n">
        <v>0</v>
      </c>
      <c r="S1054" s="27">
        <f>R1054/Q1054</f>
        <v/>
      </c>
      <c r="T1054" t="inlineStr">
        <is>
          <t>木曽岬町は2045年までに人口が約30.3%減と急激な過疎・超高齢化が進行。若年労働世代の流出と自然減が重なり、賃貸事業としての持続性は極めて限定的。</t>
        </is>
      </c>
      <c r="U1054" t="inlineStr">
        <is>
          <t>木曽岬町は人口密度363人/km²と低密度で、賃貸需要は限定的。持ち家比率が高く、駐車場完備の戸建て賃貸が有利。 借家の空室率は約0%と需給は比較的引き締まっている。</t>
        </is>
      </c>
      <c r="V1054" t="inlineStr">
        <is>
          <t>木曽岬町（三重県）：南海トラフ津波の想定が深刻。雲出川・宮川の氾濫、伊勢湾岸の高潮・液状化に留意。</t>
        </is>
      </c>
    </row>
    <row r="1055">
      <c r="A1055" t="inlineStr">
        <is>
          <t>三重県</t>
        </is>
      </c>
      <c r="B1055" t="inlineStr">
        <is>
          <t>東員町</t>
        </is>
      </c>
      <c r="C1055" t="n">
        <v>9740</v>
      </c>
      <c r="D1055" t="n">
        <v>25548</v>
      </c>
      <c r="E1055" s="6" t="n">
        <v>1118.4</v>
      </c>
      <c r="F1055" s="7" t="n">
        <v>57.4</v>
      </c>
      <c r="G1055" t="n">
        <v>25784</v>
      </c>
      <c r="H1055" t="n">
        <v>25548</v>
      </c>
      <c r="I1055" t="n">
        <v>24816</v>
      </c>
      <c r="J1055" t="n">
        <v>21610</v>
      </c>
      <c r="K1055" s="27">
        <f>(H1055/D1055-1)</f>
        <v/>
      </c>
      <c r="L1055" s="27">
        <f>(I1055/D1055-1)</f>
        <v/>
      </c>
      <c r="M1055" s="27">
        <f>(J1055/D1055-1)</f>
        <v/>
      </c>
      <c r="N1055" t="n">
        <v>63.5</v>
      </c>
      <c r="O1055" s="28">
        <f>(N1055+F1055)/2</f>
        <v/>
      </c>
      <c r="P1055">
        <f>IF(O1055="計算不能","計算不能",IF(O1055&gt;=80,5,IF(O1055&gt;=60,4,IF(O1055&gt;=40,3,IF(O1055&gt;=28,2,1)))))</f>
        <v/>
      </c>
      <c r="Q1055" t="n">
        <v>2351</v>
      </c>
      <c r="R1055" t="n">
        <v>100</v>
      </c>
      <c r="S1055" s="27">
        <f>R1055/Q1055</f>
        <v/>
      </c>
      <c r="T1055" t="inlineStr">
        <is>
          <t>東員町は2045年までに人口が約15.4%減と明確な減少トレンド。高齢化の進行と世帯数の縮小により、中長期では賃貸需要の構造的縮小に警戒が必要。</t>
        </is>
      </c>
      <c r="U1055" t="inlineStr">
        <is>
          <t>東員町は人口密度1,118人/km²で、主要道路沿いや中心市街地に一定の賃貸需要が局在。立地選別が稼働を左右する。 借家の空室率は約4%と需給は比較的引き締まっている。</t>
        </is>
      </c>
      <c r="V1055" t="inlineStr">
        <is>
          <t>東員町（三重県）：南海トラフ津波の想定が深刻。雲出川・宮川の氾濫、伊勢湾岸の高潮・液状化に留意。</t>
        </is>
      </c>
    </row>
    <row r="1056">
      <c r="A1056" t="inlineStr">
        <is>
          <t>三重県</t>
        </is>
      </c>
      <c r="B1056" t="inlineStr">
        <is>
          <t>菰野町</t>
        </is>
      </c>
      <c r="C1056" t="n">
        <v>15260</v>
      </c>
      <c r="D1056" t="n">
        <v>39615</v>
      </c>
      <c r="E1056" s="6" t="n">
        <v>367.2</v>
      </c>
      <c r="F1056" s="7" t="n">
        <v>38.4</v>
      </c>
      <c r="G1056" t="n">
        <v>40559</v>
      </c>
      <c r="H1056" t="n">
        <v>39615</v>
      </c>
      <c r="I1056" t="n">
        <v>39254</v>
      </c>
      <c r="J1056" t="n">
        <v>37232</v>
      </c>
      <c r="K1056" s="27">
        <f>(H1056/D1056-1)</f>
        <v/>
      </c>
      <c r="L1056" s="27">
        <f>(I1056/D1056-1)</f>
        <v/>
      </c>
      <c r="M1056" s="27">
        <f>(J1056/D1056-1)</f>
        <v/>
      </c>
      <c r="N1056" t="n">
        <v>66.8</v>
      </c>
      <c r="O1056" s="28">
        <f>(N1056+F1056)/2</f>
        <v/>
      </c>
      <c r="P1056">
        <f>IF(O1056="計算不能","計算不能",IF(O1056&gt;=80,5,IF(O1056&gt;=60,4,IF(O1056&gt;=40,3,IF(O1056&gt;=28,2,1)))))</f>
        <v/>
      </c>
      <c r="Q1056" t="n">
        <v>3683</v>
      </c>
      <c r="R1056" t="n">
        <v>590</v>
      </c>
      <c r="S1056" s="27">
        <f>R1056/Q1056</f>
        <v/>
      </c>
      <c r="T1056" t="inlineStr">
        <is>
          <t>菰野町は2045年までに人口が約6.0%減と緩やかな減少局面。若年層の都市部流出と高齢化が進むが、当面の賃貸稼働は一定程度維持される見通し。</t>
        </is>
      </c>
      <c r="U1056" t="inlineStr">
        <is>
          <t>菰野町は人口密度367人/km²と低密度で、賃貸需要は限定的。持ち家比率が高く、駐車場完備の戸建て賃貸が有利。 借家の空室率は約16%と需給は比較的引き締まっている。</t>
        </is>
      </c>
      <c r="V1056" t="inlineStr">
        <is>
          <t>菰野町（三重県）：南海トラフ津波の想定が深刻。雲出川・宮川の氾濫、伊勢湾岸の高潮・液状化に留意。</t>
        </is>
      </c>
    </row>
    <row r="1057">
      <c r="A1057" t="inlineStr">
        <is>
          <t>三重県</t>
        </is>
      </c>
      <c r="B1057" t="inlineStr">
        <is>
          <t>朝日町</t>
        </is>
      </c>
      <c r="C1057" t="n">
        <v>4425</v>
      </c>
      <c r="D1057" t="n">
        <v>11195</v>
      </c>
      <c r="E1057" s="6" t="n">
        <v>1846.9</v>
      </c>
      <c r="F1057" s="7" t="n">
        <v>68.5</v>
      </c>
      <c r="G1057" t="n">
        <v>11021</v>
      </c>
      <c r="H1057" t="n">
        <v>11195</v>
      </c>
      <c r="I1057" t="n">
        <v>11188</v>
      </c>
      <c r="J1057" t="n">
        <v>10967</v>
      </c>
      <c r="K1057" s="27">
        <f>(H1057/D1057-1)</f>
        <v/>
      </c>
      <c r="L1057" s="27">
        <f>(I1057/D1057-1)</f>
        <v/>
      </c>
      <c r="M1057" s="27">
        <f>(J1057/D1057-1)</f>
        <v/>
      </c>
      <c r="N1057" t="n">
        <v>77.09999999999999</v>
      </c>
      <c r="O1057" s="28">
        <f>(N1057+F1057)/2</f>
        <v/>
      </c>
      <c r="P1057">
        <f>IF(O1057="計算不能","計算不能",IF(O1057&gt;=80,5,IF(O1057&gt;=60,4,IF(O1057&gt;=40,3,IF(O1057&gt;=28,2,1)))))</f>
        <v/>
      </c>
      <c r="Q1057" t="n">
        <v>1068</v>
      </c>
      <c r="R1057" t="n">
        <v>0</v>
      </c>
      <c r="S1057" s="27">
        <f>R1057/Q1057</f>
        <v/>
      </c>
      <c r="T1057" t="inlineStr">
        <is>
          <t>朝日町は2045年までの人口減少率が約2.0%と全国平均より緩やかで、概ね横ばいの安定推移。生産年齢人口の維持により、賃貸需要の急減リスクは相対的に低い。</t>
        </is>
      </c>
      <c r="U1057" t="inlineStr">
        <is>
          <t>朝日町は人口密度1,847人/km²の都市部で、駅周辺や生活利便施設沿いに安定した賃貸需要がある。適切な家賃設定で高稼働を期待できる。 借家の空室率は約0%と需給は比較的引き締まっている。</t>
        </is>
      </c>
      <c r="V1057" t="inlineStr">
        <is>
          <t>朝日町（三重県）：南海トラフ津波の想定が深刻。雲出川・宮川の氾濫、伊勢湾岸の高潮・液状化に留意。</t>
        </is>
      </c>
    </row>
    <row r="1058">
      <c r="A1058" t="inlineStr">
        <is>
          <t>三重県</t>
        </is>
      </c>
      <c r="B1058" t="inlineStr">
        <is>
          <t>川越町</t>
        </is>
      </c>
      <c r="C1058" t="n">
        <v>6570</v>
      </c>
      <c r="D1058" t="n">
        <v>15394</v>
      </c>
      <c r="E1058" s="6" t="n">
        <v>1811.2</v>
      </c>
      <c r="F1058" s="7" t="n">
        <v>68.09999999999999</v>
      </c>
      <c r="G1058" t="n">
        <v>15123</v>
      </c>
      <c r="H1058" t="n">
        <v>15394</v>
      </c>
      <c r="I1058" t="n">
        <v>15515</v>
      </c>
      <c r="J1058" t="n">
        <v>15204</v>
      </c>
      <c r="K1058" s="27">
        <f>(H1058/D1058-1)</f>
        <v/>
      </c>
      <c r="L1058" s="27">
        <f>(I1058/D1058-1)</f>
        <v/>
      </c>
      <c r="M1058" s="27">
        <f>(J1058/D1058-1)</f>
        <v/>
      </c>
      <c r="N1058" t="n">
        <v>78.5</v>
      </c>
      <c r="O1058" s="28">
        <f>(N1058+F1058)/2</f>
        <v/>
      </c>
      <c r="P1058">
        <f>IF(O1058="計算不能","計算不能",IF(O1058&gt;=80,5,IF(O1058&gt;=60,4,IF(O1058&gt;=40,3,IF(O1058&gt;=28,2,1)))))</f>
        <v/>
      </c>
      <c r="Q1058" t="n">
        <v>1586</v>
      </c>
      <c r="R1058" t="n">
        <v>1510</v>
      </c>
      <c r="S1058" s="27">
        <f>R1058/Q1058</f>
        <v/>
      </c>
      <c r="T1058" t="inlineStr">
        <is>
          <t>川越町は2045年までの人口減少率が約1.2%と全国平均より緩やかで、概ね横ばいの安定推移。生産年齢人口の維持により、賃貸需要の急減リスクは相対的に低い。</t>
        </is>
      </c>
      <c r="U1058" t="inlineStr">
        <is>
          <t>川越町は人口密度1,811人/km²の都市部で、駅周辺や生活利便施設沿いに安定した賃貸需要がある。適切な家賃設定で高稼働を期待できる。 借家の空室率は約95%と供給過多気味で、空室長期化リスクに要警戒。</t>
        </is>
      </c>
      <c r="V1058" t="inlineStr">
        <is>
          <t>川越町（三重県）：南海トラフ津波の想定が深刻。雲出川・宮川の氾濫、伊勢湾岸の高潮・液状化に留意。</t>
        </is>
      </c>
    </row>
    <row r="1059">
      <c r="A1059" t="inlineStr">
        <is>
          <t>三重県</t>
        </is>
      </c>
      <c r="B1059" t="inlineStr">
        <is>
          <t>多気町</t>
        </is>
      </c>
      <c r="C1059" t="n">
        <v>5790</v>
      </c>
      <c r="D1059" t="n">
        <v>13213</v>
      </c>
      <c r="E1059" s="6" t="n">
        <v>125.2</v>
      </c>
      <c r="F1059" s="7" t="n">
        <v>22.5</v>
      </c>
      <c r="G1059" t="n">
        <v>14021</v>
      </c>
      <c r="H1059" t="n">
        <v>13213</v>
      </c>
      <c r="I1059" t="n">
        <v>12407</v>
      </c>
      <c r="J1059" t="n">
        <v>10098</v>
      </c>
      <c r="K1059" s="27">
        <f>(H1059/D1059-1)</f>
        <v/>
      </c>
      <c r="L1059" s="27">
        <f>(I1059/D1059-1)</f>
        <v/>
      </c>
      <c r="M1059" s="27">
        <f>(J1059/D1059-1)</f>
        <v/>
      </c>
      <c r="N1059" t="n">
        <v>48.3</v>
      </c>
      <c r="O1059" s="28">
        <f>(N1059+F1059)/2</f>
        <v/>
      </c>
      <c r="P1059">
        <f>IF(O1059="計算不能","計算不能",IF(O1059&gt;=80,5,IF(O1059&gt;=60,4,IF(O1059&gt;=40,3,IF(O1059&gt;=28,2,1)))))</f>
        <v/>
      </c>
      <c r="Q1059" t="n">
        <v>1397</v>
      </c>
      <c r="R1059" t="n">
        <v>0</v>
      </c>
      <c r="S1059" s="27">
        <f>R1059/Q1059</f>
        <v/>
      </c>
      <c r="T1059" t="inlineStr">
        <is>
          <t>多気町は2045年までに人口が約23.6%減と明確な減少トレンド。高齢化の進行と世帯数の縮小により、中長期では賃貸需要の構造的縮小に警戒が必要。</t>
        </is>
      </c>
      <c r="U1059" t="inlineStr">
        <is>
          <t>多気町は人口密度125人/km²と過疎的水準で、民間賃貸の新規需要は薄い。実需に裏付けられた格安戸建ての指値取得のみが現実的。 借家の空室率は約0%と需給は比較的引き締まっている。</t>
        </is>
      </c>
      <c r="V1059" t="inlineStr">
        <is>
          <t>多気町（三重県）：南海トラフ津波の想定が深刻。雲出川・宮川の氾濫、伊勢湾岸の高潮・液状化に留意。</t>
        </is>
      </c>
    </row>
    <row r="1060">
      <c r="A1060" t="inlineStr">
        <is>
          <t>三重県</t>
        </is>
      </c>
      <c r="B1060" t="inlineStr">
        <is>
          <t>明和町</t>
        </is>
      </c>
      <c r="C1060" t="n">
        <v>8540</v>
      </c>
      <c r="D1060" t="n">
        <v>21911</v>
      </c>
      <c r="E1060" s="6" t="n">
        <v>522.3</v>
      </c>
      <c r="F1060" s="7" t="n">
        <v>45.4</v>
      </c>
      <c r="G1060" t="n">
        <v>22445</v>
      </c>
      <c r="H1060" t="n">
        <v>21911</v>
      </c>
      <c r="I1060" t="n">
        <v>21216</v>
      </c>
      <c r="J1060" t="n">
        <v>18792</v>
      </c>
      <c r="K1060" s="27">
        <f>(H1060/D1060-1)</f>
        <v/>
      </c>
      <c r="L1060" s="27">
        <f>(I1060/D1060-1)</f>
        <v/>
      </c>
      <c r="M1060" s="27">
        <f>(J1060/D1060-1)</f>
        <v/>
      </c>
      <c r="N1060" t="n">
        <v>61.1</v>
      </c>
      <c r="O1060" s="28">
        <f>(N1060+F1060)/2</f>
        <v/>
      </c>
      <c r="P1060">
        <f>IF(O1060="計算不能","計算不能",IF(O1060&gt;=80,5,IF(O1060&gt;=60,4,IF(O1060&gt;=40,3,IF(O1060&gt;=28,2,1)))))</f>
        <v/>
      </c>
      <c r="Q1060" t="n">
        <v>2061</v>
      </c>
      <c r="R1060" t="n">
        <v>30</v>
      </c>
      <c r="S1060" s="27">
        <f>R1060/Q1060</f>
        <v/>
      </c>
      <c r="T1060" t="inlineStr">
        <is>
          <t>明和町は2045年までに人口が約14.2%減と緩やかな減少局面。若年層の都市部流出と高齢化が進むが、当面の賃貸稼働は一定程度維持される見通し。</t>
        </is>
      </c>
      <c r="U1060" t="inlineStr">
        <is>
          <t>明和町は人口密度522人/km²で、主要道路沿いや中心市街地に一定の賃貸需要が局在。立地選別が稼働を左右する。 借家の空室率は約1%と需給は比較的引き締まっている。</t>
        </is>
      </c>
      <c r="V1060" t="inlineStr">
        <is>
          <t>明和町（三重県）：南海トラフ津波の想定が深刻。雲出川・宮川の氾濫、伊勢湾岸の高潮・液状化に留意。</t>
        </is>
      </c>
    </row>
    <row r="1061">
      <c r="A1061" t="inlineStr">
        <is>
          <t>三重県</t>
        </is>
      </c>
      <c r="B1061" t="inlineStr">
        <is>
          <t>大台町</t>
        </is>
      </c>
      <c r="C1061" t="n">
        <v>4026</v>
      </c>
      <c r="D1061" t="n">
        <v>7794</v>
      </c>
      <c r="E1061" s="6" t="n">
        <v>21.5</v>
      </c>
      <c r="F1061" s="7" t="n">
        <v>12.2</v>
      </c>
      <c r="G1061" t="n">
        <v>8668</v>
      </c>
      <c r="H1061" t="n">
        <v>7794</v>
      </c>
      <c r="I1061" t="n">
        <v>6989</v>
      </c>
      <c r="J1061" t="n">
        <v>4890</v>
      </c>
      <c r="K1061" s="27">
        <f>(H1061/D1061-1)</f>
        <v/>
      </c>
      <c r="L1061" s="27">
        <f>(I1061/D1061-1)</f>
        <v/>
      </c>
      <c r="M1061" s="27">
        <f>(J1061/D1061-1)</f>
        <v/>
      </c>
      <c r="N1061" t="n">
        <v>38.3</v>
      </c>
      <c r="O1061" s="28">
        <f>(N1061+F1061)/2</f>
        <v/>
      </c>
      <c r="P1061">
        <f>IF(O1061="計算不能","計算不能",IF(O1061&gt;=80,5,IF(O1061&gt;=60,4,IF(O1061&gt;=40,3,IF(O1061&gt;=28,2,1)))))</f>
        <v/>
      </c>
      <c r="Q1061" t="n">
        <v>971</v>
      </c>
      <c r="R1061" t="n">
        <v>0</v>
      </c>
      <c r="S1061" s="27">
        <f>R1061/Q1061</f>
        <v/>
      </c>
      <c r="T1061" t="inlineStr">
        <is>
          <t>大台町は2045年までに人口が約37.3%減と急激な過疎・超高齢化が進行。若年労働世代の流出と自然減が重なり、賃貸事業としての持続性は極めて限定的。</t>
        </is>
      </c>
      <c r="U1061" t="inlineStr">
        <is>
          <t>大台町は人口密度22人/km²と過疎的水準で、民間賃貸の新規需要は薄い。実需に裏付けられた格安戸建ての指値取得のみが現実的。 借家の空室率は約0%と需給は比較的引き締まっている。</t>
        </is>
      </c>
      <c r="V1061" t="inlineStr">
        <is>
          <t>大台町（三重県）：南海トラフ津波の想定が深刻。雲出川・宮川の氾濫、伊勢湾岸の高潮・液状化に留意。</t>
        </is>
      </c>
    </row>
    <row r="1062">
      <c r="A1062" t="inlineStr">
        <is>
          <t>三重県</t>
        </is>
      </c>
      <c r="B1062" t="inlineStr">
        <is>
          <t>玉城町</t>
        </is>
      </c>
      <c r="C1062" t="n">
        <v>5250</v>
      </c>
      <c r="D1062" t="n">
        <v>14733</v>
      </c>
      <c r="E1062" s="6" t="n">
        <v>351.3</v>
      </c>
      <c r="F1062" s="7" t="n">
        <v>37.6</v>
      </c>
      <c r="G1062" t="n">
        <v>15041</v>
      </c>
      <c r="H1062" t="n">
        <v>14733</v>
      </c>
      <c r="I1062" t="n">
        <v>14355</v>
      </c>
      <c r="J1062" t="n">
        <v>12970</v>
      </c>
      <c r="K1062" s="27">
        <f>(H1062/D1062-1)</f>
        <v/>
      </c>
      <c r="L1062" s="27">
        <f>(I1062/D1062-1)</f>
        <v/>
      </c>
      <c r="M1062" s="27">
        <f>(J1062/D1062-1)</f>
        <v/>
      </c>
      <c r="N1062" t="n">
        <v>63.3</v>
      </c>
      <c r="O1062" s="28">
        <f>(N1062+F1062)/2</f>
        <v/>
      </c>
      <c r="P1062">
        <f>IF(O1062="計算不能","計算不能",IF(O1062&gt;=80,5,IF(O1062&gt;=60,4,IF(O1062&gt;=40,3,IF(O1062&gt;=28,2,1)))))</f>
        <v/>
      </c>
      <c r="Q1062" t="n">
        <v>1267</v>
      </c>
      <c r="R1062" t="n">
        <v>220</v>
      </c>
      <c r="S1062" s="27">
        <f>R1062/Q1062</f>
        <v/>
      </c>
      <c r="T1062" t="inlineStr">
        <is>
          <t>玉城町は2045年までに人口が約12.0%減と緩やかな減少局面。若年層の都市部流出と高齢化が進むが、当面の賃貸稼働は一定程度維持される見通し。</t>
        </is>
      </c>
      <c r="U1062" t="inlineStr">
        <is>
          <t>玉城町は人口密度351人/km²と低密度で、賃貸需要は限定的。持ち家比率が高く、駐車場完備の戸建て賃貸が有利。 借家の空室率は約17%と需給は比較的引き締まっている。</t>
        </is>
      </c>
      <c r="V1062" t="inlineStr">
        <is>
          <t>玉城町（三重県）：南海トラフ津波の想定が深刻。雲出川・宮川の氾濫、伊勢湾岸の高潮・液状化に留意。</t>
        </is>
      </c>
    </row>
    <row r="1063">
      <c r="A1063" t="inlineStr">
        <is>
          <t>三重県</t>
        </is>
      </c>
      <c r="B1063" t="inlineStr">
        <is>
          <t>度会町</t>
        </is>
      </c>
      <c r="C1063" t="n">
        <v>3160</v>
      </c>
      <c r="D1063" t="n">
        <v>7332</v>
      </c>
      <c r="E1063" s="6" t="n">
        <v>53.5</v>
      </c>
      <c r="F1063" s="7" t="n">
        <v>15.3</v>
      </c>
      <c r="G1063" t="n">
        <v>7847</v>
      </c>
      <c r="H1063" t="n">
        <v>7332</v>
      </c>
      <c r="I1063" t="n">
        <v>6784</v>
      </c>
      <c r="J1063" t="n">
        <v>5107</v>
      </c>
      <c r="K1063" s="27">
        <f>(H1063/D1063-1)</f>
        <v/>
      </c>
      <c r="L1063" s="27">
        <f>(I1063/D1063-1)</f>
        <v/>
      </c>
      <c r="M1063" s="27">
        <f>(J1063/D1063-1)</f>
        <v/>
      </c>
      <c r="N1063" t="n">
        <v>43.9</v>
      </c>
      <c r="O1063" s="28">
        <f>(N1063+F1063)/2</f>
        <v/>
      </c>
      <c r="P1063">
        <f>IF(O1063="計算不能","計算不能",IF(O1063&gt;=80,5,IF(O1063&gt;=60,4,IF(O1063&gt;=40,3,IF(O1063&gt;=28,2,1)))))</f>
        <v/>
      </c>
      <c r="Q1063" t="n">
        <v>762</v>
      </c>
      <c r="R1063" t="n">
        <v>0</v>
      </c>
      <c r="S1063" s="27">
        <f>R1063/Q1063</f>
        <v/>
      </c>
      <c r="T1063" t="inlineStr">
        <is>
          <t>度会町は2045年までに人口が約30.3%減と急激な過疎・超高齢化が進行。若年労働世代の流出と自然減が重なり、賃貸事業としての持続性は極めて限定的。</t>
        </is>
      </c>
      <c r="U1063" t="inlineStr">
        <is>
          <t>度会町は人口密度54人/km²と過疎的水準で、民間賃貸の新規需要は薄い。実需に裏付けられた格安戸建ての指値取得のみが現実的。 借家の空室率は約0%と需給は比較的引き締まっている。</t>
        </is>
      </c>
      <c r="V1063" t="inlineStr">
        <is>
          <t>度会町（三重県）：南海トラフ津波の想定が深刻。雲出川・宮川の氾濫、伊勢湾岸の高潮・液状化に留意。</t>
        </is>
      </c>
    </row>
    <row r="1064">
      <c r="A1064" t="inlineStr">
        <is>
          <t>三重県</t>
        </is>
      </c>
      <c r="B1064" t="inlineStr">
        <is>
          <t>大紀町</t>
        </is>
      </c>
      <c r="C1064" t="n">
        <v>3822</v>
      </c>
      <c r="D1064" t="n">
        <v>6855</v>
      </c>
      <c r="E1064" s="6" t="n">
        <v>28.1</v>
      </c>
      <c r="F1064" s="7" t="n">
        <v>12.8</v>
      </c>
      <c r="G1064" t="n">
        <v>7815</v>
      </c>
      <c r="H1064" t="n">
        <v>6855</v>
      </c>
      <c r="I1064" t="n">
        <v>5947</v>
      </c>
      <c r="J1064" t="n">
        <v>3686</v>
      </c>
      <c r="K1064" s="27">
        <f>(H1064/D1064-1)</f>
        <v/>
      </c>
      <c r="L1064" s="27">
        <f>(I1064/D1064-1)</f>
        <v/>
      </c>
      <c r="M1064" s="27">
        <f>(J1064/D1064-1)</f>
        <v/>
      </c>
      <c r="N1064" t="n">
        <v>33.5</v>
      </c>
      <c r="O1064" s="28">
        <f>(N1064+F1064)/2</f>
        <v/>
      </c>
      <c r="P1064">
        <f>IF(O1064="計算不能","計算不能",IF(O1064&gt;=80,5,IF(O1064&gt;=60,4,IF(O1064&gt;=40,3,IF(O1064&gt;=28,2,1)))))</f>
        <v/>
      </c>
      <c r="Q1064" t="n">
        <v>922</v>
      </c>
      <c r="R1064" t="n">
        <v>0</v>
      </c>
      <c r="S1064" s="27">
        <f>R1064/Q1064</f>
        <v/>
      </c>
      <c r="T1064" t="inlineStr">
        <is>
          <t>大紀町は2045年までに人口が約46.2%減と急激な過疎・超高齢化が進行。若年労働世代の流出と自然減が重なり、賃貸事業としての持続性は極めて限定的。</t>
        </is>
      </c>
      <c r="U1064" t="inlineStr">
        <is>
          <t>大紀町は人口密度28人/km²と過疎的水準で、民間賃貸の新規需要は薄い。実需に裏付けられた格安戸建ての指値取得のみが現実的。 借家の空室率は約0%と需給は比較的引き締まっている。</t>
        </is>
      </c>
      <c r="V1064" t="inlineStr">
        <is>
          <t>大紀町（三重県）：南海トラフ津波の想定が深刻。雲出川・宮川の氾濫、伊勢湾岸の高潮・液状化に留意。</t>
        </is>
      </c>
    </row>
    <row r="1065">
      <c r="A1065" t="inlineStr">
        <is>
          <t>三重県</t>
        </is>
      </c>
      <c r="B1065" t="inlineStr">
        <is>
          <t>南伊勢町</t>
        </is>
      </c>
      <c r="C1065" t="n">
        <v>5472</v>
      </c>
      <c r="D1065" t="n">
        <v>9180</v>
      </c>
      <c r="E1065" s="6" t="n">
        <v>38.1</v>
      </c>
      <c r="F1065" s="7" t="n">
        <v>13.8</v>
      </c>
      <c r="G1065" t="n">
        <v>10989</v>
      </c>
      <c r="H1065" t="n">
        <v>9180</v>
      </c>
      <c r="I1065" t="n">
        <v>7715</v>
      </c>
      <c r="J1065" t="n">
        <v>4265</v>
      </c>
      <c r="K1065" s="27">
        <f>(H1065/D1065-1)</f>
        <v/>
      </c>
      <c r="L1065" s="27">
        <f>(I1065/D1065-1)</f>
        <v/>
      </c>
      <c r="M1065" s="27">
        <f>(J1065/D1065-1)</f>
        <v/>
      </c>
      <c r="N1065" t="n">
        <v>28.8</v>
      </c>
      <c r="O1065" s="28">
        <f>(N1065+F1065)/2</f>
        <v/>
      </c>
      <c r="P1065">
        <f>IF(O1065="計算不能","計算不能",IF(O1065&gt;=80,5,IF(O1065&gt;=60,4,IF(O1065&gt;=40,3,IF(O1065&gt;=28,2,1)))))</f>
        <v/>
      </c>
      <c r="Q1065" t="n">
        <v>1320</v>
      </c>
      <c r="R1065" t="n">
        <v>0</v>
      </c>
      <c r="S1065" s="27">
        <f>R1065/Q1065</f>
        <v/>
      </c>
      <c r="T1065" t="inlineStr">
        <is>
          <t>南伊勢町は2045年までに人口が約53.5%減と急激な過疎・超高齢化が進行。若年労働世代の流出と自然減が重なり、賃貸事業としての持続性は極めて限定的。</t>
        </is>
      </c>
      <c r="U1065" t="inlineStr">
        <is>
          <t>南伊勢町は人口密度38人/km²と過疎的水準で、民間賃貸の新規需要は薄い。実需に裏付けられた格安戸建ての指値取得のみが現実的。 借家の空室率は約0%と需給は比較的引き締まっている。</t>
        </is>
      </c>
      <c r="V1065" t="inlineStr">
        <is>
          <t>南伊勢町（三重県）：南海トラフ津波の想定が深刻。雲出川・宮川の氾濫、伊勢湾岸の高潮・液状化に留意。</t>
        </is>
      </c>
    </row>
    <row r="1066">
      <c r="A1066" t="inlineStr">
        <is>
          <t>三重県</t>
        </is>
      </c>
      <c r="B1066" t="inlineStr">
        <is>
          <t>紀北町</t>
        </is>
      </c>
      <c r="C1066" t="n">
        <v>7598</v>
      </c>
      <c r="D1066" t="n">
        <v>12755</v>
      </c>
      <c r="E1066" s="6" t="n">
        <v>48.6</v>
      </c>
      <c r="F1066" s="7" t="n">
        <v>14.9</v>
      </c>
      <c r="G1066" t="n">
        <v>14604</v>
      </c>
      <c r="H1066" t="n">
        <v>12755</v>
      </c>
      <c r="I1066" t="n">
        <v>11275</v>
      </c>
      <c r="J1066" t="n">
        <v>7395</v>
      </c>
      <c r="K1066" s="27">
        <f>(H1066/D1066-1)</f>
        <v/>
      </c>
      <c r="L1066" s="27">
        <f>(I1066/D1066-1)</f>
        <v/>
      </c>
      <c r="M1066" s="27">
        <f>(J1066/D1066-1)</f>
        <v/>
      </c>
      <c r="N1066" t="n">
        <v>34.6</v>
      </c>
      <c r="O1066" s="28">
        <f>(N1066+F1066)/2</f>
        <v/>
      </c>
      <c r="P1066">
        <f>IF(O1066="計算不能","計算不能",IF(O1066&gt;=80,5,IF(O1066&gt;=60,4,IF(O1066&gt;=40,3,IF(O1066&gt;=28,2,1)))))</f>
        <v/>
      </c>
      <c r="Q1066" t="n">
        <v>1834</v>
      </c>
      <c r="R1066" t="n">
        <v>0</v>
      </c>
      <c r="S1066" s="27">
        <f>R1066/Q1066</f>
        <v/>
      </c>
      <c r="T1066" t="inlineStr">
        <is>
          <t>紀北町は2045年までに人口が約42.0%減と急激な過疎・超高齢化が進行。若年労働世代の流出と自然減が重なり、賃貸事業としての持続性は極めて限定的。</t>
        </is>
      </c>
      <c r="U1066" t="inlineStr">
        <is>
          <t>紀北町は人口密度49人/km²と過疎的水準で、民間賃貸の新規需要は薄い。実需に裏付けられた格安戸建ての指値取得のみが現実的。 借家の空室率は約0%と需給は比較的引き締まっている。</t>
        </is>
      </c>
      <c r="V1066" t="inlineStr">
        <is>
          <t>紀北町（三重県）：南海トラフ津波の想定が深刻。雲出川・宮川の氾濫、伊勢湾岸の高潮・液状化に留意。</t>
        </is>
      </c>
    </row>
    <row r="1067">
      <c r="A1067" t="inlineStr">
        <is>
          <t>三重県</t>
        </is>
      </c>
      <c r="B1067" t="inlineStr">
        <is>
          <t>御浜町</t>
        </is>
      </c>
      <c r="C1067" t="n">
        <v>4048</v>
      </c>
      <c r="D1067" t="n">
        <v>7464</v>
      </c>
      <c r="E1067" s="6" t="n">
        <v>82.90000000000001</v>
      </c>
      <c r="F1067" s="7" t="n">
        <v>18.3</v>
      </c>
      <c r="G1067" t="n">
        <v>8079</v>
      </c>
      <c r="H1067" t="n">
        <v>7464</v>
      </c>
      <c r="I1067" t="n">
        <v>6858</v>
      </c>
      <c r="J1067" t="n">
        <v>5228</v>
      </c>
      <c r="K1067" s="27">
        <f>(H1067/D1067-1)</f>
        <v/>
      </c>
      <c r="L1067" s="27">
        <f>(I1067/D1067-1)</f>
        <v/>
      </c>
      <c r="M1067" s="27">
        <f>(J1067/D1067-1)</f>
        <v/>
      </c>
      <c r="N1067" t="n">
        <v>42.8</v>
      </c>
      <c r="O1067" s="28">
        <f>(N1067+F1067)/2</f>
        <v/>
      </c>
      <c r="P1067">
        <f>IF(O1067="計算不能","計算不能",IF(O1067&gt;=80,5,IF(O1067&gt;=60,4,IF(O1067&gt;=40,3,IF(O1067&gt;=28,2,1)))))</f>
        <v/>
      </c>
      <c r="Q1067" t="n">
        <v>977</v>
      </c>
      <c r="R1067" t="n">
        <v>0</v>
      </c>
      <c r="S1067" s="27">
        <f>R1067/Q1067</f>
        <v/>
      </c>
      <c r="T1067" t="inlineStr">
        <is>
          <t>御浜町は2045年までに人口が約30.0%減と明確な減少トレンド。高齢化の進行と世帯数の縮小により、中長期では賃貸需要の構造的縮小に警戒が必要。</t>
        </is>
      </c>
      <c r="U1067" t="inlineStr">
        <is>
          <t>御浜町は人口密度83人/km²と過疎的水準で、民間賃貸の新規需要は薄い。実需に裏付けられた格安戸建ての指値取得のみが現実的。 借家の空室率は約0%と需給は比較的引き締まっている。</t>
        </is>
      </c>
      <c r="V1067" t="inlineStr">
        <is>
          <t>御浜町（三重県）：南海トラフ津波の想定が深刻。雲出川・宮川の氾濫、伊勢湾岸の高潮・液状化に留意。</t>
        </is>
      </c>
    </row>
    <row r="1068">
      <c r="A1068" t="inlineStr">
        <is>
          <t>三重県</t>
        </is>
      </c>
      <c r="B1068" t="inlineStr">
        <is>
          <t>紀宝町</t>
        </is>
      </c>
      <c r="C1068" t="n">
        <v>5148</v>
      </c>
      <c r="D1068" t="n">
        <v>9522</v>
      </c>
      <c r="E1068" s="6" t="n">
        <v>121.1</v>
      </c>
      <c r="F1068" s="7" t="n">
        <v>22.1</v>
      </c>
      <c r="G1068" t="n">
        <v>10321</v>
      </c>
      <c r="H1068" t="n">
        <v>9522</v>
      </c>
      <c r="I1068" t="n">
        <v>8719</v>
      </c>
      <c r="J1068" t="n">
        <v>6429</v>
      </c>
      <c r="K1068" s="27">
        <f>(H1068/D1068-1)</f>
        <v/>
      </c>
      <c r="L1068" s="27">
        <f>(I1068/D1068-1)</f>
        <v/>
      </c>
      <c r="M1068" s="27">
        <f>(J1068/D1068-1)</f>
        <v/>
      </c>
      <c r="N1068" t="n">
        <v>42</v>
      </c>
      <c r="O1068" s="28">
        <f>(N1068+F1068)/2</f>
        <v/>
      </c>
      <c r="P1068">
        <f>IF(O1068="計算不能","計算不能",IF(O1068&gt;=80,5,IF(O1068&gt;=60,4,IF(O1068&gt;=40,3,IF(O1068&gt;=28,2,1)))))</f>
        <v/>
      </c>
      <c r="Q1068" t="n">
        <v>1242</v>
      </c>
      <c r="R1068" t="n">
        <v>0</v>
      </c>
      <c r="S1068" s="27">
        <f>R1068/Q1068</f>
        <v/>
      </c>
      <c r="T1068" t="inlineStr">
        <is>
          <t>紀宝町は2045年までに人口が約32.5%減と急激な過疎・超高齢化が進行。若年労働世代の流出と自然減が重なり、賃貸事業としての持続性は極めて限定的。</t>
        </is>
      </c>
      <c r="U1068" t="inlineStr">
        <is>
          <t>紀宝町は人口密度121人/km²と過疎的水準で、民間賃貸の新規需要は薄い。実需に裏付けられた格安戸建ての指値取得のみが現実的。 借家の空室率は約0%と需給は比較的引き締まっている。</t>
        </is>
      </c>
      <c r="V1068" t="inlineStr">
        <is>
          <t>紀宝町（三重県）：南海トラフ津波の想定が深刻。雲出川・宮川の氾濫、伊勢湾岸の高潮・液状化に留意。</t>
        </is>
      </c>
    </row>
    <row r="1069">
      <c r="A1069" t="inlineStr">
        <is>
          <t>滋賀県</t>
        </is>
      </c>
      <c r="B1069" t="inlineStr">
        <is>
          <t>大津市</t>
        </is>
      </c>
      <c r="C1069" t="n">
        <v>151400</v>
      </c>
      <c r="D1069" t="n">
        <v>346490</v>
      </c>
      <c r="E1069" s="6" t="n">
        <v>738.5</v>
      </c>
      <c r="F1069" s="7" t="n">
        <v>49.8</v>
      </c>
      <c r="G1069" t="n">
        <v>345070</v>
      </c>
      <c r="H1069" t="n">
        <v>346490</v>
      </c>
      <c r="I1069" t="n">
        <v>345055</v>
      </c>
      <c r="J1069" t="n">
        <v>328470</v>
      </c>
      <c r="K1069" s="27">
        <f>(H1069/D1069-1)</f>
        <v/>
      </c>
      <c r="L1069" s="27">
        <f>(I1069/D1069-1)</f>
        <v/>
      </c>
      <c r="M1069" s="27">
        <f>(J1069/D1069-1)</f>
        <v/>
      </c>
      <c r="N1069" t="n">
        <v>72.90000000000001</v>
      </c>
      <c r="O1069" s="28">
        <f>(N1069+F1069)/2</f>
        <v/>
      </c>
      <c r="P1069">
        <f>IF(O1069="計算不能","計算不能",IF(O1069&gt;=80,5,IF(O1069&gt;=60,4,IF(O1069&gt;=40,3,IF(O1069&gt;=28,2,1)))))</f>
        <v/>
      </c>
      <c r="Q1069" t="n">
        <v>39069</v>
      </c>
      <c r="R1069" t="n">
        <v>5080</v>
      </c>
      <c r="S1069" s="27">
        <f>R1069/Q1069</f>
        <v/>
      </c>
      <c r="T1069" t="inlineStr">
        <is>
          <t>大津市は2045年までに人口が約5.2%減と緩やかな減少局面。若年層の都市部流出と高齢化が進むが、当面の賃貸稼働は一定程度維持される見通し。</t>
        </is>
      </c>
      <c r="U1069" t="inlineStr">
        <is>
          <t>大津市は人口密度738人/km²で、主要道路沿いや中心市街地に一定の賃貸需要が局在。立地選別が稼働を左右する。 借家の空室率は約13%と需給は比較的引き締まっている。</t>
        </is>
      </c>
      <c r="V1069" t="inlineStr">
        <is>
          <t>大津市（滋賀県）：琵琶湖と流入河川の内水・氾濫、湖岸の浸水、山地の土砂災害に注意。</t>
        </is>
      </c>
    </row>
    <row r="1070">
      <c r="A1070" t="inlineStr">
        <is>
          <t>滋賀県</t>
        </is>
      </c>
      <c r="B1070" t="inlineStr">
        <is>
          <t>彦根市</t>
        </is>
      </c>
      <c r="C1070" t="n">
        <v>48190</v>
      </c>
      <c r="D1070" t="n">
        <v>110479</v>
      </c>
      <c r="E1070" s="6" t="n">
        <v>567.1</v>
      </c>
      <c r="F1070" s="7" t="n">
        <v>46.3</v>
      </c>
      <c r="G1070" t="n">
        <v>113647</v>
      </c>
      <c r="H1070" t="n">
        <v>110479</v>
      </c>
      <c r="I1070" t="n">
        <v>108998</v>
      </c>
      <c r="J1070" t="n">
        <v>101726</v>
      </c>
      <c r="K1070" s="27">
        <f>(H1070/D1070-1)</f>
        <v/>
      </c>
      <c r="L1070" s="27">
        <f>(I1070/D1070-1)</f>
        <v/>
      </c>
      <c r="M1070" s="27">
        <f>(J1070/D1070-1)</f>
        <v/>
      </c>
      <c r="N1070" t="n">
        <v>64.7</v>
      </c>
      <c r="O1070" s="28">
        <f>(N1070+F1070)/2</f>
        <v/>
      </c>
      <c r="P1070">
        <f>IF(O1070="計算不能","計算不能",IF(O1070&gt;=80,5,IF(O1070&gt;=60,4,IF(O1070&gt;=40,3,IF(O1070&gt;=28,2,1)))))</f>
        <v/>
      </c>
      <c r="Q1070" t="n">
        <v>12435</v>
      </c>
      <c r="R1070" t="n">
        <v>2940</v>
      </c>
      <c r="S1070" s="27">
        <f>R1070/Q1070</f>
        <v/>
      </c>
      <c r="T1070" t="inlineStr">
        <is>
          <t>彦根市は2045年までに人口が約7.9%減と緩やかな減少局面。若年層の都市部流出と高齢化が進むが、当面の賃貸稼働は一定程度維持される見通し。</t>
        </is>
      </c>
      <c r="U1070" t="inlineStr">
        <is>
          <t>彦根市は人口密度567人/km²で、主要道路沿いや中心市街地に一定の賃貸需要が局在。立地選別が稼働を左右する。 借家の空室率は約24%とやや高めで、競合との差別化が必要。</t>
        </is>
      </c>
      <c r="V1070" t="inlineStr">
        <is>
          <t>彦根市（滋賀県）：琵琶湖と流入河川の内水・氾濫、湖岸の浸水、山地の土砂災害に注意。</t>
        </is>
      </c>
    </row>
    <row r="1071">
      <c r="A1071" t="inlineStr">
        <is>
          <t>滋賀県</t>
        </is>
      </c>
      <c r="B1071" t="inlineStr">
        <is>
          <t>長浜市</t>
        </is>
      </c>
      <c r="C1071" t="n">
        <v>42820</v>
      </c>
      <c r="D1071" t="n">
        <v>108940</v>
      </c>
      <c r="E1071" s="6" t="n">
        <v>158.7</v>
      </c>
      <c r="F1071" s="7" t="n">
        <v>25.9</v>
      </c>
      <c r="G1071" t="n">
        <v>113636</v>
      </c>
      <c r="H1071" t="n">
        <v>108940</v>
      </c>
      <c r="I1071" t="n">
        <v>103885</v>
      </c>
      <c r="J1071" t="n">
        <v>87850</v>
      </c>
      <c r="K1071" s="27">
        <f>(H1071/D1071-1)</f>
        <v/>
      </c>
      <c r="L1071" s="27">
        <f>(I1071/D1071-1)</f>
        <v/>
      </c>
      <c r="M1071" s="27">
        <f>(J1071/D1071-1)</f>
        <v/>
      </c>
      <c r="N1071" t="n">
        <v>54.3</v>
      </c>
      <c r="O1071" s="28">
        <f>(N1071+F1071)/2</f>
        <v/>
      </c>
      <c r="P1071">
        <f>IF(O1071="計算不能","計算不能",IF(O1071&gt;=80,5,IF(O1071&gt;=60,4,IF(O1071&gt;=40,3,IF(O1071&gt;=28,2,1)))))</f>
        <v/>
      </c>
      <c r="Q1071" t="n">
        <v>11049</v>
      </c>
      <c r="R1071" t="n">
        <v>2870</v>
      </c>
      <c r="S1071" s="27">
        <f>R1071/Q1071</f>
        <v/>
      </c>
      <c r="T1071" t="inlineStr">
        <is>
          <t>長浜市は2045年までに人口が約19.4%減と明確な減少トレンド。高齢化の進行と世帯数の縮小により、中長期では賃貸需要の構造的縮小に警戒が必要。</t>
        </is>
      </c>
      <c r="U1071" t="inlineStr">
        <is>
          <t>長浜市は人口密度159人/km²と過疎的水準で、民間賃貸の新規需要は薄い。実需に裏付けられた格安戸建ての指値取得のみが現実的。 借家の空室率は約26%と供給過多気味で、空室長期化リスクに要警戒。</t>
        </is>
      </c>
      <c r="V1071" t="inlineStr">
        <is>
          <t>長浜市（滋賀県）：琵琶湖と流入河川の内水・氾濫、湖岸の浸水、山地の土砂災害に注意。</t>
        </is>
      </c>
    </row>
    <row r="1072">
      <c r="A1072" t="inlineStr">
        <is>
          <t>滋賀県</t>
        </is>
      </c>
      <c r="B1072" t="inlineStr">
        <is>
          <t>近江八幡市</t>
        </is>
      </c>
      <c r="C1072" t="n">
        <v>32430</v>
      </c>
      <c r="D1072" t="n">
        <v>79767</v>
      </c>
      <c r="E1072" s="6" t="n">
        <v>447.4</v>
      </c>
      <c r="F1072" s="7" t="n">
        <v>42.4</v>
      </c>
      <c r="G1072" t="n">
        <v>81122</v>
      </c>
      <c r="H1072" t="n">
        <v>79767</v>
      </c>
      <c r="I1072" t="n">
        <v>78094</v>
      </c>
      <c r="J1072" t="n">
        <v>71320</v>
      </c>
      <c r="K1072" s="27">
        <f>(H1072/D1072-1)</f>
        <v/>
      </c>
      <c r="L1072" s="27">
        <f>(I1072/D1072-1)</f>
        <v/>
      </c>
      <c r="M1072" s="27">
        <f>(J1072/D1072-1)</f>
        <v/>
      </c>
      <c r="N1072" t="n">
        <v>65</v>
      </c>
      <c r="O1072" s="28">
        <f>(N1072+F1072)/2</f>
        <v/>
      </c>
      <c r="P1072">
        <f>IF(O1072="計算不能","計算不能",IF(O1072&gt;=80,5,IF(O1072&gt;=60,4,IF(O1072&gt;=40,3,IF(O1072&gt;=28,2,1)))))</f>
        <v/>
      </c>
      <c r="Q1072" t="n">
        <v>8368</v>
      </c>
      <c r="R1072" t="n">
        <v>970</v>
      </c>
      <c r="S1072" s="27">
        <f>R1072/Q1072</f>
        <v/>
      </c>
      <c r="T1072" t="inlineStr">
        <is>
          <t>近江八幡市は2045年までに人口が約10.6%減と緩やかな減少局面。若年層の都市部流出と高齢化が進むが、当面の賃貸稼働は一定程度維持される見通し。</t>
        </is>
      </c>
      <c r="U1072" t="inlineStr">
        <is>
          <t>近江八幡市は人口密度447人/km²と低密度で、賃貸需要は限定的。持ち家比率が高く、駐車場完備の戸建て賃貸が有利。 借家の空室率は約12%と需給は比較的引き締まっている。</t>
        </is>
      </c>
      <c r="V1072" t="inlineStr">
        <is>
          <t>近江八幡市（滋賀県）：琵琶湖と流入河川の内水・氾濫、湖岸の浸水、山地の土砂災害に注意。</t>
        </is>
      </c>
    </row>
    <row r="1073">
      <c r="A1073" t="inlineStr">
        <is>
          <t>滋賀県</t>
        </is>
      </c>
      <c r="B1073" t="inlineStr">
        <is>
          <t>草津市</t>
        </is>
      </c>
      <c r="C1073" t="n">
        <v>69920</v>
      </c>
      <c r="D1073" t="n">
        <v>148095</v>
      </c>
      <c r="E1073" s="6" t="n">
        <v>2193</v>
      </c>
      <c r="F1073" s="7" t="n">
        <v>71.90000000000001</v>
      </c>
      <c r="G1073" t="n">
        <v>143913</v>
      </c>
      <c r="H1073" t="n">
        <v>148095</v>
      </c>
      <c r="I1073" t="n">
        <v>149691</v>
      </c>
      <c r="J1073" t="n">
        <v>146801</v>
      </c>
      <c r="K1073" s="27">
        <f>(H1073/D1073-1)</f>
        <v/>
      </c>
      <c r="L1073" s="27">
        <f>(I1073/D1073-1)</f>
        <v/>
      </c>
      <c r="M1073" s="27">
        <f>(J1073/D1073-1)</f>
        <v/>
      </c>
      <c r="N1073" t="n">
        <v>81.09999999999999</v>
      </c>
      <c r="O1073" s="28">
        <f>(N1073+F1073)/2</f>
        <v/>
      </c>
      <c r="P1073">
        <f>IF(O1073="計算不能","計算不能",IF(O1073&gt;=80,5,IF(O1073&gt;=60,4,IF(O1073&gt;=40,3,IF(O1073&gt;=28,2,1)))))</f>
        <v/>
      </c>
      <c r="Q1073" t="n">
        <v>18043</v>
      </c>
      <c r="R1073" t="n">
        <v>2130</v>
      </c>
      <c r="S1073" s="27">
        <f>R1073/Q1073</f>
        <v/>
      </c>
      <c r="T1073" t="inlineStr">
        <is>
          <t>草津市は2045年までの人口減少率が約0.9%と全国平均より緩やかで、概ね横ばいの安定推移。生産年齢人口の維持により、賃貸需要の急減リスクは相対的に低い。</t>
        </is>
      </c>
      <c r="U1073" t="inlineStr">
        <is>
          <t>草津市は人口密度2,193人/km²の都市部で、駅周辺や生活利便施設沿いに安定した賃貸需要がある。適切な家賃設定で高稼働を期待できる。 借家の空室率は約12%と需給は比較的引き締まっている。</t>
        </is>
      </c>
      <c r="V1073" t="inlineStr">
        <is>
          <t>草津市（滋賀県）：琵琶湖と流入河川の内水・氾濫、湖岸の浸水、山地の土砂災害に注意。</t>
        </is>
      </c>
    </row>
    <row r="1074">
      <c r="A1074" t="inlineStr">
        <is>
          <t>滋賀県</t>
        </is>
      </c>
      <c r="B1074" t="inlineStr">
        <is>
          <t>守山市</t>
        </is>
      </c>
      <c r="C1074" t="n">
        <v>32690</v>
      </c>
      <c r="D1074" t="n">
        <v>85306</v>
      </c>
      <c r="E1074" s="6" t="n">
        <v>1516.9</v>
      </c>
      <c r="F1074" s="7" t="n">
        <v>65.2</v>
      </c>
      <c r="G1074" t="n">
        <v>83236</v>
      </c>
      <c r="H1074" t="n">
        <v>85306</v>
      </c>
      <c r="I1074" t="n">
        <v>86433</v>
      </c>
      <c r="J1074" t="n">
        <v>86113</v>
      </c>
      <c r="K1074" s="27">
        <f>(H1074/D1074-1)</f>
        <v/>
      </c>
      <c r="L1074" s="27">
        <f>(I1074/D1074-1)</f>
        <v/>
      </c>
      <c r="M1074" s="27">
        <f>(J1074/D1074-1)</f>
        <v/>
      </c>
      <c r="N1074" t="n">
        <v>81.40000000000001</v>
      </c>
      <c r="O1074" s="28">
        <f>(N1074+F1074)/2</f>
        <v/>
      </c>
      <c r="P1074">
        <f>IF(O1074="計算不能","計算不能",IF(O1074&gt;=80,5,IF(O1074&gt;=60,4,IF(O1074&gt;=40,3,IF(O1074&gt;=28,2,1)))))</f>
        <v/>
      </c>
      <c r="Q1074" t="n">
        <v>8435</v>
      </c>
      <c r="R1074" t="n">
        <v>640</v>
      </c>
      <c r="S1074" s="27">
        <f>R1074/Q1074</f>
        <v/>
      </c>
      <c r="T1074" t="inlineStr">
        <is>
          <t>守山市は2045年までの人口減少率が約0.9%と全国平均より緩やかで、概ね横ばいの安定推移。生産年齢人口の維持により、賃貸需要の急減リスクは相対的に低い。</t>
        </is>
      </c>
      <c r="U1074" t="inlineStr">
        <is>
          <t>守山市は人口密度1,517人/km²の都市部で、駅周辺や生活利便施設沿いに安定した賃貸需要がある。適切な家賃設定で高稼働を期待できる。 借家の空室率は約8%と需給は比較的引き締まっている。</t>
        </is>
      </c>
      <c r="V1074" t="inlineStr">
        <is>
          <t>守山市（滋賀県）：琵琶湖と流入河川の内水・氾濫、湖岸の浸水、山地の土砂災害に注意。</t>
        </is>
      </c>
    </row>
    <row r="1075">
      <c r="A1075" t="inlineStr">
        <is>
          <t>滋賀県</t>
        </is>
      </c>
      <c r="B1075" t="inlineStr">
        <is>
          <t>栗東市</t>
        </is>
      </c>
      <c r="C1075" t="n">
        <v>27200</v>
      </c>
      <c r="D1075" t="n">
        <v>69843</v>
      </c>
      <c r="E1075" s="6" t="n">
        <v>1312</v>
      </c>
      <c r="F1075" s="7" t="n">
        <v>61.2</v>
      </c>
      <c r="G1075" t="n">
        <v>68820</v>
      </c>
      <c r="H1075" t="n">
        <v>69843</v>
      </c>
      <c r="I1075" t="n">
        <v>70241</v>
      </c>
      <c r="J1075" t="n">
        <v>68883</v>
      </c>
      <c r="K1075" s="27">
        <f>(H1075/D1075-1)</f>
        <v/>
      </c>
      <c r="L1075" s="27">
        <f>(I1075/D1075-1)</f>
        <v/>
      </c>
      <c r="M1075" s="27">
        <f>(J1075/D1075-1)</f>
        <v/>
      </c>
      <c r="N1075" t="n">
        <v>77.7</v>
      </c>
      <c r="O1075" s="28">
        <f>(N1075+F1075)/2</f>
        <v/>
      </c>
      <c r="P1075">
        <f>IF(O1075="計算不能","計算不能",IF(O1075&gt;=80,5,IF(O1075&gt;=60,4,IF(O1075&gt;=40,3,IF(O1075&gt;=28,2,1)))))</f>
        <v/>
      </c>
      <c r="Q1075" t="n">
        <v>7019</v>
      </c>
      <c r="R1075" t="n">
        <v>1400</v>
      </c>
      <c r="S1075" s="27">
        <f>R1075/Q1075</f>
        <v/>
      </c>
      <c r="T1075" t="inlineStr">
        <is>
          <t>栗東市は2045年までの人口減少率が約1.4%と全国平均より緩やかで、概ね横ばいの安定推移。生産年齢人口の維持により、賃貸需要の急減リスクは相対的に低い。</t>
        </is>
      </c>
      <c r="U1075" t="inlineStr">
        <is>
          <t>栗東市は人口密度1,312人/km²で、主要道路沿いや中心市街地に一定の賃貸需要が局在。立地選別が稼働を左右する。 借家の空室率は約20%とやや高めで、競合との差別化が必要。</t>
        </is>
      </c>
      <c r="V1075" t="inlineStr">
        <is>
          <t>栗東市（滋賀県）：琵琶湖と流入河川の内水・氾濫、湖岸の浸水、山地の土砂災害に注意。</t>
        </is>
      </c>
    </row>
    <row r="1076">
      <c r="A1076" t="inlineStr">
        <is>
          <t>滋賀県</t>
        </is>
      </c>
      <c r="B1076" t="inlineStr">
        <is>
          <t>甲賀市</t>
        </is>
      </c>
      <c r="C1076" t="n">
        <v>34110</v>
      </c>
      <c r="D1076" t="n">
        <v>85284</v>
      </c>
      <c r="E1076" s="6" t="n">
        <v>176.5</v>
      </c>
      <c r="F1076" s="7" t="n">
        <v>27.6</v>
      </c>
      <c r="G1076" t="n">
        <v>88358</v>
      </c>
      <c r="H1076" t="n">
        <v>85284</v>
      </c>
      <c r="I1076" t="n">
        <v>81807</v>
      </c>
      <c r="J1076" t="n">
        <v>69930</v>
      </c>
      <c r="K1076" s="27">
        <f>(H1076/D1076-1)</f>
        <v/>
      </c>
      <c r="L1076" s="27">
        <f>(I1076/D1076-1)</f>
        <v/>
      </c>
      <c r="M1076" s="27">
        <f>(J1076/D1076-1)</f>
        <v/>
      </c>
      <c r="N1076" t="n">
        <v>56.6</v>
      </c>
      <c r="O1076" s="28">
        <f>(N1076+F1076)/2</f>
        <v/>
      </c>
      <c r="P1076">
        <f>IF(O1076="計算不能","計算不能",IF(O1076&gt;=80,5,IF(O1076&gt;=60,4,IF(O1076&gt;=40,3,IF(O1076&gt;=28,2,1)))))</f>
        <v/>
      </c>
      <c r="Q1076" t="n">
        <v>8802</v>
      </c>
      <c r="R1076" t="n">
        <v>1620</v>
      </c>
      <c r="S1076" s="27">
        <f>R1076/Q1076</f>
        <v/>
      </c>
      <c r="T1076" t="inlineStr">
        <is>
          <t>甲賀市は2045年までに人口が約18.0%減と明確な減少トレンド。高齢化の進行と世帯数の縮小により、中長期では賃貸需要の構造的縮小に警戒が必要。</t>
        </is>
      </c>
      <c r="U1076" t="inlineStr">
        <is>
          <t>甲賀市は人口密度176人/km²と過疎的水準で、民間賃貸の新規需要は薄い。実需に裏付けられた格安戸建ての指値取得のみが現実的。 借家の空室率は約18%とやや高めで、競合との差別化が必要。</t>
        </is>
      </c>
      <c r="V1076" t="inlineStr">
        <is>
          <t>甲賀市（滋賀県）：琵琶湖と流入河川の内水・氾濫、湖岸の浸水、山地の土砂災害に注意。</t>
        </is>
      </c>
    </row>
    <row r="1077">
      <c r="A1077" t="inlineStr">
        <is>
          <t>滋賀県</t>
        </is>
      </c>
      <c r="B1077" t="inlineStr">
        <is>
          <t>野洲市</t>
        </is>
      </c>
      <c r="C1077" t="n">
        <v>20100</v>
      </c>
      <c r="D1077" t="n">
        <v>50079</v>
      </c>
      <c r="E1077" s="6" t="n">
        <v>624</v>
      </c>
      <c r="F1077" s="7" t="n">
        <v>47.5</v>
      </c>
      <c r="G1077" t="n">
        <v>50513</v>
      </c>
      <c r="H1077" t="n">
        <v>50079</v>
      </c>
      <c r="I1077" t="n">
        <v>49299</v>
      </c>
      <c r="J1077" t="n">
        <v>45721</v>
      </c>
      <c r="K1077" s="27">
        <f>(H1077/D1077-1)</f>
        <v/>
      </c>
      <c r="L1077" s="27">
        <f>(I1077/D1077-1)</f>
        <v/>
      </c>
      <c r="M1077" s="27">
        <f>(J1077/D1077-1)</f>
        <v/>
      </c>
      <c r="N1077" t="n">
        <v>67.90000000000001</v>
      </c>
      <c r="O1077" s="28">
        <f>(N1077+F1077)/2</f>
        <v/>
      </c>
      <c r="P1077">
        <f>IF(O1077="計算不能","計算不能",IF(O1077&gt;=80,5,IF(O1077&gt;=60,4,IF(O1077&gt;=40,3,IF(O1077&gt;=28,2,1)))))</f>
        <v/>
      </c>
      <c r="Q1077" t="n">
        <v>5186</v>
      </c>
      <c r="R1077" t="n">
        <v>620</v>
      </c>
      <c r="S1077" s="27">
        <f>R1077/Q1077</f>
        <v/>
      </c>
      <c r="T1077" t="inlineStr">
        <is>
          <t>野洲市は2045年までに人口が約8.7%減と緩やかな減少局面。若年層の都市部流出と高齢化が進むが、当面の賃貸稼働は一定程度維持される見通し。</t>
        </is>
      </c>
      <c r="U1077" t="inlineStr">
        <is>
          <t>野洲市は人口密度624人/km²で、主要道路沿いや中心市街地に一定の賃貸需要が局在。立地選別が稼働を左右する。 借家の空室率は約12%と需給は比較的引き締まっている。</t>
        </is>
      </c>
      <c r="V1077" t="inlineStr">
        <is>
          <t>野洲市（滋賀県）：琵琶湖と流入河川の内水・氾濫、湖岸の浸水、山地の土砂災害に注意。</t>
        </is>
      </c>
    </row>
    <row r="1078">
      <c r="A1078" t="inlineStr">
        <is>
          <t>滋賀県</t>
        </is>
      </c>
      <c r="B1078" t="inlineStr">
        <is>
          <t>湖南市</t>
        </is>
      </c>
      <c r="C1078" t="n">
        <v>22010</v>
      </c>
      <c r="D1078" t="n">
        <v>53460</v>
      </c>
      <c r="E1078" s="6" t="n">
        <v>761.6</v>
      </c>
      <c r="F1078" s="7" t="n">
        <v>50.2</v>
      </c>
      <c r="G1078" t="n">
        <v>54460</v>
      </c>
      <c r="H1078" t="n">
        <v>53460</v>
      </c>
      <c r="I1078" t="n">
        <v>52067</v>
      </c>
      <c r="J1078" t="n">
        <v>45967</v>
      </c>
      <c r="K1078" s="27">
        <f>(H1078/D1078-1)</f>
        <v/>
      </c>
      <c r="L1078" s="27">
        <f>(I1078/D1078-1)</f>
        <v/>
      </c>
      <c r="M1078" s="27">
        <f>(J1078/D1078-1)</f>
        <v/>
      </c>
      <c r="N1078" t="n">
        <v>62.7</v>
      </c>
      <c r="O1078" s="28">
        <f>(N1078+F1078)/2</f>
        <v/>
      </c>
      <c r="P1078">
        <f>IF(O1078="計算不能","計算不能",IF(O1078&gt;=80,5,IF(O1078&gt;=60,4,IF(O1078&gt;=40,3,IF(O1078&gt;=28,2,1)))))</f>
        <v/>
      </c>
      <c r="Q1078" t="n">
        <v>5679</v>
      </c>
      <c r="R1078" t="n">
        <v>1490</v>
      </c>
      <c r="S1078" s="27">
        <f>R1078/Q1078</f>
        <v/>
      </c>
      <c r="T1078" t="inlineStr">
        <is>
          <t>湖南市は2045年までに人口が約14.0%減と緩やかな減少局面。若年層の都市部流出と高齢化が進むが、当面の賃貸稼働は一定程度維持される見通し。</t>
        </is>
      </c>
      <c r="U1078" t="inlineStr">
        <is>
          <t>湖南市は人口密度762人/km²で、主要道路沿いや中心市街地に一定の賃貸需要が局在。立地選別が稼働を左右する。 借家の空室率は約26%と供給過多気味で、空室長期化リスクに要警戒。</t>
        </is>
      </c>
      <c r="V1078" t="inlineStr">
        <is>
          <t>湖南市（滋賀県）：琵琶湖と流入河川の内水・氾濫、湖岸の浸水、山地の土砂災害に注意。</t>
        </is>
      </c>
    </row>
    <row r="1079">
      <c r="A1079" t="inlineStr">
        <is>
          <t>滋賀県</t>
        </is>
      </c>
      <c r="B1079" t="inlineStr">
        <is>
          <t>高島市</t>
        </is>
      </c>
      <c r="C1079" t="n">
        <v>18380</v>
      </c>
      <c r="D1079" t="n">
        <v>43409</v>
      </c>
      <c r="E1079" s="6" t="n">
        <v>62.2</v>
      </c>
      <c r="F1079" s="7" t="n">
        <v>16.2</v>
      </c>
      <c r="G1079" t="n">
        <v>46377</v>
      </c>
      <c r="H1079" t="n">
        <v>43409</v>
      </c>
      <c r="I1079" t="n">
        <v>40374</v>
      </c>
      <c r="J1079" t="n">
        <v>31196</v>
      </c>
      <c r="K1079" s="27">
        <f>(H1079/D1079-1)</f>
        <v/>
      </c>
      <c r="L1079" s="27">
        <f>(I1079/D1079-1)</f>
        <v/>
      </c>
      <c r="M1079" s="27">
        <f>(J1079/D1079-1)</f>
        <v/>
      </c>
      <c r="N1079" t="n">
        <v>44.7</v>
      </c>
      <c r="O1079" s="28">
        <f>(N1079+F1079)/2</f>
        <v/>
      </c>
      <c r="P1079">
        <f>IF(O1079="計算不能","計算不能",IF(O1079&gt;=80,5,IF(O1079&gt;=60,4,IF(O1079&gt;=40,3,IF(O1079&gt;=28,2,1)))))</f>
        <v/>
      </c>
      <c r="Q1079" t="n">
        <v>4743</v>
      </c>
      <c r="R1079" t="n">
        <v>620</v>
      </c>
      <c r="S1079" s="27">
        <f>R1079/Q1079</f>
        <v/>
      </c>
      <c r="T1079" t="inlineStr">
        <is>
          <t>高島市は2045年までに人口が約28.1%減と明確な減少トレンド。高齢化の進行と世帯数の縮小により、中長期では賃貸需要の構造的縮小に警戒が必要。</t>
        </is>
      </c>
      <c r="U1079" t="inlineStr">
        <is>
          <t>高島市は人口密度62人/km²と過疎的水準で、民間賃貸の新規需要は薄い。実需に裏付けられた格安戸建ての指値取得のみが現実的。 借家の空室率は約13%と需給は比較的引き締まっている。</t>
        </is>
      </c>
      <c r="V1079" t="inlineStr">
        <is>
          <t>高島市（滋賀県）：琵琶湖と流入河川の内水・氾濫、湖岸の浸水、山地の土砂災害に注意。</t>
        </is>
      </c>
    </row>
    <row r="1080">
      <c r="A1080" t="inlineStr">
        <is>
          <t>滋賀県</t>
        </is>
      </c>
      <c r="B1080" t="inlineStr">
        <is>
          <t>東近江市</t>
        </is>
      </c>
      <c r="C1080" t="n">
        <v>43570</v>
      </c>
      <c r="D1080" t="n">
        <v>110027</v>
      </c>
      <c r="E1080" s="6" t="n">
        <v>283</v>
      </c>
      <c r="F1080" s="7" t="n">
        <v>34.1</v>
      </c>
      <c r="G1080" t="n">
        <v>112819</v>
      </c>
      <c r="H1080" t="n">
        <v>110027</v>
      </c>
      <c r="I1080" t="n">
        <v>106771</v>
      </c>
      <c r="J1080" t="n">
        <v>94748</v>
      </c>
      <c r="K1080" s="27">
        <f>(H1080/D1080-1)</f>
        <v/>
      </c>
      <c r="L1080" s="27">
        <f>(I1080/D1080-1)</f>
        <v/>
      </c>
      <c r="M1080" s="27">
        <f>(J1080/D1080-1)</f>
        <v/>
      </c>
      <c r="N1080" t="n">
        <v>61.3</v>
      </c>
      <c r="O1080" s="28">
        <f>(N1080+F1080)/2</f>
        <v/>
      </c>
      <c r="P1080">
        <f>IF(O1080="計算不能","計算不能",IF(O1080&gt;=80,5,IF(O1080&gt;=60,4,IF(O1080&gt;=40,3,IF(O1080&gt;=28,2,1)))))</f>
        <v/>
      </c>
      <c r="Q1080" t="n">
        <v>11243</v>
      </c>
      <c r="R1080" t="n">
        <v>3230</v>
      </c>
      <c r="S1080" s="27">
        <f>R1080/Q1080</f>
        <v/>
      </c>
      <c r="T1080" t="inlineStr">
        <is>
          <t>東近江市は2045年までに人口が約13.9%減と緩やかな減少局面。若年層の都市部流出と高齢化が進むが、当面の賃貸稼働は一定程度維持される見通し。</t>
        </is>
      </c>
      <c r="U1080" t="inlineStr">
        <is>
          <t>東近江市は人口密度283人/km²と低密度で、賃貸需要は限定的。持ち家比率が高く、駐車場完備の戸建て賃貸が有利。 借家の空室率は約29%と供給過多気味で、空室長期化リスクに要警戒。</t>
        </is>
      </c>
      <c r="V1080" t="inlineStr">
        <is>
          <t>東近江市（滋賀県）：琵琶湖と流入河川の内水・氾濫、湖岸の浸水、山地の土砂災害に注意。</t>
        </is>
      </c>
    </row>
    <row r="1081">
      <c r="A1081" t="inlineStr">
        <is>
          <t>滋賀県</t>
        </is>
      </c>
      <c r="B1081" t="inlineStr">
        <is>
          <t>米原市</t>
        </is>
      </c>
      <c r="C1081" t="n">
        <v>13060</v>
      </c>
      <c r="D1081" t="n">
        <v>35628</v>
      </c>
      <c r="E1081" s="6" t="n">
        <v>141.1</v>
      </c>
      <c r="F1081" s="7" t="n">
        <v>24.1</v>
      </c>
      <c r="G1081" t="n">
        <v>37225</v>
      </c>
      <c r="H1081" t="n">
        <v>35628</v>
      </c>
      <c r="I1081" t="n">
        <v>33907</v>
      </c>
      <c r="J1081" t="n">
        <v>28481</v>
      </c>
      <c r="K1081" s="27">
        <f>(H1081/D1081-1)</f>
        <v/>
      </c>
      <c r="L1081" s="27">
        <f>(I1081/D1081-1)</f>
        <v/>
      </c>
      <c r="M1081" s="27">
        <f>(J1081/D1081-1)</f>
        <v/>
      </c>
      <c r="N1081" t="n">
        <v>53.6</v>
      </c>
      <c r="O1081" s="28">
        <f>(N1081+F1081)/2</f>
        <v/>
      </c>
      <c r="P1081">
        <f>IF(O1081="計算不能","計算不能",IF(O1081&gt;=80,5,IF(O1081&gt;=60,4,IF(O1081&gt;=40,3,IF(O1081&gt;=28,2,1)))))</f>
        <v/>
      </c>
      <c r="Q1081" t="n">
        <v>3370</v>
      </c>
      <c r="R1081" t="n">
        <v>770</v>
      </c>
      <c r="S1081" s="27">
        <f>R1081/Q1081</f>
        <v/>
      </c>
      <c r="T1081" t="inlineStr">
        <is>
          <t>米原市は2045年までに人口が約20.1%減と明確な減少トレンド。高齢化の進行と世帯数の縮小により、中長期では賃貸需要の構造的縮小に警戒が必要。</t>
        </is>
      </c>
      <c r="U1081" t="inlineStr">
        <is>
          <t>米原市は人口密度141人/km²と過疎的水準で、民間賃貸の新規需要は薄い。実需に裏付けられた格安戸建ての指値取得のみが現実的。 借家の空室率は約23%とやや高めで、競合との差別化が必要。</t>
        </is>
      </c>
      <c r="V1081" t="inlineStr">
        <is>
          <t>米原市（滋賀県）：琵琶湖と流入河川の内水・氾濫、湖岸の浸水、山地の土砂災害に注意。</t>
        </is>
      </c>
    </row>
    <row r="1082">
      <c r="A1082" t="inlineStr">
        <is>
          <t>滋賀県</t>
        </is>
      </c>
      <c r="B1082" t="inlineStr">
        <is>
          <t>日野町</t>
        </is>
      </c>
      <c r="C1082" t="n">
        <v>7970</v>
      </c>
      <c r="D1082" t="n">
        <v>20200</v>
      </c>
      <c r="E1082" s="6" t="n">
        <v>18.6</v>
      </c>
      <c r="F1082" s="7" t="n">
        <v>11.9</v>
      </c>
      <c r="G1082" t="n">
        <v>20964</v>
      </c>
      <c r="H1082" t="n">
        <v>20200</v>
      </c>
      <c r="I1082" t="n">
        <v>19331</v>
      </c>
      <c r="J1082" t="n">
        <v>16477</v>
      </c>
      <c r="K1082" s="27">
        <f>(H1082/D1082-1)</f>
        <v/>
      </c>
      <c r="L1082" s="27">
        <f>(I1082/D1082-1)</f>
        <v/>
      </c>
      <c r="M1082" s="27">
        <f>(J1082/D1082-1)</f>
        <v/>
      </c>
      <c r="N1082" t="n">
        <v>55.9</v>
      </c>
      <c r="O1082" s="28">
        <f>(N1082+F1082)/2</f>
        <v/>
      </c>
      <c r="P1082">
        <f>IF(O1082="計算不能","計算不能",IF(O1082&gt;=80,5,IF(O1082&gt;=60,4,IF(O1082&gt;=40,3,IF(O1082&gt;=28,2,1)))))</f>
        <v/>
      </c>
      <c r="Q1082" t="n">
        <v>2056</v>
      </c>
      <c r="R1082" t="n">
        <v>370</v>
      </c>
      <c r="S1082" s="27">
        <f>R1082/Q1082</f>
        <v/>
      </c>
      <c r="T1082" t="inlineStr">
        <is>
          <t>日野町は2045年までに人口が約18.4%減と明確な減少トレンド。高齢化の進行と世帯数の縮小により、中長期では賃貸需要の構造的縮小に警戒が必要。</t>
        </is>
      </c>
      <c r="U1082" t="inlineStr">
        <is>
          <t>日野町は人口密度19人/km²と過疎的水準で、民間賃貸の新規需要は薄い。実需に裏付けられた格安戸建ての指値取得のみが現実的。 借家の空室率は約18%と需給は比較的引き締まっている。</t>
        </is>
      </c>
      <c r="V1082" t="inlineStr">
        <is>
          <t>日野町（滋賀県）：琵琶湖と流入河川の内水・氾濫、湖岸の浸水、山地の土砂災害に注意。</t>
        </is>
      </c>
    </row>
    <row r="1083">
      <c r="A1083" t="inlineStr">
        <is>
          <t>滋賀県</t>
        </is>
      </c>
      <c r="B1083" t="inlineStr">
        <is>
          <t>竜王町</t>
        </is>
      </c>
      <c r="C1083" t="n">
        <v>4497</v>
      </c>
      <c r="D1083" t="n">
        <v>11323</v>
      </c>
      <c r="E1083" s="6" t="n">
        <v>245.5</v>
      </c>
      <c r="F1083" s="7" t="n">
        <v>32.3</v>
      </c>
      <c r="G1083" t="n">
        <v>11789</v>
      </c>
      <c r="H1083" t="n">
        <v>11323</v>
      </c>
      <c r="I1083" t="n">
        <v>10729</v>
      </c>
      <c r="J1083" t="n">
        <v>8564</v>
      </c>
      <c r="K1083" s="27">
        <f>(H1083/D1083-1)</f>
        <v/>
      </c>
      <c r="L1083" s="27">
        <f>(I1083/D1083-1)</f>
        <v/>
      </c>
      <c r="M1083" s="27">
        <f>(J1083/D1083-1)</f>
        <v/>
      </c>
      <c r="N1083" t="n">
        <v>51.9</v>
      </c>
      <c r="O1083" s="28">
        <f>(N1083+F1083)/2</f>
        <v/>
      </c>
      <c r="P1083">
        <f>IF(O1083="計算不能","計算不能",IF(O1083&gt;=80,5,IF(O1083&gt;=60,4,IF(O1083&gt;=40,3,IF(O1083&gt;=28,2,1)))))</f>
        <v/>
      </c>
      <c r="Q1083" t="n">
        <v>1160</v>
      </c>
      <c r="R1083" t="n">
        <v>0</v>
      </c>
      <c r="S1083" s="27">
        <f>R1083/Q1083</f>
        <v/>
      </c>
      <c r="T1083" t="inlineStr">
        <is>
          <t>竜王町は2045年までに人口が約24.4%減と明確な減少トレンド。高齢化の進行と世帯数の縮小により、中長期では賃貸需要の構造的縮小に警戒が必要。</t>
        </is>
      </c>
      <c r="U1083" t="inlineStr">
        <is>
          <t>竜王町は人口密度246人/km²と低密度で、賃貸需要は限定的。持ち家比率が高く、駐車場完備の戸建て賃貸が有利。 借家の空室率は約0%と需給は比較的引き締まっている。</t>
        </is>
      </c>
      <c r="V1083" t="inlineStr">
        <is>
          <t>竜王町（滋賀県）：琵琶湖と流入河川の内水・氾濫、湖岸の浸水、山地の土砂災害に注意。</t>
        </is>
      </c>
    </row>
    <row r="1084">
      <c r="A1084" t="inlineStr">
        <is>
          <t>滋賀県</t>
        </is>
      </c>
      <c r="B1084" t="inlineStr">
        <is>
          <t>愛荘町</t>
        </is>
      </c>
      <c r="C1084" t="n">
        <v>8010</v>
      </c>
      <c r="D1084" t="n">
        <v>20891</v>
      </c>
      <c r="E1084" s="6" t="n">
        <v>537.7</v>
      </c>
      <c r="F1084" s="7" t="n">
        <v>45.8</v>
      </c>
      <c r="G1084" t="n">
        <v>20893</v>
      </c>
      <c r="H1084" t="n">
        <v>20891</v>
      </c>
      <c r="I1084" t="n">
        <v>20718</v>
      </c>
      <c r="J1084" t="n">
        <v>19754</v>
      </c>
      <c r="K1084" s="27">
        <f>(H1084/D1084-1)</f>
        <v/>
      </c>
      <c r="L1084" s="27">
        <f>(I1084/D1084-1)</f>
        <v/>
      </c>
      <c r="M1084" s="27">
        <f>(J1084/D1084-1)</f>
        <v/>
      </c>
      <c r="N1084" t="n">
        <v>71.7</v>
      </c>
      <c r="O1084" s="28">
        <f>(N1084+F1084)/2</f>
        <v/>
      </c>
      <c r="P1084">
        <f>IF(O1084="計算不能","計算不能",IF(O1084&gt;=80,5,IF(O1084&gt;=60,4,IF(O1084&gt;=40,3,IF(O1084&gt;=28,2,1)))))</f>
        <v/>
      </c>
      <c r="Q1084" t="n">
        <v>2067</v>
      </c>
      <c r="R1084" t="n">
        <v>340</v>
      </c>
      <c r="S1084" s="27">
        <f>R1084/Q1084</f>
        <v/>
      </c>
      <c r="T1084" t="inlineStr">
        <is>
          <t>愛荘町は2045年までに人口が約5.4%減と緩やかな減少局面。若年層の都市部流出と高齢化が進むが、当面の賃貸稼働は一定程度維持される見通し。</t>
        </is>
      </c>
      <c r="U1084" t="inlineStr">
        <is>
          <t>愛荘町は人口密度538人/km²で、主要道路沿いや中心市街地に一定の賃貸需要が局在。立地選別が稼働を左右する。 借家の空室率は約16%と需給は比較的引き締まっている。</t>
        </is>
      </c>
      <c r="V1084" t="inlineStr">
        <is>
          <t>愛荘町（滋賀県）：琵琶湖と流入河川の内水・氾濫、湖岸の浸水、山地の土砂災害に注意。</t>
        </is>
      </c>
    </row>
    <row r="1085">
      <c r="A1085" t="inlineStr">
        <is>
          <t>滋賀県</t>
        </is>
      </c>
      <c r="B1085" t="inlineStr">
        <is>
          <t>豊郷町</t>
        </is>
      </c>
      <c r="C1085" t="n">
        <v>3145</v>
      </c>
      <c r="D1085" t="n">
        <v>6958</v>
      </c>
      <c r="E1085" s="6" t="n">
        <v>871.8</v>
      </c>
      <c r="F1085" s="7" t="n">
        <v>52.4</v>
      </c>
      <c r="G1085" t="n">
        <v>7132</v>
      </c>
      <c r="H1085" t="n">
        <v>6958</v>
      </c>
      <c r="I1085" t="n">
        <v>6763</v>
      </c>
      <c r="J1085" t="n">
        <v>6066</v>
      </c>
      <c r="K1085" s="27">
        <f>(H1085/D1085-1)</f>
        <v/>
      </c>
      <c r="L1085" s="27">
        <f>(I1085/D1085-1)</f>
        <v/>
      </c>
      <c r="M1085" s="27">
        <f>(J1085/D1085-1)</f>
        <v/>
      </c>
      <c r="N1085" t="n">
        <v>62</v>
      </c>
      <c r="O1085" s="28">
        <f>(N1085+F1085)/2</f>
        <v/>
      </c>
      <c r="P1085">
        <f>IF(O1085="計算不能","計算不能",IF(O1085&gt;=80,5,IF(O1085&gt;=60,4,IF(O1085&gt;=40,3,IF(O1085&gt;=28,2,1)))))</f>
        <v/>
      </c>
      <c r="Q1085" t="n">
        <v>811</v>
      </c>
      <c r="R1085" t="n">
        <v>0</v>
      </c>
      <c r="S1085" s="27">
        <f>R1085/Q1085</f>
        <v/>
      </c>
      <c r="T1085" t="inlineStr">
        <is>
          <t>豊郷町は2045年までに人口が約12.8%減と緩やかな減少局面。若年層の都市部流出と高齢化が進むが、当面の賃貸稼働は一定程度維持される見通し。</t>
        </is>
      </c>
      <c r="U1085" t="inlineStr">
        <is>
          <t>豊郷町は人口密度872人/km²で、主要道路沿いや中心市街地に一定の賃貸需要が局在。立地選別が稼働を左右する。 借家の空室率は約0%と需給は比較的引き締まっている。</t>
        </is>
      </c>
      <c r="V1085" t="inlineStr">
        <is>
          <t>豊郷町（滋賀県）：琵琶湖と流入河川の内水・氾濫、湖岸の浸水、山地の土砂災害に注意。</t>
        </is>
      </c>
    </row>
    <row r="1086">
      <c r="A1086" t="inlineStr">
        <is>
          <t>滋賀県</t>
        </is>
      </c>
      <c r="B1086" t="inlineStr">
        <is>
          <t>甲良町</t>
        </is>
      </c>
      <c r="C1086" t="n">
        <v>2693</v>
      </c>
      <c r="D1086" t="n">
        <v>5796</v>
      </c>
      <c r="E1086" s="6" t="n">
        <v>419.3</v>
      </c>
      <c r="F1086" s="7" t="n">
        <v>41</v>
      </c>
      <c r="G1086" t="n">
        <v>6362</v>
      </c>
      <c r="H1086" t="n">
        <v>5796</v>
      </c>
      <c r="I1086" t="n">
        <v>5275</v>
      </c>
      <c r="J1086" t="n">
        <v>3729</v>
      </c>
      <c r="K1086" s="27">
        <f>(H1086/D1086-1)</f>
        <v/>
      </c>
      <c r="L1086" s="27">
        <f>(I1086/D1086-1)</f>
        <v/>
      </c>
      <c r="M1086" s="27">
        <f>(J1086/D1086-1)</f>
        <v/>
      </c>
      <c r="N1086" t="n">
        <v>40.1</v>
      </c>
      <c r="O1086" s="28">
        <f>(N1086+F1086)/2</f>
        <v/>
      </c>
      <c r="P1086">
        <f>IF(O1086="計算不能","計算不能",IF(O1086&gt;=80,5,IF(O1086&gt;=60,4,IF(O1086&gt;=40,3,IF(O1086&gt;=28,2,1)))))</f>
        <v/>
      </c>
      <c r="Q1086" t="n">
        <v>694</v>
      </c>
      <c r="R1086" t="n">
        <v>0</v>
      </c>
      <c r="S1086" s="27">
        <f>R1086/Q1086</f>
        <v/>
      </c>
      <c r="T1086" t="inlineStr">
        <is>
          <t>甲良町は2045年までに人口が約35.7%減と急激な過疎・超高齢化が進行。若年労働世代の流出と自然減が重なり、賃貸事業としての持続性は極めて限定的。</t>
        </is>
      </c>
      <c r="U1086" t="inlineStr">
        <is>
          <t>甲良町は人口密度419人/km²と低密度で、賃貸需要は限定的。持ち家比率が高く、駐車場完備の戸建て賃貸が有利。 借家の空室率は約0%と需給は比較的引き締まっている。</t>
        </is>
      </c>
      <c r="V1086" t="inlineStr">
        <is>
          <t>甲良町（滋賀県）：琵琶湖と流入河川の内水・氾濫、湖岸の浸水、山地の土砂災害に注意。</t>
        </is>
      </c>
    </row>
    <row r="1087">
      <c r="A1087" t="inlineStr">
        <is>
          <t>滋賀県</t>
        </is>
      </c>
      <c r="B1087" t="inlineStr">
        <is>
          <t>多賀町</t>
        </is>
      </c>
      <c r="C1087" t="n">
        <v>2955</v>
      </c>
      <c r="D1087" t="n">
        <v>7005</v>
      </c>
      <c r="E1087" s="6" t="n">
        <v>51.5</v>
      </c>
      <c r="F1087" s="7" t="n">
        <v>15.2</v>
      </c>
      <c r="G1087" t="n">
        <v>7274</v>
      </c>
      <c r="H1087" t="n">
        <v>7005</v>
      </c>
      <c r="I1087" t="n">
        <v>6693</v>
      </c>
      <c r="J1087" t="n">
        <v>5660</v>
      </c>
      <c r="K1087" s="27">
        <f>(H1087/D1087-1)</f>
        <v/>
      </c>
      <c r="L1087" s="27">
        <f>(I1087/D1087-1)</f>
        <v/>
      </c>
      <c r="M1087" s="27">
        <f>(J1087/D1087-1)</f>
        <v/>
      </c>
      <c r="N1087" t="n">
        <v>55.4</v>
      </c>
      <c r="O1087" s="28">
        <f>(N1087+F1087)/2</f>
        <v/>
      </c>
      <c r="P1087">
        <f>IF(O1087="計算不能","計算不能",IF(O1087&gt;=80,5,IF(O1087&gt;=60,4,IF(O1087&gt;=40,3,IF(O1087&gt;=28,2,1)))))</f>
        <v/>
      </c>
      <c r="Q1087" t="n">
        <v>762</v>
      </c>
      <c r="R1087" t="n">
        <v>0</v>
      </c>
      <c r="S1087" s="27">
        <f>R1087/Q1087</f>
        <v/>
      </c>
      <c r="T1087" t="inlineStr">
        <is>
          <t>多賀町は2045年までに人口が約19.2%減と明確な減少トレンド。高齢化の進行と世帯数の縮小により、中長期では賃貸需要の構造的縮小に警戒が必要。</t>
        </is>
      </c>
      <c r="U1087" t="inlineStr">
        <is>
          <t>多賀町は人口密度52人/km²と過疎的水準で、民間賃貸の新規需要は薄い。実需に裏付けられた格安戸建ての指値取得のみが現実的。 借家の空室率は約0%と需給は比較的引き締まっている。</t>
        </is>
      </c>
      <c r="V1087" t="inlineStr">
        <is>
          <t>多賀町（滋賀県）：琵琶湖と流入河川の内水・氾濫、湖岸の浸水、山地の土砂災害に注意。</t>
        </is>
      </c>
    </row>
    <row r="1088">
      <c r="A1088" t="inlineStr">
        <is>
          <t>京都府</t>
        </is>
      </c>
      <c r="B1088" t="inlineStr">
        <is>
          <t>京都市</t>
        </is>
      </c>
      <c r="C1088" t="n">
        <v>734900</v>
      </c>
      <c r="D1088" t="n">
        <v>1442014</v>
      </c>
      <c r="E1088" s="6" t="n">
        <v>1729.5</v>
      </c>
      <c r="F1088" s="7" t="n">
        <v>67.3</v>
      </c>
      <c r="G1088" t="n">
        <v>1463723</v>
      </c>
      <c r="H1088" t="n">
        <v>1442014</v>
      </c>
      <c r="I1088" t="n">
        <v>1411864</v>
      </c>
      <c r="J1088" t="n">
        <v>1285743</v>
      </c>
      <c r="K1088" s="27">
        <f>(H1088/D1088-1)</f>
        <v/>
      </c>
      <c r="L1088" s="27">
        <f>(I1088/D1088-1)</f>
        <v/>
      </c>
      <c r="M1088" s="27">
        <f>(J1088/D1088-1)</f>
        <v/>
      </c>
      <c r="N1088" t="n">
        <v>65.3</v>
      </c>
      <c r="O1088" s="28">
        <f>(N1088+F1088)/2</f>
        <v/>
      </c>
      <c r="P1088">
        <f>IF(O1088="計算不能","計算不能",IF(O1088&gt;=80,5,IF(O1088&gt;=60,4,IF(O1088&gt;=40,3,IF(O1088&gt;=28,2,1)))))</f>
        <v/>
      </c>
      <c r="Q1088" t="n">
        <v>311200</v>
      </c>
      <c r="R1088" t="n">
        <v>54800</v>
      </c>
      <c r="S1088" s="27">
        <f>R1088/Q1088</f>
        <v/>
      </c>
      <c r="T1088" t="inlineStr">
        <is>
          <t>京都市は2045年までに人口が約10.8%減と緩やかな減少局面。若年層の都市部流出と高齢化が進むが、当面の賃貸稼働は一定程度維持される見通し。</t>
        </is>
      </c>
      <c r="U1088" t="inlineStr">
        <is>
          <t>京都市は人口密度1,730人/km²の都市部で、駅周辺や生活利便施設沿いに安定した賃貸需要がある。適切な家賃設定で高稼働を期待できる。 借家の空室率は約18%と需給は比較的引き締まっている。</t>
        </is>
      </c>
      <c r="V1088" t="inlineStr">
        <is>
          <t>京都市（京都府）：桂川・宇治川・木津川の氾濫、由良川の洪水常襲、北部の豪雪、内陸活断層に留意。</t>
        </is>
      </c>
    </row>
    <row r="1089">
      <c r="A1089" t="inlineStr">
        <is>
          <t>京都府</t>
        </is>
      </c>
      <c r="B1089" t="inlineStr">
        <is>
          <t>福知山市</t>
        </is>
      </c>
      <c r="C1089" t="n">
        <v>32150</v>
      </c>
      <c r="D1089" t="n">
        <v>74977</v>
      </c>
      <c r="E1089" s="6" t="n">
        <v>133.1</v>
      </c>
      <c r="F1089" s="7" t="n">
        <v>23.3</v>
      </c>
      <c r="G1089" t="n">
        <v>77306</v>
      </c>
      <c r="H1089" t="n">
        <v>74977</v>
      </c>
      <c r="I1089" t="n">
        <v>72613</v>
      </c>
      <c r="J1089" t="n">
        <v>64882</v>
      </c>
      <c r="K1089" s="27">
        <f>(H1089/D1089-1)</f>
        <v/>
      </c>
      <c r="L1089" s="27">
        <f>(I1089/D1089-1)</f>
        <v/>
      </c>
      <c r="M1089" s="27">
        <f>(J1089/D1089-1)</f>
        <v/>
      </c>
      <c r="N1089" t="n">
        <v>60.3</v>
      </c>
      <c r="O1089" s="28">
        <f>(N1089+F1089)/2</f>
        <v/>
      </c>
      <c r="P1089">
        <f>IF(O1089="計算不能","計算不能",IF(O1089&gt;=80,5,IF(O1089&gt;=60,4,IF(O1089&gt;=40,3,IF(O1089&gt;=28,2,1)))))</f>
        <v/>
      </c>
      <c r="Q1089" t="n">
        <v>11213</v>
      </c>
      <c r="R1089" t="n">
        <v>3480</v>
      </c>
      <c r="S1089" s="27">
        <f>R1089/Q1089</f>
        <v/>
      </c>
      <c r="T1089" t="inlineStr">
        <is>
          <t>福知山市は2045年までに人口が約13.5%減と緩やかな減少局面。若年層の都市部流出と高齢化が進むが、当面の賃貸稼働は一定程度維持される見通し。</t>
        </is>
      </c>
      <c r="U1089" t="inlineStr">
        <is>
          <t>福知山市は人口密度133人/km²と過疎的水準で、民間賃貸の新規需要は薄い。実需に裏付けられた格安戸建ての指値取得のみが現実的。 借家の空室率は約31%と供給過多気味で、空室長期化リスクに要警戒。</t>
        </is>
      </c>
      <c r="V1089" t="inlineStr">
        <is>
          <t>福知山市（京都府）：桂川・宇治川・木津川の氾濫、由良川の洪水常襲、北部の豪雪、内陸活断層に留意。</t>
        </is>
      </c>
    </row>
    <row r="1090">
      <c r="A1090" t="inlineStr">
        <is>
          <t>京都府</t>
        </is>
      </c>
      <c r="B1090" t="inlineStr">
        <is>
          <t>舞鶴市</t>
        </is>
      </c>
      <c r="C1090" t="n">
        <v>32060</v>
      </c>
      <c r="D1090" t="n">
        <v>75871</v>
      </c>
      <c r="E1090" s="6" t="n">
        <v>213.7</v>
      </c>
      <c r="F1090" s="7" t="n">
        <v>30.7</v>
      </c>
      <c r="G1090" t="n">
        <v>80336</v>
      </c>
      <c r="H1090" t="n">
        <v>75871</v>
      </c>
      <c r="I1090" t="n">
        <v>71362</v>
      </c>
      <c r="J1090" t="n">
        <v>58027</v>
      </c>
      <c r="K1090" s="27">
        <f>(H1090/D1090-1)</f>
        <v/>
      </c>
      <c r="L1090" s="27">
        <f>(I1090/D1090-1)</f>
        <v/>
      </c>
      <c r="M1090" s="27">
        <f>(J1090/D1090-1)</f>
        <v/>
      </c>
      <c r="N1090" t="n">
        <v>48.8</v>
      </c>
      <c r="O1090" s="28">
        <f>(N1090+F1090)/2</f>
        <v/>
      </c>
      <c r="P1090">
        <f>IF(O1090="計算不能","計算不能",IF(O1090&gt;=80,5,IF(O1090&gt;=60,4,IF(O1090&gt;=40,3,IF(O1090&gt;=28,2,1)))))</f>
        <v/>
      </c>
      <c r="Q1090" t="n">
        <v>11182</v>
      </c>
      <c r="R1090" t="n">
        <v>4490</v>
      </c>
      <c r="S1090" s="27">
        <f>R1090/Q1090</f>
        <v/>
      </c>
      <c r="T1090" t="inlineStr">
        <is>
          <t>舞鶴市は2045年までに人口が約23.5%減と明確な減少トレンド。高齢化の進行と世帯数の縮小により、中長期では賃貸需要の構造的縮小に警戒が必要。</t>
        </is>
      </c>
      <c r="U1090" t="inlineStr">
        <is>
          <t>舞鶴市は人口密度214人/km²と低密度で、賃貸需要は限定的。持ち家比率が高く、駐車場完備の戸建て賃貸が有利。 借家の空室率は約40%と供給過多気味で、空室長期化リスクに要警戒。</t>
        </is>
      </c>
      <c r="V1090" t="inlineStr">
        <is>
          <t>舞鶴市（京都府）：桂川・宇治川・木津川の氾濫、由良川の洪水常襲、北部の豪雪、内陸活断層に留意。</t>
        </is>
      </c>
    </row>
    <row r="1091">
      <c r="A1091" t="inlineStr">
        <is>
          <t>京都府</t>
        </is>
      </c>
      <c r="B1091" t="inlineStr">
        <is>
          <t>綾部市</t>
        </is>
      </c>
      <c r="C1091" t="n">
        <v>14020</v>
      </c>
      <c r="D1091" t="n">
        <v>29790</v>
      </c>
      <c r="E1091" s="6" t="n">
        <v>86.09999999999999</v>
      </c>
      <c r="F1091" s="7" t="n">
        <v>18.6</v>
      </c>
      <c r="G1091" t="n">
        <v>31846</v>
      </c>
      <c r="H1091" t="n">
        <v>29790</v>
      </c>
      <c r="I1091" t="n">
        <v>27868</v>
      </c>
      <c r="J1091" t="n">
        <v>22346</v>
      </c>
      <c r="K1091" s="27">
        <f>(H1091/D1091-1)</f>
        <v/>
      </c>
      <c r="L1091" s="27">
        <f>(I1091/D1091-1)</f>
        <v/>
      </c>
      <c r="M1091" s="27">
        <f>(J1091/D1091-1)</f>
        <v/>
      </c>
      <c r="N1091" t="n">
        <v>46.2</v>
      </c>
      <c r="O1091" s="28">
        <f>(N1091+F1091)/2</f>
        <v/>
      </c>
      <c r="P1091">
        <f>IF(O1091="計算不能","計算不能",IF(O1091&gt;=80,5,IF(O1091&gt;=60,4,IF(O1091&gt;=40,3,IF(O1091&gt;=28,2,1)))))</f>
        <v/>
      </c>
      <c r="Q1091" t="n">
        <v>4890</v>
      </c>
      <c r="R1091" t="n">
        <v>640</v>
      </c>
      <c r="S1091" s="27">
        <f>R1091/Q1091</f>
        <v/>
      </c>
      <c r="T1091" t="inlineStr">
        <is>
          <t>綾部市は2045年までに人口が約25.0%減と明確な減少トレンド。高齢化の進行と世帯数の縮小により、中長期では賃貸需要の構造的縮小に警戒が必要。</t>
        </is>
      </c>
      <c r="U1091" t="inlineStr">
        <is>
          <t>綾部市は人口密度86人/km²と過疎的水準で、民間賃貸の新規需要は薄い。実需に裏付けられた格安戸建ての指値取得のみが現実的。 借家の空室率は約13%と需給は比較的引き締まっている。</t>
        </is>
      </c>
      <c r="V1091" t="inlineStr">
        <is>
          <t>綾部市（京都府）：桂川・宇治川・木津川の氾濫、由良川の洪水常襲、北部の豪雪、内陸活断層に留意。</t>
        </is>
      </c>
    </row>
    <row r="1092">
      <c r="A1092" t="inlineStr">
        <is>
          <t>京都府</t>
        </is>
      </c>
      <c r="B1092" t="inlineStr">
        <is>
          <t>宇治市</t>
        </is>
      </c>
      <c r="C1092" t="n">
        <v>72650</v>
      </c>
      <c r="D1092" t="n">
        <v>173161</v>
      </c>
      <c r="E1092" s="6" t="n">
        <v>2562</v>
      </c>
      <c r="F1092" s="7" t="n">
        <v>75.59999999999999</v>
      </c>
      <c r="G1092" t="n">
        <v>179630</v>
      </c>
      <c r="H1092" t="n">
        <v>173161</v>
      </c>
      <c r="I1092" t="n">
        <v>165299</v>
      </c>
      <c r="J1092" t="n">
        <v>138878</v>
      </c>
      <c r="K1092" s="27">
        <f>(H1092/D1092-1)</f>
        <v/>
      </c>
      <c r="L1092" s="27">
        <f>(I1092/D1092-1)</f>
        <v/>
      </c>
      <c r="M1092" s="27">
        <f>(J1092/D1092-1)</f>
        <v/>
      </c>
      <c r="N1092" t="n">
        <v>55.2</v>
      </c>
      <c r="O1092" s="28">
        <f>(N1092+F1092)/2</f>
        <v/>
      </c>
      <c r="P1092">
        <f>IF(O1092="計算不能","計算不能",IF(O1092&gt;=80,5,IF(O1092&gt;=60,4,IF(O1092&gt;=40,3,IF(O1092&gt;=28,2,1)))))</f>
        <v/>
      </c>
      <c r="Q1092" t="n">
        <v>25340</v>
      </c>
      <c r="R1092" t="n">
        <v>3550</v>
      </c>
      <c r="S1092" s="27">
        <f>R1092/Q1092</f>
        <v/>
      </c>
      <c r="T1092" t="inlineStr">
        <is>
          <t>宇治市は2045年までに人口が約19.8%減と明確な減少トレンド。高齢化の進行と世帯数の縮小により、中長期では賃貸需要の構造的縮小に警戒が必要。</t>
        </is>
      </c>
      <c r="U1092" t="inlineStr">
        <is>
          <t>宇治市は人口密度2,562人/km²の都市部で、駅周辺や生活利便施設沿いに安定した賃貸需要がある。適切な家賃設定で高稼働を期待できる。 借家の空室率は約14%と需給は比較的引き締まっている。</t>
        </is>
      </c>
      <c r="V1092" t="inlineStr">
        <is>
          <t>宇治市（京都府）：桂川・宇治川・木津川の氾濫、由良川の洪水常襲、北部の豪雪、内陸活断層に留意。</t>
        </is>
      </c>
    </row>
    <row r="1093">
      <c r="A1093" t="inlineStr">
        <is>
          <t>京都府</t>
        </is>
      </c>
      <c r="B1093" t="inlineStr">
        <is>
          <t>宮津市</t>
        </is>
      </c>
      <c r="C1093" t="n">
        <v>7080</v>
      </c>
      <c r="D1093" t="n">
        <v>15124</v>
      </c>
      <c r="E1093" s="6" t="n">
        <v>87.40000000000001</v>
      </c>
      <c r="F1093" s="7" t="n">
        <v>18.7</v>
      </c>
      <c r="G1093" t="n">
        <v>16758</v>
      </c>
      <c r="H1093" t="n">
        <v>15124</v>
      </c>
      <c r="I1093" t="n">
        <v>13629</v>
      </c>
      <c r="J1093" t="n">
        <v>9653</v>
      </c>
      <c r="K1093" s="27">
        <f>(H1093/D1093-1)</f>
        <v/>
      </c>
      <c r="L1093" s="27">
        <f>(I1093/D1093-1)</f>
        <v/>
      </c>
      <c r="M1093" s="27">
        <f>(J1093/D1093-1)</f>
        <v/>
      </c>
      <c r="N1093" t="n">
        <v>39</v>
      </c>
      <c r="O1093" s="28">
        <f>(N1093+F1093)/2</f>
        <v/>
      </c>
      <c r="P1093">
        <f>IF(O1093="計算不能","計算不能",IF(O1093&gt;=80,5,IF(O1093&gt;=60,4,IF(O1093&gt;=40,3,IF(O1093&gt;=28,2,1)))))</f>
        <v/>
      </c>
      <c r="Q1093" t="n">
        <v>2469</v>
      </c>
      <c r="R1093" t="n">
        <v>630</v>
      </c>
      <c r="S1093" s="27">
        <f>R1093/Q1093</f>
        <v/>
      </c>
      <c r="T1093" t="inlineStr">
        <is>
          <t>宮津市は2045年までに人口が約36.2%減と急激な過疎・超高齢化が進行。若年労働世代の流出と自然減が重なり、賃貸事業としての持続性は極めて限定的。</t>
        </is>
      </c>
      <c r="U1093" t="inlineStr">
        <is>
          <t>宮津市は人口密度87人/km²と過疎的水準で、民間賃貸の新規需要は薄い。実需に裏付けられた格安戸建ての指値取得のみが現実的。 借家の空室率は約26%と供給過多気味で、空室長期化リスクに要警戒。</t>
        </is>
      </c>
      <c r="V1093" t="inlineStr">
        <is>
          <t>宮津市（京都府）：桂川・宇治川・木津川の氾濫、由良川の洪水常襲、北部の豪雪、内陸活断層に留意。</t>
        </is>
      </c>
    </row>
    <row r="1094">
      <c r="A1094" t="inlineStr">
        <is>
          <t>京都府</t>
        </is>
      </c>
      <c r="B1094" t="inlineStr">
        <is>
          <t>亀岡市</t>
        </is>
      </c>
      <c r="C1094" t="n">
        <v>34480</v>
      </c>
      <c r="D1094" t="n">
        <v>82670</v>
      </c>
      <c r="E1094" s="6" t="n">
        <v>370.3</v>
      </c>
      <c r="F1094" s="7" t="n">
        <v>38.5</v>
      </c>
      <c r="G1094" t="n">
        <v>86174</v>
      </c>
      <c r="H1094" t="n">
        <v>82670</v>
      </c>
      <c r="I1094" t="n">
        <v>78412</v>
      </c>
      <c r="J1094" t="n">
        <v>63597</v>
      </c>
      <c r="K1094" s="27">
        <f>(H1094/D1094-1)</f>
        <v/>
      </c>
      <c r="L1094" s="27">
        <f>(I1094/D1094-1)</f>
        <v/>
      </c>
      <c r="M1094" s="27">
        <f>(J1094/D1094-1)</f>
        <v/>
      </c>
      <c r="N1094" t="n">
        <v>52.3</v>
      </c>
      <c r="O1094" s="28">
        <f>(N1094+F1094)/2</f>
        <v/>
      </c>
      <c r="P1094">
        <f>IF(O1094="計算不能","計算不能",IF(O1094&gt;=80,5,IF(O1094&gt;=60,4,IF(O1094&gt;=40,3,IF(O1094&gt;=28,2,1)))))</f>
        <v/>
      </c>
      <c r="Q1094" t="n">
        <v>12026</v>
      </c>
      <c r="R1094" t="n">
        <v>1590</v>
      </c>
      <c r="S1094" s="27">
        <f>R1094/Q1094</f>
        <v/>
      </c>
      <c r="T1094" t="inlineStr">
        <is>
          <t>亀岡市は2045年までに人口が約23.1%減と明確な減少トレンド。高齢化の進行と世帯数の縮小により、中長期では賃貸需要の構造的縮小に警戒が必要。</t>
        </is>
      </c>
      <c r="U1094" t="inlineStr">
        <is>
          <t>亀岡市は人口密度370人/km²と低密度で、賃貸需要は限定的。持ち家比率が高く、駐車場完備の戸建て賃貸が有利。 借家の空室率は約13%と需給は比較的引き締まっている。</t>
        </is>
      </c>
      <c r="V1094" t="inlineStr">
        <is>
          <t>亀岡市（京都府）：桂川・宇治川・木津川の氾濫、由良川の洪水常襲、北部の豪雪、内陸活断層に留意。</t>
        </is>
      </c>
    </row>
    <row r="1095">
      <c r="A1095" t="inlineStr">
        <is>
          <t>京都府</t>
        </is>
      </c>
      <c r="B1095" t="inlineStr">
        <is>
          <t>城陽市</t>
        </is>
      </c>
      <c r="C1095" t="n">
        <v>30770</v>
      </c>
      <c r="D1095" t="n">
        <v>71469</v>
      </c>
      <c r="E1095" s="6" t="n">
        <v>2194.1</v>
      </c>
      <c r="F1095" s="7" t="n">
        <v>71.90000000000001</v>
      </c>
      <c r="G1095" t="n">
        <v>74607</v>
      </c>
      <c r="H1095" t="n">
        <v>71469</v>
      </c>
      <c r="I1095" t="n">
        <v>67413</v>
      </c>
      <c r="J1095" t="n">
        <v>53959</v>
      </c>
      <c r="K1095" s="27">
        <f>(H1095/D1095-1)</f>
        <v/>
      </c>
      <c r="L1095" s="27">
        <f>(I1095/D1095-1)</f>
        <v/>
      </c>
      <c r="M1095" s="27">
        <f>(J1095/D1095-1)</f>
        <v/>
      </c>
      <c r="N1095" t="n">
        <v>51</v>
      </c>
      <c r="O1095" s="28">
        <f>(N1095+F1095)/2</f>
        <v/>
      </c>
      <c r="P1095">
        <f>IF(O1095="計算不能","計算不能",IF(O1095&gt;=80,5,IF(O1095&gt;=60,4,IF(O1095&gt;=40,3,IF(O1095&gt;=28,2,1)))))</f>
        <v/>
      </c>
      <c r="Q1095" t="n">
        <v>10732</v>
      </c>
      <c r="R1095" t="n">
        <v>1120</v>
      </c>
      <c r="S1095" s="27">
        <f>R1095/Q1095</f>
        <v/>
      </c>
      <c r="T1095" t="inlineStr">
        <is>
          <t>城陽市は2045年までに人口が約24.5%減と明確な減少トレンド。高齢化の進行と世帯数の縮小により、中長期では賃貸需要の構造的縮小に警戒が必要。</t>
        </is>
      </c>
      <c r="U1095" t="inlineStr">
        <is>
          <t>城陽市は人口密度2,194人/km²の都市部で、駅周辺や生活利便施設沿いに安定した賃貸需要がある。適切な家賃設定で高稼働を期待できる。 借家の空室率は約10%と需給は比較的引き締まっている。</t>
        </is>
      </c>
      <c r="V1095" t="inlineStr">
        <is>
          <t>城陽市（京都府）：桂川・宇治川・木津川の氾濫、由良川の洪水常襲、北部の豪雪、内陸活断層に留意。</t>
        </is>
      </c>
    </row>
    <row r="1096">
      <c r="A1096" t="inlineStr">
        <is>
          <t>京都府</t>
        </is>
      </c>
      <c r="B1096" t="inlineStr">
        <is>
          <t>向日市</t>
        </is>
      </c>
      <c r="C1096" t="n">
        <v>23430</v>
      </c>
      <c r="D1096" t="n">
        <v>55615</v>
      </c>
      <c r="E1096" s="6" t="n">
        <v>7158.3</v>
      </c>
      <c r="F1096" s="7" t="n">
        <v>94.3</v>
      </c>
      <c r="G1096" t="n">
        <v>56859</v>
      </c>
      <c r="H1096" t="n">
        <v>55615</v>
      </c>
      <c r="I1096" t="n">
        <v>54918</v>
      </c>
      <c r="J1096" t="n">
        <v>51070</v>
      </c>
      <c r="K1096" s="27">
        <f>(H1096/D1096-1)</f>
        <v/>
      </c>
      <c r="L1096" s="27">
        <f>(I1096/D1096-1)</f>
        <v/>
      </c>
      <c r="M1096" s="27">
        <f>(J1096/D1096-1)</f>
        <v/>
      </c>
      <c r="N1096" t="n">
        <v>65.8</v>
      </c>
      <c r="O1096" s="28">
        <f>(N1096+F1096)/2</f>
        <v/>
      </c>
      <c r="P1096">
        <f>IF(O1096="計算不能","計算不能",IF(O1096&gt;=80,5,IF(O1096&gt;=60,4,IF(O1096&gt;=40,3,IF(O1096&gt;=28,2,1)))))</f>
        <v/>
      </c>
      <c r="Q1096" t="n">
        <v>8172</v>
      </c>
      <c r="R1096" t="n">
        <v>1460</v>
      </c>
      <c r="S1096" s="27">
        <f>R1096/Q1096</f>
        <v/>
      </c>
      <c r="T1096" t="inlineStr">
        <is>
          <t>向日市は2045年までに人口が約8.2%減と緩やかな減少局面。若年層の都市部流出と高齢化が進むが、当面の賃貸稼働は一定程度維持される見通し。</t>
        </is>
      </c>
      <c r="U1096" t="inlineStr">
        <is>
          <t>向日市は人口密度7,158人/km²の高密度市街地で、駅近ワンルームからファミリー向けまで極めて強い賃貸実需が存在。資産流動性・出口戦略の容易さも高い。 借家の空室率は約18%と需給は比較的引き締まっている。</t>
        </is>
      </c>
      <c r="V1096" t="inlineStr">
        <is>
          <t>向日市（京都府）：桂川・宇治川・木津川の氾濫、由良川の洪水常襲、北部の豪雪、内陸活断層に留意。</t>
        </is>
      </c>
    </row>
    <row r="1097">
      <c r="A1097" t="inlineStr">
        <is>
          <t>京都府</t>
        </is>
      </c>
      <c r="B1097" t="inlineStr">
        <is>
          <t>長岡京市</t>
        </is>
      </c>
      <c r="C1097" t="n">
        <v>33080</v>
      </c>
      <c r="D1097" t="n">
        <v>79488</v>
      </c>
      <c r="E1097" s="6" t="n">
        <v>4257.2</v>
      </c>
      <c r="F1097" s="7" t="n">
        <v>80</v>
      </c>
      <c r="G1097" t="n">
        <v>80608</v>
      </c>
      <c r="H1097" t="n">
        <v>79488</v>
      </c>
      <c r="I1097" t="n">
        <v>77941</v>
      </c>
      <c r="J1097" t="n">
        <v>71794</v>
      </c>
      <c r="K1097" s="27">
        <f>(H1097/D1097-1)</f>
        <v/>
      </c>
      <c r="L1097" s="27">
        <f>(I1097/D1097-1)</f>
        <v/>
      </c>
      <c r="M1097" s="27">
        <f>(J1097/D1097-1)</f>
        <v/>
      </c>
      <c r="N1097" t="n">
        <v>66.09999999999999</v>
      </c>
      <c r="O1097" s="28">
        <f>(N1097+F1097)/2</f>
        <v/>
      </c>
      <c r="P1097">
        <f>IF(O1097="計算不能","計算不能",IF(O1097&gt;=80,5,IF(O1097&gt;=60,4,IF(O1097&gt;=40,3,IF(O1097&gt;=28,2,1)))))</f>
        <v/>
      </c>
      <c r="Q1097" t="n">
        <v>11538</v>
      </c>
      <c r="R1097" t="n">
        <v>1340</v>
      </c>
      <c r="S1097" s="27">
        <f>R1097/Q1097</f>
        <v/>
      </c>
      <c r="T1097" t="inlineStr">
        <is>
          <t>長岡京市は2045年までに人口が約9.7%減と緩やかな減少局面。若年層の都市部流出と高齢化が進むが、当面の賃貸稼働は一定程度維持される見通し。</t>
        </is>
      </c>
      <c r="U1097" t="inlineStr">
        <is>
          <t>長岡京市は人口密度4,257人/km²の都市部で、駅周辺や生活利便施設沿いに安定した賃貸需要がある。適切な家賃設定で高稼働を期待できる。 借家の空室率は約12%と需給は比較的引き締まっている。</t>
        </is>
      </c>
      <c r="V1097" t="inlineStr">
        <is>
          <t>長岡京市（京都府）：桂川・宇治川・木津川の氾濫、由良川の洪水常襲、北部の豪雪、内陸活断層に留意。</t>
        </is>
      </c>
    </row>
    <row r="1098">
      <c r="A1098" t="inlineStr">
        <is>
          <t>京都府</t>
        </is>
      </c>
      <c r="B1098" t="inlineStr">
        <is>
          <t>八幡市</t>
        </is>
      </c>
      <c r="C1098" t="n">
        <v>31060</v>
      </c>
      <c r="D1098" t="n">
        <v>67642</v>
      </c>
      <c r="E1098" s="6" t="n">
        <v>2776.7</v>
      </c>
      <c r="F1098" s="7" t="n">
        <v>77.8</v>
      </c>
      <c r="G1098" t="n">
        <v>70433</v>
      </c>
      <c r="H1098" t="n">
        <v>67642</v>
      </c>
      <c r="I1098" t="n">
        <v>64299</v>
      </c>
      <c r="J1098" t="n">
        <v>52797</v>
      </c>
      <c r="K1098" s="27">
        <f>(H1098/D1098-1)</f>
        <v/>
      </c>
      <c r="L1098" s="27">
        <f>(I1098/D1098-1)</f>
        <v/>
      </c>
      <c r="M1098" s="27">
        <f>(J1098/D1098-1)</f>
        <v/>
      </c>
      <c r="N1098" t="n">
        <v>53.2</v>
      </c>
      <c r="O1098" s="28">
        <f>(N1098+F1098)/2</f>
        <v/>
      </c>
      <c r="P1098">
        <f>IF(O1098="計算不能","計算不能",IF(O1098&gt;=80,5,IF(O1098&gt;=60,4,IF(O1098&gt;=40,3,IF(O1098&gt;=28,2,1)))))</f>
        <v/>
      </c>
      <c r="Q1098" t="n">
        <v>10833</v>
      </c>
      <c r="R1098" t="n">
        <v>1820</v>
      </c>
      <c r="S1098" s="27">
        <f>R1098/Q1098</f>
        <v/>
      </c>
      <c r="T1098" t="inlineStr">
        <is>
          <t>八幡市は2045年までに人口が約21.9%減と明確な減少トレンド。高齢化の進行と世帯数の縮小により、中長期では賃貸需要の構造的縮小に警戒が必要。</t>
        </is>
      </c>
      <c r="U1098" t="inlineStr">
        <is>
          <t>八幡市は人口密度2,777人/km²の都市部で、駅周辺や生活利便施設沿いに安定した賃貸需要がある。適切な家賃設定で高稼働を期待できる。 借家の空室率は約17%と需給は比較的引き締まっている。</t>
        </is>
      </c>
      <c r="V1098" t="inlineStr">
        <is>
          <t>八幡市（京都府）：桂川・宇治川・木津川の氾濫、由良川の洪水常襲、北部の豪雪、内陸活断層に留意。</t>
        </is>
      </c>
    </row>
    <row r="1099">
      <c r="A1099" t="inlineStr">
        <is>
          <t>京都府</t>
        </is>
      </c>
      <c r="B1099" t="inlineStr">
        <is>
          <t>京田辺市</t>
        </is>
      </c>
      <c r="C1099" t="n">
        <v>32320</v>
      </c>
      <c r="D1099" t="n">
        <v>75025</v>
      </c>
      <c r="E1099" s="6" t="n">
        <v>1732.2</v>
      </c>
      <c r="F1099" s="7" t="n">
        <v>67.3</v>
      </c>
      <c r="G1099" t="n">
        <v>73753</v>
      </c>
      <c r="H1099" t="n">
        <v>75025</v>
      </c>
      <c r="I1099" t="n">
        <v>75083</v>
      </c>
      <c r="J1099" t="n">
        <v>71305</v>
      </c>
      <c r="K1099" s="27">
        <f>(H1099/D1099-1)</f>
        <v/>
      </c>
      <c r="L1099" s="27">
        <f>(I1099/D1099-1)</f>
        <v/>
      </c>
      <c r="M1099" s="27">
        <f>(J1099/D1099-1)</f>
        <v/>
      </c>
      <c r="N1099" t="n">
        <v>76</v>
      </c>
      <c r="O1099" s="28">
        <f>(N1099+F1099)/2</f>
        <v/>
      </c>
      <c r="P1099">
        <f>IF(O1099="計算不能","計算不能",IF(O1099&gt;=80,5,IF(O1099&gt;=60,4,IF(O1099&gt;=40,3,IF(O1099&gt;=28,2,1)))))</f>
        <v/>
      </c>
      <c r="Q1099" t="n">
        <v>11273</v>
      </c>
      <c r="R1099" t="n">
        <v>2140</v>
      </c>
      <c r="S1099" s="27">
        <f>R1099/Q1099</f>
        <v/>
      </c>
      <c r="T1099" t="inlineStr">
        <is>
          <t>京田辺市は2045年までの人口減少率が約5.0%と全国平均より緩やかで、概ね横ばいの安定推移。生産年齢人口の維持により、賃貸需要の急減リスクは相対的に低い。</t>
        </is>
      </c>
      <c r="U1099" t="inlineStr">
        <is>
          <t>京田辺市は人口密度1,732人/km²の都市部で、駅周辺や生活利便施設沿いに安定した賃貸需要がある。適切な家賃設定で高稼働を期待できる。 借家の空室率は約19%とやや高めで、競合との差別化が必要。</t>
        </is>
      </c>
      <c r="V1099" t="inlineStr">
        <is>
          <t>京田辺市（京都府）：桂川・宇治川・木津川の氾濫、由良川の洪水常襲、北部の豪雪、内陸活断層に留意。</t>
        </is>
      </c>
    </row>
    <row r="1100">
      <c r="A1100" t="inlineStr">
        <is>
          <t>京都府</t>
        </is>
      </c>
      <c r="B1100" t="inlineStr">
        <is>
          <t>京丹後市</t>
        </is>
      </c>
      <c r="C1100" t="n">
        <v>19850</v>
      </c>
      <c r="D1100" t="n">
        <v>46813</v>
      </c>
      <c r="E1100" s="6" t="n">
        <v>93.2</v>
      </c>
      <c r="F1100" s="7" t="n">
        <v>19.3</v>
      </c>
      <c r="G1100" t="n">
        <v>50860</v>
      </c>
      <c r="H1100" t="n">
        <v>46813</v>
      </c>
      <c r="I1100" t="n">
        <v>42996</v>
      </c>
      <c r="J1100" t="n">
        <v>32021</v>
      </c>
      <c r="K1100" s="27">
        <f>(H1100/D1100-1)</f>
        <v/>
      </c>
      <c r="L1100" s="27">
        <f>(I1100/D1100-1)</f>
        <v/>
      </c>
      <c r="M1100" s="27">
        <f>(J1100/D1100-1)</f>
        <v/>
      </c>
      <c r="N1100" t="n">
        <v>42.1</v>
      </c>
      <c r="O1100" s="28">
        <f>(N1100+F1100)/2</f>
        <v/>
      </c>
      <c r="P1100">
        <f>IF(O1100="計算不能","計算不能",IF(O1100&gt;=80,5,IF(O1100&gt;=60,4,IF(O1100&gt;=40,3,IF(O1100&gt;=28,2,1)))))</f>
        <v/>
      </c>
      <c r="Q1100" t="n">
        <v>6923</v>
      </c>
      <c r="R1100" t="n">
        <v>490</v>
      </c>
      <c r="S1100" s="27">
        <f>R1100/Q1100</f>
        <v/>
      </c>
      <c r="T1100" t="inlineStr">
        <is>
          <t>京丹後市は2045年までに人口が約31.6%減と急激な過疎・超高齢化が進行。若年労働世代の流出と自然減が重なり、賃貸事業としての持続性は極めて限定的。</t>
        </is>
      </c>
      <c r="U1100" t="inlineStr">
        <is>
          <t>京丹後市は人口密度93人/km²と過疎的水準で、民間賃貸の新規需要は薄い。実需に裏付けられた格安戸建ての指値取得のみが現実的。 借家の空室率は約7%と需給は比較的引き締まっている。</t>
        </is>
      </c>
      <c r="V1100" t="inlineStr">
        <is>
          <t>京丹後市（京都府）：桂川・宇治川・木津川の氾濫、由良川の洪水常襲、北部の豪雪、内陸活断層に留意。</t>
        </is>
      </c>
    </row>
    <row r="1101">
      <c r="A1101" t="inlineStr">
        <is>
          <t>京都府</t>
        </is>
      </c>
      <c r="B1101" t="inlineStr">
        <is>
          <t>南丹市</t>
        </is>
      </c>
      <c r="C1101" t="n">
        <v>11700</v>
      </c>
      <c r="D1101" t="n">
        <v>30088</v>
      </c>
      <c r="E1101" s="6" t="n">
        <v>48.8</v>
      </c>
      <c r="F1101" s="7" t="n">
        <v>14.9</v>
      </c>
      <c r="G1101" t="n">
        <v>31629</v>
      </c>
      <c r="H1101" t="n">
        <v>30088</v>
      </c>
      <c r="I1101" t="n">
        <v>28420</v>
      </c>
      <c r="J1101" t="n">
        <v>23265</v>
      </c>
      <c r="K1101" s="27">
        <f>(H1101/D1101-1)</f>
        <v/>
      </c>
      <c r="L1101" s="27">
        <f>(I1101/D1101-1)</f>
        <v/>
      </c>
      <c r="M1101" s="27">
        <f>(J1101/D1101-1)</f>
        <v/>
      </c>
      <c r="N1101" t="n">
        <v>50.8</v>
      </c>
      <c r="O1101" s="28">
        <f>(N1101+F1101)/2</f>
        <v/>
      </c>
      <c r="P1101">
        <f>IF(O1101="計算不能","計算不能",IF(O1101&gt;=80,5,IF(O1101&gt;=60,4,IF(O1101&gt;=40,3,IF(O1101&gt;=28,2,1)))))</f>
        <v/>
      </c>
      <c r="Q1101" t="n">
        <v>4080</v>
      </c>
      <c r="R1101" t="n">
        <v>860</v>
      </c>
      <c r="S1101" s="27">
        <f>R1101/Q1101</f>
        <v/>
      </c>
      <c r="T1101" t="inlineStr">
        <is>
          <t>南丹市は2045年までに人口が約22.7%減と明確な減少トレンド。高齢化の進行と世帯数の縮小により、中長期では賃貸需要の構造的縮小に警戒が必要。</t>
        </is>
      </c>
      <c r="U1101" t="inlineStr">
        <is>
          <t>南丹市は人口密度49人/km²と過疎的水準で、民間賃貸の新規需要は薄い。実需に裏付けられた格安戸建ての指値取得のみが現実的。 借家の空室率は約21%とやや高めで、競合との差別化が必要。</t>
        </is>
      </c>
      <c r="V1101" t="inlineStr">
        <is>
          <t>南丹市（京都府）：桂川・宇治川・木津川の氾濫、由良川の洪水常襲、北部の豪雪、内陸活断層に留意。</t>
        </is>
      </c>
    </row>
    <row r="1102">
      <c r="A1102" t="inlineStr">
        <is>
          <t>京都府</t>
        </is>
      </c>
      <c r="B1102" t="inlineStr">
        <is>
          <t>木津川市</t>
        </is>
      </c>
      <c r="C1102" t="n">
        <v>30550</v>
      </c>
      <c r="D1102" t="n">
        <v>80459</v>
      </c>
      <c r="E1102" s="6" t="n">
        <v>915.9</v>
      </c>
      <c r="F1102" s="7" t="n">
        <v>53.3</v>
      </c>
      <c r="G1102" t="n">
        <v>77907</v>
      </c>
      <c r="H1102" t="n">
        <v>80459</v>
      </c>
      <c r="I1102" t="n">
        <v>81640</v>
      </c>
      <c r="J1102" t="n">
        <v>80709</v>
      </c>
      <c r="K1102" s="27">
        <f>(H1102/D1102-1)</f>
        <v/>
      </c>
      <c r="L1102" s="27">
        <f>(I1102/D1102-1)</f>
        <v/>
      </c>
      <c r="M1102" s="27">
        <f>(J1102/D1102-1)</f>
        <v/>
      </c>
      <c r="N1102" t="n">
        <v>82.8</v>
      </c>
      <c r="O1102" s="28">
        <f>(N1102+F1102)/2</f>
        <v/>
      </c>
      <c r="P1102">
        <f>IF(O1102="計算不能","計算不能",IF(O1102&gt;=80,5,IF(O1102&gt;=60,4,IF(O1102&gt;=40,3,IF(O1102&gt;=28,2,1)))))</f>
        <v/>
      </c>
      <c r="Q1102" t="n">
        <v>10655</v>
      </c>
      <c r="R1102" t="n">
        <v>990</v>
      </c>
      <c r="S1102" s="27">
        <f>R1102/Q1102</f>
        <v/>
      </c>
      <c r="T1102" t="inlineStr">
        <is>
          <t>木津川市は2045年までの人口減少率が約0.3%と全国平均より緩やかで、概ね横ばいの安定推移。生産年齢人口の維持により、賃貸需要の急減リスクは相対的に低い。</t>
        </is>
      </c>
      <c r="U1102" t="inlineStr">
        <is>
          <t>木津川市は人口密度916人/km²で、主要道路沿いや中心市街地に一定の賃貸需要が局在。立地選別が稼働を左右する。 借家の空室率は約9%と需給は比較的引き締まっている。</t>
        </is>
      </c>
      <c r="V1102" t="inlineStr">
        <is>
          <t>木津川市（京都府）：桂川・宇治川・木津川の氾濫、由良川の洪水常襲、北部の豪雪、内陸活断層に留意。</t>
        </is>
      </c>
    </row>
    <row r="1103">
      <c r="A1103" t="inlineStr">
        <is>
          <t>京都府</t>
        </is>
      </c>
      <c r="B1103" t="inlineStr">
        <is>
          <t>大山崎町</t>
        </is>
      </c>
      <c r="C1103" t="n">
        <v>6720</v>
      </c>
      <c r="D1103" t="n">
        <v>16183</v>
      </c>
      <c r="E1103" s="6" t="n">
        <v>2673.4</v>
      </c>
      <c r="F1103" s="7" t="n">
        <v>76.7</v>
      </c>
      <c r="G1103" t="n">
        <v>15953</v>
      </c>
      <c r="H1103" t="n">
        <v>16183</v>
      </c>
      <c r="I1103" t="n">
        <v>16037</v>
      </c>
      <c r="J1103" t="n">
        <v>15252</v>
      </c>
      <c r="K1103" s="27">
        <f>(H1103/D1103-1)</f>
        <v/>
      </c>
      <c r="L1103" s="27">
        <f>(I1103/D1103-1)</f>
        <v/>
      </c>
      <c r="M1103" s="27">
        <f>(J1103/D1103-1)</f>
        <v/>
      </c>
      <c r="N1103" t="n">
        <v>74.3</v>
      </c>
      <c r="O1103" s="28">
        <f>(N1103+F1103)/2</f>
        <v/>
      </c>
      <c r="P1103">
        <f>IF(O1103="計算不能","計算不能",IF(O1103&gt;=80,5,IF(O1103&gt;=60,4,IF(O1103&gt;=40,3,IF(O1103&gt;=28,2,1)))))</f>
        <v/>
      </c>
      <c r="Q1103" t="n">
        <v>2343</v>
      </c>
      <c r="R1103" t="n">
        <v>480</v>
      </c>
      <c r="S1103" s="27">
        <f>R1103/Q1103</f>
        <v/>
      </c>
      <c r="T1103" t="inlineStr">
        <is>
          <t>大山崎町は2045年までに人口が約5.8%減と緩やかな減少局面。若年層の都市部流出と高齢化が進むが、当面の賃貸稼働は一定程度維持される見通し。</t>
        </is>
      </c>
      <c r="U1103" t="inlineStr">
        <is>
          <t>大山崎町は人口密度2,673人/km²の都市部で、駅周辺や生活利便施設沿いに安定した賃貸需要がある。適切な家賃設定で高稼働を期待できる。 借家の空室率は約20%とやや高めで、競合との差別化が必要。</t>
        </is>
      </c>
      <c r="V1103" t="inlineStr">
        <is>
          <t>大山崎町（京都府）：桂川・宇治川・木津川の氾濫、由良川の洪水常襲、北部の豪雪、内陸活断層に留意。</t>
        </is>
      </c>
    </row>
    <row r="1104">
      <c r="A1104" t="inlineStr">
        <is>
          <t>京都府</t>
        </is>
      </c>
      <c r="B1104" t="inlineStr">
        <is>
          <t>久御山町</t>
        </is>
      </c>
      <c r="C1104" t="n">
        <v>6370</v>
      </c>
      <c r="D1104" t="n">
        <v>14457</v>
      </c>
      <c r="E1104" s="6" t="n">
        <v>1059.4</v>
      </c>
      <c r="F1104" s="7" t="n">
        <v>56.2</v>
      </c>
      <c r="G1104" t="n">
        <v>15250</v>
      </c>
      <c r="H1104" t="n">
        <v>14457</v>
      </c>
      <c r="I1104" t="n">
        <v>13590</v>
      </c>
      <c r="J1104" t="n">
        <v>10837</v>
      </c>
      <c r="K1104" s="27">
        <f>(H1104/D1104-1)</f>
        <v/>
      </c>
      <c r="L1104" s="27">
        <f>(I1104/D1104-1)</f>
        <v/>
      </c>
      <c r="M1104" s="27">
        <f>(J1104/D1104-1)</f>
        <v/>
      </c>
      <c r="N1104" t="n">
        <v>48.8</v>
      </c>
      <c r="O1104" s="28">
        <f>(N1104+F1104)/2</f>
        <v/>
      </c>
      <c r="P1104">
        <f>IF(O1104="計算不能","計算不能",IF(O1104&gt;=80,5,IF(O1104&gt;=60,4,IF(O1104&gt;=40,3,IF(O1104&gt;=28,2,1)))))</f>
        <v/>
      </c>
      <c r="Q1104" t="n">
        <v>2221</v>
      </c>
      <c r="R1104" t="n">
        <v>250</v>
      </c>
      <c r="S1104" s="27">
        <f>R1104/Q1104</f>
        <v/>
      </c>
      <c r="T1104" t="inlineStr">
        <is>
          <t>久御山町は2045年までに人口が約25.0%減と明確な減少トレンド。高齢化の進行と世帯数の縮小により、中長期では賃貸需要の構造的縮小に警戒が必要。</t>
        </is>
      </c>
      <c r="U1104" t="inlineStr">
        <is>
          <t>久御山町は人口密度1,059人/km²で、主要道路沿いや中心市街地に一定の賃貸需要が局在。立地選別が稼働を左右する。 借家の空室率は約11%と需給は比較的引き締まっている。</t>
        </is>
      </c>
      <c r="V1104" t="inlineStr">
        <is>
          <t>久御山町（京都府）：桂川・宇治川・木津川の氾濫、由良川の洪水常襲、北部の豪雪、内陸活断層に留意。</t>
        </is>
      </c>
    </row>
    <row r="1105">
      <c r="A1105" t="inlineStr">
        <is>
          <t>京都府</t>
        </is>
      </c>
      <c r="B1105" t="inlineStr">
        <is>
          <t>井手町</t>
        </is>
      </c>
      <c r="C1105" t="n">
        <v>3499</v>
      </c>
      <c r="D1105" t="n">
        <v>6851</v>
      </c>
      <c r="E1105" s="6" t="n">
        <v>389.4</v>
      </c>
      <c r="F1105" s="7" t="n">
        <v>39.5</v>
      </c>
      <c r="G1105" t="n">
        <v>7406</v>
      </c>
      <c r="H1105" t="n">
        <v>6851</v>
      </c>
      <c r="I1105" t="n">
        <v>6281</v>
      </c>
      <c r="J1105" t="n">
        <v>4577</v>
      </c>
      <c r="K1105" s="27">
        <f>(H1105/D1105-1)</f>
        <v/>
      </c>
      <c r="L1105" s="27">
        <f>(I1105/D1105-1)</f>
        <v/>
      </c>
      <c r="M1105" s="27">
        <f>(J1105/D1105-1)</f>
        <v/>
      </c>
      <c r="N1105" t="n">
        <v>42.1</v>
      </c>
      <c r="O1105" s="28">
        <f>(N1105+F1105)/2</f>
        <v/>
      </c>
      <c r="P1105">
        <f>IF(O1105="計算不能","計算不能",IF(O1105&gt;=80,5,IF(O1105&gt;=60,4,IF(O1105&gt;=40,3,IF(O1105&gt;=28,2,1)))))</f>
        <v/>
      </c>
      <c r="Q1105" t="n">
        <v>1220</v>
      </c>
      <c r="R1105" t="n">
        <v>0</v>
      </c>
      <c r="S1105" s="27">
        <f>R1105/Q1105</f>
        <v/>
      </c>
      <c r="T1105" t="inlineStr">
        <is>
          <t>井手町は2045年までに人口が約33.2%減と急激な過疎・超高齢化が進行。若年労働世代の流出と自然減が重なり、賃貸事業としての持続性は極めて限定的。</t>
        </is>
      </c>
      <c r="U1105" t="inlineStr">
        <is>
          <t>井手町は人口密度389人/km²と低密度で、賃貸需要は限定的。持ち家比率が高く、駐車場完備の戸建て賃貸が有利。 借家の空室率は約0%と需給は比較的引き締まっている。</t>
        </is>
      </c>
      <c r="V1105" t="inlineStr">
        <is>
          <t>井手町（京都府）：桂川・宇治川・木津川の氾濫、由良川の洪水常襲、北部の豪雪、内陸活断層に留意。</t>
        </is>
      </c>
    </row>
    <row r="1106">
      <c r="A1106" t="inlineStr">
        <is>
          <t>京都府</t>
        </is>
      </c>
      <c r="B1106" t="inlineStr">
        <is>
          <t>宇治田原町</t>
        </is>
      </c>
      <c r="C1106" t="n">
        <v>3900</v>
      </c>
      <c r="D1106" t="n">
        <v>8461</v>
      </c>
      <c r="E1106" s="6" t="n">
        <v>145.3</v>
      </c>
      <c r="F1106" s="7" t="n">
        <v>24.5</v>
      </c>
      <c r="G1106" t="n">
        <v>8911</v>
      </c>
      <c r="H1106" t="n">
        <v>8461</v>
      </c>
      <c r="I1106" t="n">
        <v>7969</v>
      </c>
      <c r="J1106" t="n">
        <v>6276</v>
      </c>
      <c r="K1106" s="27">
        <f>(H1106/D1106-1)</f>
        <v/>
      </c>
      <c r="L1106" s="27">
        <f>(I1106/D1106-1)</f>
        <v/>
      </c>
      <c r="M1106" s="27">
        <f>(J1106/D1106-1)</f>
        <v/>
      </c>
      <c r="N1106" t="n">
        <v>48.8</v>
      </c>
      <c r="O1106" s="28">
        <f>(N1106+F1106)/2</f>
        <v/>
      </c>
      <c r="P1106">
        <f>IF(O1106="計算不能","計算不能",IF(O1106&gt;=80,5,IF(O1106&gt;=60,4,IF(O1106&gt;=40,3,IF(O1106&gt;=28,2,1)))))</f>
        <v/>
      </c>
      <c r="Q1106" t="n">
        <v>1360</v>
      </c>
      <c r="R1106" t="n">
        <v>0</v>
      </c>
      <c r="S1106" s="27">
        <f>R1106/Q1106</f>
        <v/>
      </c>
      <c r="T1106" t="inlineStr">
        <is>
          <t>宇治田原町は2045年までに人口が約25.8%減と明確な減少トレンド。高齢化の進行と世帯数の縮小により、中長期では賃貸需要の構造的縮小に警戒が必要。</t>
        </is>
      </c>
      <c r="U1106" t="inlineStr">
        <is>
          <t>宇治田原町は人口密度145人/km²と過疎的水準で、民間賃貸の新規需要は薄い。実需に裏付けられた格安戸建ての指値取得のみが現実的。 借家の空室率は約0%と需給は比較的引き締まっている。</t>
        </is>
      </c>
      <c r="V1106" t="inlineStr">
        <is>
          <t>宇治田原町（京都府）：桂川・宇治川・木津川の氾濫、由良川の洪水常襲、北部の豪雪、内陸活断層に留意。</t>
        </is>
      </c>
    </row>
    <row r="1107">
      <c r="A1107" t="inlineStr">
        <is>
          <t>京都府</t>
        </is>
      </c>
      <c r="B1107" t="inlineStr">
        <is>
          <t>笠置町</t>
        </is>
      </c>
      <c r="C1107" t="n">
        <v>561</v>
      </c>
      <c r="D1107" t="n">
        <v>970</v>
      </c>
      <c r="E1107" s="6" t="n">
        <v>40.5</v>
      </c>
      <c r="F1107" s="7" t="n">
        <v>14.1</v>
      </c>
      <c r="G1107" t="n">
        <v>1144</v>
      </c>
      <c r="H1107" t="n">
        <v>970</v>
      </c>
      <c r="I1107" t="n">
        <v>825</v>
      </c>
      <c r="J1107" t="n">
        <v>462</v>
      </c>
      <c r="K1107" s="27">
        <f>(H1107/D1107-1)</f>
        <v/>
      </c>
      <c r="L1107" s="27">
        <f>(I1107/D1107-1)</f>
        <v/>
      </c>
      <c r="M1107" s="27">
        <f>(J1107/D1107-1)</f>
        <v/>
      </c>
      <c r="N1107" t="n">
        <v>29.6</v>
      </c>
      <c r="O1107" s="28">
        <f>(N1107+F1107)/2</f>
        <v/>
      </c>
      <c r="P1107">
        <f>IF(O1107="計算不能","計算不能",IF(O1107&gt;=80,5,IF(O1107&gt;=60,4,IF(O1107&gt;=40,3,IF(O1107&gt;=28,2,1)))))</f>
        <v/>
      </c>
      <c r="Q1107" t="n">
        <v>195</v>
      </c>
      <c r="R1107" t="n">
        <v>0</v>
      </c>
      <c r="S1107" s="27">
        <f>R1107/Q1107</f>
        <v/>
      </c>
      <c r="T1107" t="inlineStr">
        <is>
          <t>笠置町は2045年までに人口が約52.4%減と急激な過疎・超高齢化が進行。若年労働世代の流出と自然減が重なり、賃貸事業としての持続性は極めて限定的。</t>
        </is>
      </c>
      <c r="U1107" t="inlineStr">
        <is>
          <t>笠置町は人口密度40人/km²と過疎的水準で、民間賃貸の新規需要は薄い。実需に裏付けられた格安戸建ての指値取得のみが現実的。 借家の空室率は約0%と需給は比較的引き締まっている。</t>
        </is>
      </c>
      <c r="V1107" t="inlineStr">
        <is>
          <t>笠置町（京都府）：桂川・宇治川・木津川の氾濫、由良川の洪水常襲、北部の豪雪、内陸活断層に留意。</t>
        </is>
      </c>
    </row>
    <row r="1108">
      <c r="A1108" t="inlineStr">
        <is>
          <t>京都府</t>
        </is>
      </c>
      <c r="B1108" t="inlineStr">
        <is>
          <t>和束町</t>
        </is>
      </c>
      <c r="C1108" t="n">
        <v>1646</v>
      </c>
      <c r="D1108" t="n">
        <v>3070</v>
      </c>
      <c r="E1108" s="6" t="n">
        <v>45.8</v>
      </c>
      <c r="F1108" s="7" t="n">
        <v>14.6</v>
      </c>
      <c r="G1108" t="n">
        <v>3478</v>
      </c>
      <c r="H1108" t="n">
        <v>3070</v>
      </c>
      <c r="I1108" t="n">
        <v>2674</v>
      </c>
      <c r="J1108" t="n">
        <v>1600</v>
      </c>
      <c r="K1108" s="27">
        <f>(H1108/D1108-1)</f>
        <v/>
      </c>
      <c r="L1108" s="27">
        <f>(I1108/D1108-1)</f>
        <v/>
      </c>
      <c r="M1108" s="27">
        <f>(J1108/D1108-1)</f>
        <v/>
      </c>
      <c r="N1108" t="n">
        <v>33.7</v>
      </c>
      <c r="O1108" s="28">
        <f>(N1108+F1108)/2</f>
        <v/>
      </c>
      <c r="P1108">
        <f>IF(O1108="計算不能","計算不能",IF(O1108&gt;=80,5,IF(O1108&gt;=60,4,IF(O1108&gt;=40,3,IF(O1108&gt;=28,2,1)))))</f>
        <v/>
      </c>
      <c r="Q1108" t="n">
        <v>574</v>
      </c>
      <c r="R1108" t="n">
        <v>0</v>
      </c>
      <c r="S1108" s="27">
        <f>R1108/Q1108</f>
        <v/>
      </c>
      <c r="T1108" t="inlineStr">
        <is>
          <t>和束町は2045年までに人口が約47.9%減と急激な過疎・超高齢化が進行。若年労働世代の流出と自然減が重なり、賃貸事業としての持続性は極めて限定的。</t>
        </is>
      </c>
      <c r="U1108" t="inlineStr">
        <is>
          <t>和束町は人口密度46人/km²と過疎的水準で、民間賃貸の新規需要は薄い。実需に裏付けられた格安戸建ての指値取得のみが現実的。 借家の空室率は約0%と需給は比較的引き締まっている。</t>
        </is>
      </c>
      <c r="V1108" t="inlineStr">
        <is>
          <t>和束町（京都府）：桂川・宇治川・木津川の氾濫、由良川の洪水常襲、北部の豪雪、内陸活断層に留意。</t>
        </is>
      </c>
    </row>
    <row r="1109">
      <c r="A1109" t="inlineStr">
        <is>
          <t>京都府</t>
        </is>
      </c>
      <c r="B1109" t="inlineStr">
        <is>
          <t>精華町</t>
        </is>
      </c>
      <c r="C1109" t="n">
        <v>13760</v>
      </c>
      <c r="D1109" t="n">
        <v>34638</v>
      </c>
      <c r="E1109" s="6" t="n">
        <v>1344.9</v>
      </c>
      <c r="F1109" s="7" t="n">
        <v>61.9</v>
      </c>
      <c r="G1109" t="n">
        <v>36198</v>
      </c>
      <c r="H1109" t="n">
        <v>34638</v>
      </c>
      <c r="I1109" t="n">
        <v>33726</v>
      </c>
      <c r="J1109" t="n">
        <v>30041</v>
      </c>
      <c r="K1109" s="27">
        <f>(H1109/D1109-1)</f>
        <v/>
      </c>
      <c r="L1109" s="27">
        <f>(I1109/D1109-1)</f>
        <v/>
      </c>
      <c r="M1109" s="27">
        <f>(J1109/D1109-1)</f>
        <v/>
      </c>
      <c r="N1109" t="n">
        <v>58.3</v>
      </c>
      <c r="O1109" s="28">
        <f>(N1109+F1109)/2</f>
        <v/>
      </c>
      <c r="P1109">
        <f>IF(O1109="計算不能","計算不能",IF(O1109&gt;=80,5,IF(O1109&gt;=60,4,IF(O1109&gt;=40,3,IF(O1109&gt;=28,2,1)))))</f>
        <v/>
      </c>
      <c r="Q1109" t="n">
        <v>4799</v>
      </c>
      <c r="R1109" t="n">
        <v>390</v>
      </c>
      <c r="S1109" s="27">
        <f>R1109/Q1109</f>
        <v/>
      </c>
      <c r="T1109" t="inlineStr">
        <is>
          <t>精華町は2045年までに人口が約13.3%減と緩やかな減少局面。若年層の都市部流出と高齢化が進むが、当面の賃貸稼働は一定程度維持される見通し。</t>
        </is>
      </c>
      <c r="U1109" t="inlineStr">
        <is>
          <t>精華町は人口密度1,345人/km²で、主要道路沿いや中心市街地に一定の賃貸需要が局在。立地選別が稼働を左右する。 借家の空室率は約8%と需給は比較的引き締まっている。</t>
        </is>
      </c>
      <c r="V1109" t="inlineStr">
        <is>
          <t>精華町（京都府）：桂川・宇治川・木津川の氾濫、由良川の洪水常襲、北部の豪雪、内陸活断層に留意。</t>
        </is>
      </c>
    </row>
    <row r="1110">
      <c r="A1110" t="inlineStr">
        <is>
          <t>京都府</t>
        </is>
      </c>
      <c r="B1110" t="inlineStr">
        <is>
          <t>南山城村</t>
        </is>
      </c>
      <c r="C1110" t="n">
        <v>1193</v>
      </c>
      <c r="D1110" t="n">
        <v>2128</v>
      </c>
      <c r="E1110" s="6" t="n">
        <v>33.4</v>
      </c>
      <c r="F1110" s="7" t="n">
        <v>13.3</v>
      </c>
      <c r="G1110" t="n">
        <v>2391</v>
      </c>
      <c r="H1110" t="n">
        <v>2128</v>
      </c>
      <c r="I1110" t="n">
        <v>1862</v>
      </c>
      <c r="J1110" t="n">
        <v>1129</v>
      </c>
      <c r="K1110" s="27">
        <f>(H1110/D1110-1)</f>
        <v/>
      </c>
      <c r="L1110" s="27">
        <f>(I1110/D1110-1)</f>
        <v/>
      </c>
      <c r="M1110" s="27">
        <f>(J1110/D1110-1)</f>
        <v/>
      </c>
      <c r="N1110" t="n">
        <v>34.7</v>
      </c>
      <c r="O1110" s="28">
        <f>(N1110+F1110)/2</f>
        <v/>
      </c>
      <c r="P1110">
        <f>IF(O1110="計算不能","計算不能",IF(O1110&gt;=80,5,IF(O1110&gt;=60,4,IF(O1110&gt;=40,3,IF(O1110&gt;=28,2,1)))))</f>
        <v/>
      </c>
      <c r="Q1110" t="n">
        <v>416</v>
      </c>
      <c r="R1110" t="n">
        <v>0</v>
      </c>
      <c r="S1110" s="27">
        <f>R1110/Q1110</f>
        <v/>
      </c>
      <c r="T1110" t="inlineStr">
        <is>
          <t>南山城村は2045年までに人口が約46.9%減と急激な過疎・超高齢化が進行。若年労働世代の流出と自然減が重なり、賃貸事業としての持続性は極めて限定的。</t>
        </is>
      </c>
      <c r="U1110" t="inlineStr">
        <is>
          <t>南山城村は人口密度33人/km²と過疎的水準で、民間賃貸の新規需要は薄い。実需に裏付けられた格安戸建ての指値取得のみが現実的。 借家の空室率は約0%と需給は比較的引き締まっている。</t>
        </is>
      </c>
      <c r="V1110" t="inlineStr">
        <is>
          <t>南山城村（京都府）：桂川・宇治川・木津川の氾濫、由良川の洪水常襲、北部の豪雪、内陸活断層に留意。</t>
        </is>
      </c>
    </row>
    <row r="1111">
      <c r="A1111" t="inlineStr">
        <is>
          <t>京都府</t>
        </is>
      </c>
      <c r="B1111" t="inlineStr">
        <is>
          <t>京丹波町</t>
        </is>
      </c>
      <c r="C1111" t="n">
        <v>6095</v>
      </c>
      <c r="D1111" t="n">
        <v>11400</v>
      </c>
      <c r="E1111" s="6" t="n">
        <v>37.4</v>
      </c>
      <c r="F1111" s="7" t="n">
        <v>13.7</v>
      </c>
      <c r="G1111" t="n">
        <v>12907</v>
      </c>
      <c r="H1111" t="n">
        <v>11400</v>
      </c>
      <c r="I1111" t="n">
        <v>10220</v>
      </c>
      <c r="J1111" t="n">
        <v>6889</v>
      </c>
      <c r="K1111" s="27">
        <f>(H1111/D1111-1)</f>
        <v/>
      </c>
      <c r="L1111" s="27">
        <f>(I1111/D1111-1)</f>
        <v/>
      </c>
      <c r="M1111" s="27">
        <f>(J1111/D1111-1)</f>
        <v/>
      </c>
      <c r="N1111" t="n">
        <v>36.4</v>
      </c>
      <c r="O1111" s="28">
        <f>(N1111+F1111)/2</f>
        <v/>
      </c>
      <c r="P1111">
        <f>IF(O1111="計算不能","計算不能",IF(O1111&gt;=80,5,IF(O1111&gt;=60,4,IF(O1111&gt;=40,3,IF(O1111&gt;=28,2,1)))))</f>
        <v/>
      </c>
      <c r="Q1111" t="n">
        <v>2125</v>
      </c>
      <c r="R1111" t="n">
        <v>0</v>
      </c>
      <c r="S1111" s="27">
        <f>R1111/Q1111</f>
        <v/>
      </c>
      <c r="T1111" t="inlineStr">
        <is>
          <t>京丹波町は2045年までに人口が約39.6%減と急激な過疎・超高齢化が進行。若年労働世代の流出と自然減が重なり、賃貸事業としての持続性は極めて限定的。</t>
        </is>
      </c>
      <c r="U1111" t="inlineStr">
        <is>
          <t>京丹波町は人口密度37人/km²と過疎的水準で、民間賃貸の新規需要は薄い。実需に裏付けられた格安戸建ての指値取得のみが現実的。 借家の空室率は約0%と需給は比較的引き締まっている。</t>
        </is>
      </c>
      <c r="V1111" t="inlineStr">
        <is>
          <t>京丹波町（京都府）：桂川・宇治川・木津川の氾濫、由良川の洪水常襲、北部の豪雪、内陸活断層に留意。</t>
        </is>
      </c>
    </row>
    <row r="1112">
      <c r="A1112" t="inlineStr">
        <is>
          <t>京都府</t>
        </is>
      </c>
      <c r="B1112" t="inlineStr">
        <is>
          <t>伊根町</t>
        </is>
      </c>
      <c r="C1112" t="n">
        <v>870</v>
      </c>
      <c r="D1112" t="n">
        <v>1748</v>
      </c>
      <c r="E1112" s="6" t="n">
        <v>27.3</v>
      </c>
      <c r="F1112" s="7" t="n">
        <v>12.7</v>
      </c>
      <c r="G1112" t="n">
        <v>1928</v>
      </c>
      <c r="H1112" t="n">
        <v>1748</v>
      </c>
      <c r="I1112" t="n">
        <v>1579</v>
      </c>
      <c r="J1112" t="n">
        <v>1114</v>
      </c>
      <c r="K1112" s="27">
        <f>(H1112/D1112-1)</f>
        <v/>
      </c>
      <c r="L1112" s="27">
        <f>(I1112/D1112-1)</f>
        <v/>
      </c>
      <c r="M1112" s="27">
        <f>(J1112/D1112-1)</f>
        <v/>
      </c>
      <c r="N1112" t="n">
        <v>39.4</v>
      </c>
      <c r="O1112" s="28">
        <f>(N1112+F1112)/2</f>
        <v/>
      </c>
      <c r="P1112">
        <f>IF(O1112="計算不能","計算不能",IF(O1112&gt;=80,5,IF(O1112&gt;=60,4,IF(O1112&gt;=40,3,IF(O1112&gt;=28,2,1)))))</f>
        <v/>
      </c>
      <c r="Q1112" t="n">
        <v>303</v>
      </c>
      <c r="R1112" t="n">
        <v>0</v>
      </c>
      <c r="S1112" s="27">
        <f>R1112/Q1112</f>
        <v/>
      </c>
      <c r="T1112" t="inlineStr">
        <is>
          <t>伊根町は2045年までに人口が約36.3%減と急激な過疎・超高齢化が進行。若年労働世代の流出と自然減が重なり、賃貸事業としての持続性は極めて限定的。</t>
        </is>
      </c>
      <c r="U1112" t="inlineStr">
        <is>
          <t>伊根町は人口密度27人/km²と過疎的水準で、民間賃貸の新規需要は薄い。実需に裏付けられた格安戸建ての指値取得のみが現実的。 借家の空室率は約0%と需給は比較的引き締まっている。</t>
        </is>
      </c>
      <c r="V1112" t="inlineStr">
        <is>
          <t>伊根町（京都府）：桂川・宇治川・木津川の氾濫、由良川の洪水常襲、北部の豪雪、内陸活断層に留意。</t>
        </is>
      </c>
    </row>
    <row r="1113">
      <c r="A1113" t="inlineStr">
        <is>
          <t>京都府</t>
        </is>
      </c>
      <c r="B1113" t="inlineStr">
        <is>
          <t>与謝野町</t>
        </is>
      </c>
      <c r="C1113" t="n">
        <v>8520</v>
      </c>
      <c r="D1113" t="n">
        <v>18278</v>
      </c>
      <c r="E1113" s="6" t="n">
        <v>166.4</v>
      </c>
      <c r="F1113" s="7" t="n">
        <v>26.6</v>
      </c>
      <c r="G1113" t="n">
        <v>20092</v>
      </c>
      <c r="H1113" t="n">
        <v>18278</v>
      </c>
      <c r="I1113" t="n">
        <v>16672</v>
      </c>
      <c r="J1113" t="n">
        <v>12146</v>
      </c>
      <c r="K1113" s="27">
        <f>(H1113/D1113-1)</f>
        <v/>
      </c>
      <c r="L1113" s="27">
        <f>(I1113/D1113-1)</f>
        <v/>
      </c>
      <c r="M1113" s="27">
        <f>(J1113/D1113-1)</f>
        <v/>
      </c>
      <c r="N1113" t="n">
        <v>40.5</v>
      </c>
      <c r="O1113" s="28">
        <f>(N1113+F1113)/2</f>
        <v/>
      </c>
      <c r="P1113">
        <f>IF(O1113="計算不能","計算不能",IF(O1113&gt;=80,5,IF(O1113&gt;=60,4,IF(O1113&gt;=40,3,IF(O1113&gt;=28,2,1)))))</f>
        <v/>
      </c>
      <c r="Q1113" t="n">
        <v>2971</v>
      </c>
      <c r="R1113" t="n">
        <v>240</v>
      </c>
      <c r="S1113" s="27">
        <f>R1113/Q1113</f>
        <v/>
      </c>
      <c r="T1113" t="inlineStr">
        <is>
          <t>与謝野町は2045年までに人口が約33.5%減と急激な過疎・超高齢化が進行。若年労働世代の流出と自然減が重なり、賃貸事業としての持続性は極めて限定的。</t>
        </is>
      </c>
      <c r="U1113" t="inlineStr">
        <is>
          <t>与謝野町は人口密度166人/km²と過疎的水準で、民間賃貸の新規需要は薄い。実需に裏付けられた格安戸建ての指値取得のみが現実的。 借家の空室率は約8%と需給は比較的引き締まっている。</t>
        </is>
      </c>
      <c r="V1113" t="inlineStr">
        <is>
          <t>与謝野町（京都府）：桂川・宇治川・木津川の氾濫、由良川の洪水常襲、北部の豪雪、内陸活断層に留意。</t>
        </is>
      </c>
    </row>
    <row r="1114">
      <c r="A1114" t="inlineStr">
        <is>
          <t>大阪府</t>
        </is>
      </c>
      <c r="B1114" t="inlineStr">
        <is>
          <t>大阪市</t>
        </is>
      </c>
      <c r="C1114" t="n">
        <v>1527500</v>
      </c>
      <c r="D1114" t="n">
        <v>2751501</v>
      </c>
      <c r="E1114" s="6" t="n">
        <v>12463.9</v>
      </c>
      <c r="F1114" s="7" t="n">
        <v>100</v>
      </c>
      <c r="G1114" t="n">
        <v>2752412</v>
      </c>
      <c r="H1114" t="n">
        <v>2751501</v>
      </c>
      <c r="I1114" t="n">
        <v>2705793</v>
      </c>
      <c r="J1114" t="n">
        <v>2510574</v>
      </c>
      <c r="K1114" s="27">
        <f>(H1114/D1114-1)</f>
        <v/>
      </c>
      <c r="L1114" s="27">
        <f>(I1114/D1114-1)</f>
        <v/>
      </c>
      <c r="M1114" s="27">
        <f>(J1114/D1114-1)</f>
        <v/>
      </c>
      <c r="N1114" t="n">
        <v>69.40000000000001</v>
      </c>
      <c r="O1114" s="28">
        <f>(N1114+F1114)/2</f>
        <v/>
      </c>
      <c r="P1114">
        <f>IF(O1114="計算不能","計算不能",IF(O1114&gt;=80,5,IF(O1114&gt;=60,4,IF(O1114&gt;=40,3,IF(O1114&gt;=28,2,1)))))</f>
        <v/>
      </c>
      <c r="Q1114" t="n">
        <v>819400</v>
      </c>
      <c r="R1114" t="n">
        <v>204000</v>
      </c>
      <c r="S1114" s="27">
        <f>R1114/Q1114</f>
        <v/>
      </c>
      <c r="T1114" t="inlineStr">
        <is>
          <t>大阪市は2045年までに人口が約8.8%減と緩やかな減少局面。若年層の都市部流出と高齢化が進むが、当面の賃貸稼働は一定程度維持される見通し。【最新動向】2025年万博閉幕後もインバウンド定着・IR構想・人口都心回帰が需要を下支え。うめきた2期（北街区開業済、全体まちびらき2027年）など再開発が本格化。</t>
        </is>
      </c>
      <c r="U1114" t="inlineStr">
        <is>
          <t>大阪市は人口密度12,464人/km²の高密度市街地で、駅近ワンルームからファミリー向けまで極めて強い賃貸実需が存在。資産流動性・出口戦略の容易さも高い。 借家の空室率は約25%とやや高めで、競合との差別化が必要。【最新動向】梅田エリアの1K〜1LDK賃料は2025〜26年に約3〜5%上昇、空室率5%以下と極めて低水準。都心の賃貸実需は全国屈指だが、エリア・取得価格の精度が成否を分ける。</t>
        </is>
      </c>
      <c r="V1114" t="inlineStr">
        <is>
          <t>大阪市（大阪府）：淀川・大和川水系の氾濫、上町断層帯の直下型地震、臨海部の高潮・液状化に最大級の留意。</t>
        </is>
      </c>
    </row>
    <row r="1115">
      <c r="A1115" t="inlineStr">
        <is>
          <t>大阪府</t>
        </is>
      </c>
      <c r="B1115" t="inlineStr">
        <is>
          <t>堺市</t>
        </is>
      </c>
      <c r="C1115" t="n">
        <v>373200</v>
      </c>
      <c r="D1115" t="n">
        <v>794971</v>
      </c>
      <c r="E1115" s="6" t="n">
        <v>5361.6</v>
      </c>
      <c r="F1115" s="7" t="n">
        <v>90.7</v>
      </c>
      <c r="G1115" t="n">
        <v>826161</v>
      </c>
      <c r="H1115" t="n">
        <v>794971</v>
      </c>
      <c r="I1115" t="n">
        <v>769085</v>
      </c>
      <c r="J1115" t="n">
        <v>681507</v>
      </c>
      <c r="K1115" s="27">
        <f>(H1115/D1115-1)</f>
        <v/>
      </c>
      <c r="L1115" s="27">
        <f>(I1115/D1115-1)</f>
        <v/>
      </c>
      <c r="M1115" s="27">
        <f>(J1115/D1115-1)</f>
        <v/>
      </c>
      <c r="N1115" t="n">
        <v>58.4</v>
      </c>
      <c r="O1115" s="28">
        <f>(N1115+F1115)/2</f>
        <v/>
      </c>
      <c r="P1115">
        <f>IF(O1115="計算不能","計算不能",IF(O1115&gt;=80,5,IF(O1115&gt;=60,4,IF(O1115&gt;=40,3,IF(O1115&gt;=28,2,1)))))</f>
        <v/>
      </c>
      <c r="Q1115" t="n">
        <v>151398</v>
      </c>
      <c r="R1115" t="n">
        <v>30500</v>
      </c>
      <c r="S1115" s="27">
        <f>R1115/Q1115</f>
        <v/>
      </c>
      <c r="T1115" t="inlineStr">
        <is>
          <t>堺市は2045年までに人口が約14.3%減と緩やかな減少局面。若年層の都市部流出と高齢化が進むが、当面の賃貸稼働は一定程度維持される見通し。</t>
        </is>
      </c>
      <c r="U1115" t="inlineStr">
        <is>
          <t>堺市は人口密度5,362人/km²の高密度市街地で、駅近ワンルームからファミリー向けまで極めて強い賃貸実需が存在。資産流動性・出口戦略の容易さも高い。 借家の空室率は約20%とやや高めで、競合との差別化が必要。</t>
        </is>
      </c>
      <c r="V1115" t="inlineStr">
        <is>
          <t>堺市（大阪府）：淀川・大和川水系の氾濫、上町断層帯の直下型地震、臨海部の高潮・液状化に最大級の留意。</t>
        </is>
      </c>
    </row>
    <row r="1116">
      <c r="A1116" t="inlineStr">
        <is>
          <t>大阪府</t>
        </is>
      </c>
      <c r="B1116" t="inlineStr">
        <is>
          <t>岸和田市</t>
        </is>
      </c>
      <c r="C1116" t="n">
        <v>78450</v>
      </c>
      <c r="D1116" t="n">
        <v>182321</v>
      </c>
      <c r="E1116" s="6" t="n">
        <v>2554.1</v>
      </c>
      <c r="F1116" s="7" t="n">
        <v>75.5</v>
      </c>
      <c r="G1116" t="n">
        <v>190658</v>
      </c>
      <c r="H1116" t="n">
        <v>182321</v>
      </c>
      <c r="I1116" t="n">
        <v>173996</v>
      </c>
      <c r="J1116" t="n">
        <v>146730</v>
      </c>
      <c r="K1116" s="27">
        <f>(H1116/D1116-1)</f>
        <v/>
      </c>
      <c r="L1116" s="27">
        <f>(I1116/D1116-1)</f>
        <v/>
      </c>
      <c r="M1116" s="27">
        <f>(J1116/D1116-1)</f>
        <v/>
      </c>
      <c r="N1116" t="n">
        <v>53.9</v>
      </c>
      <c r="O1116" s="28">
        <f>(N1116+F1116)/2</f>
        <v/>
      </c>
      <c r="P1116">
        <f>IF(O1116="計算不能","計算不能",IF(O1116&gt;=80,5,IF(O1116&gt;=60,4,IF(O1116&gt;=40,3,IF(O1116&gt;=28,2,1)))))</f>
        <v/>
      </c>
      <c r="Q1116" t="n">
        <v>31825</v>
      </c>
      <c r="R1116" t="n">
        <v>6250</v>
      </c>
      <c r="S1116" s="27">
        <f>R1116/Q1116</f>
        <v/>
      </c>
      <c r="T1116" t="inlineStr">
        <is>
          <t>岸和田市は2045年までに人口が約19.5%減と明確な減少トレンド。高齢化の進行と世帯数の縮小により、中長期では賃貸需要の構造的縮小に警戒が必要。</t>
        </is>
      </c>
      <c r="U1116" t="inlineStr">
        <is>
          <t>岸和田市は人口密度2,554人/km²の都市部で、駅周辺や生活利便施設沿いに安定した賃貸需要がある。適切な家賃設定で高稼働を期待できる。 借家の空室率は約20%とやや高めで、競合との差別化が必要。</t>
        </is>
      </c>
      <c r="V1116" t="inlineStr">
        <is>
          <t>岸和田市（大阪府）：淀川・大和川水系の氾濫、上町断層帯の直下型地震、臨海部の高潮・液状化に最大級の留意。</t>
        </is>
      </c>
    </row>
    <row r="1117">
      <c r="A1117" t="inlineStr">
        <is>
          <t>大阪府</t>
        </is>
      </c>
      <c r="B1117" t="inlineStr">
        <is>
          <t>豊中市</t>
        </is>
      </c>
      <c r="C1117" t="n">
        <v>177940</v>
      </c>
      <c r="D1117" t="n">
        <v>399848</v>
      </c>
      <c r="E1117" s="6" t="n">
        <v>11115.1</v>
      </c>
      <c r="F1117" s="7" t="n">
        <v>100</v>
      </c>
      <c r="G1117" t="n">
        <v>401558</v>
      </c>
      <c r="H1117" t="n">
        <v>399848</v>
      </c>
      <c r="I1117" t="n">
        <v>395261</v>
      </c>
      <c r="J1117" t="n">
        <v>375404</v>
      </c>
      <c r="K1117" s="27">
        <f>(H1117/D1117-1)</f>
        <v/>
      </c>
      <c r="L1117" s="27">
        <f>(I1117/D1117-1)</f>
        <v/>
      </c>
      <c r="M1117" s="27">
        <f>(J1117/D1117-1)</f>
        <v/>
      </c>
      <c r="N1117" t="n">
        <v>70.3</v>
      </c>
      <c r="O1117" s="28">
        <f>(N1117+F1117)/2</f>
        <v/>
      </c>
      <c r="P1117">
        <f>IF(O1117="計算不能","計算不能",IF(O1117&gt;=80,5,IF(O1117&gt;=60,4,IF(O1117&gt;=40,3,IF(O1117&gt;=28,2,1)))))</f>
        <v/>
      </c>
      <c r="Q1117" t="n">
        <v>72186</v>
      </c>
      <c r="R1117" t="n">
        <v>16840</v>
      </c>
      <c r="S1117" s="27">
        <f>R1117/Q1117</f>
        <v/>
      </c>
      <c r="T1117" t="inlineStr">
        <is>
          <t>豊中市は2045年までに人口が約6.1%減と緩やかな減少局面。若年層の都市部流出と高齢化が進むが、当面の賃貸稼働は一定程度維持される見通し。</t>
        </is>
      </c>
      <c r="U1117" t="inlineStr">
        <is>
          <t>豊中市は人口密度11,115人/km²の高密度市街地で、駅近ワンルームからファミリー向けまで極めて強い賃貸実需が存在。資産流動性・出口戦略の容易さも高い。 借家の空室率は約23%とやや高めで、競合との差別化が必要。</t>
        </is>
      </c>
      <c r="V1117" t="inlineStr">
        <is>
          <t>豊中市（大阪府）：淀川・大和川水系の氾濫、上町断層帯の直下型地震、臨海部の高潮・液状化に最大級の留意。</t>
        </is>
      </c>
    </row>
    <row r="1118">
      <c r="A1118" t="inlineStr">
        <is>
          <t>大阪府</t>
        </is>
      </c>
      <c r="B1118" t="inlineStr">
        <is>
          <t>池田市</t>
        </is>
      </c>
      <c r="C1118" t="n">
        <v>48960</v>
      </c>
      <c r="D1118" t="n">
        <v>104319</v>
      </c>
      <c r="E1118" s="6" t="n">
        <v>4704.1</v>
      </c>
      <c r="F1118" s="7" t="n">
        <v>80</v>
      </c>
      <c r="G1118" t="n">
        <v>104993</v>
      </c>
      <c r="H1118" t="n">
        <v>104319</v>
      </c>
      <c r="I1118" t="n">
        <v>102749</v>
      </c>
      <c r="J1118" t="n">
        <v>96377</v>
      </c>
      <c r="K1118" s="27">
        <f>(H1118/D1118-1)</f>
        <v/>
      </c>
      <c r="L1118" s="27">
        <f>(I1118/D1118-1)</f>
        <v/>
      </c>
      <c r="M1118" s="27">
        <f>(J1118/D1118-1)</f>
        <v/>
      </c>
      <c r="N1118" t="n">
        <v>68.90000000000001</v>
      </c>
      <c r="O1118" s="28">
        <f>(N1118+F1118)/2</f>
        <v/>
      </c>
      <c r="P1118">
        <f>IF(O1118="計算不能","計算不能",IF(O1118&gt;=80,5,IF(O1118&gt;=60,4,IF(O1118&gt;=40,3,IF(O1118&gt;=28,2,1)))))</f>
        <v/>
      </c>
      <c r="Q1118" t="n">
        <v>19861</v>
      </c>
      <c r="R1118" t="n">
        <v>4900</v>
      </c>
      <c r="S1118" s="27">
        <f>R1118/Q1118</f>
        <v/>
      </c>
      <c r="T1118" t="inlineStr">
        <is>
          <t>池田市は2045年までに人口が約7.6%減と緩やかな減少局面。若年層の都市部流出と高齢化が進むが、当面の賃貸稼働は一定程度維持される見通し。</t>
        </is>
      </c>
      <c r="U1118" t="inlineStr">
        <is>
          <t>池田市は人口密度4,704人/km²の都市部で、駅周辺や生活利便施設沿いに安定した賃貸需要がある。適切な家賃設定で高稼働を期待できる。 借家の空室率は約25%とやや高めで、競合との差別化が必要。</t>
        </is>
      </c>
      <c r="V1118" t="inlineStr">
        <is>
          <t>池田市（大阪府）：淀川・大和川水系の氾濫、上町断層帯の直下型地震、臨海部の高潮・液状化に最大級の留意。</t>
        </is>
      </c>
    </row>
    <row r="1119">
      <c r="A1119" t="inlineStr">
        <is>
          <t>大阪府</t>
        </is>
      </c>
      <c r="B1119" t="inlineStr">
        <is>
          <t>吹田市</t>
        </is>
      </c>
      <c r="C1119" t="n">
        <v>186170</v>
      </c>
      <c r="D1119" t="n">
        <v>388259</v>
      </c>
      <c r="E1119" s="6" t="n">
        <v>10931.1</v>
      </c>
      <c r="F1119" s="7" t="n">
        <v>100</v>
      </c>
      <c r="G1119" t="n">
        <v>385567</v>
      </c>
      <c r="H1119" t="n">
        <v>388259</v>
      </c>
      <c r="I1119" t="n">
        <v>387123</v>
      </c>
      <c r="J1119" t="n">
        <v>373291</v>
      </c>
      <c r="K1119" s="27">
        <f>(H1119/D1119-1)</f>
        <v/>
      </c>
      <c r="L1119" s="27">
        <f>(I1119/D1119-1)</f>
        <v/>
      </c>
      <c r="M1119" s="27">
        <f>(J1119/D1119-1)</f>
        <v/>
      </c>
      <c r="N1119" t="n">
        <v>74.2</v>
      </c>
      <c r="O1119" s="28">
        <f>(N1119+F1119)/2</f>
        <v/>
      </c>
      <c r="P1119">
        <f>IF(O1119="計算不能","計算不能",IF(O1119&gt;=80,5,IF(O1119&gt;=60,4,IF(O1119&gt;=40,3,IF(O1119&gt;=28,2,1)))))</f>
        <v/>
      </c>
      <c r="Q1119" t="n">
        <v>75524</v>
      </c>
      <c r="R1119" t="n">
        <v>12050</v>
      </c>
      <c r="S1119" s="27">
        <f>R1119/Q1119</f>
        <v/>
      </c>
      <c r="T1119" t="inlineStr">
        <is>
          <t>吹田市は2045年までの人口減少率が約3.9%と全国平均より緩やかで、概ね横ばいの安定推移。生産年齢人口の維持により、賃貸需要の急減リスクは相対的に低い。</t>
        </is>
      </c>
      <c r="U1119" t="inlineStr">
        <is>
          <t>吹田市は人口密度10,931人/km²の高密度市街地で、駅近ワンルームからファミリー向けまで極めて強い賃貸実需が存在。資産流動性・出口戦略の容易さも高い。 借家の空室率は約16%と需給は比較的引き締まっている。</t>
        </is>
      </c>
      <c r="V1119" t="inlineStr">
        <is>
          <t>吹田市（大阪府）：淀川・大和川水系の氾濫、上町断層帯の直下型地震、臨海部の高潮・液状化に最大級の留意。</t>
        </is>
      </c>
    </row>
    <row r="1120">
      <c r="A1120" t="inlineStr">
        <is>
          <t>大阪府</t>
        </is>
      </c>
      <c r="B1120" t="inlineStr">
        <is>
          <t>泉大津市</t>
        </is>
      </c>
      <c r="C1120" t="n">
        <v>32790</v>
      </c>
      <c r="D1120" t="n">
        <v>71948</v>
      </c>
      <c r="E1120" s="6" t="n">
        <v>5002.7</v>
      </c>
      <c r="F1120" s="7" t="n">
        <v>90</v>
      </c>
      <c r="G1120" t="n">
        <v>74412</v>
      </c>
      <c r="H1120" t="n">
        <v>71948</v>
      </c>
      <c r="I1120" t="n">
        <v>68783</v>
      </c>
      <c r="J1120" t="n">
        <v>58449</v>
      </c>
      <c r="K1120" s="27">
        <f>(H1120/D1120-1)</f>
        <v/>
      </c>
      <c r="L1120" s="27">
        <f>(I1120/D1120-1)</f>
        <v/>
      </c>
      <c r="M1120" s="27">
        <f>(J1120/D1120-1)</f>
        <v/>
      </c>
      <c r="N1120" t="n">
        <v>56.3</v>
      </c>
      <c r="O1120" s="28">
        <f>(N1120+F1120)/2</f>
        <v/>
      </c>
      <c r="P1120">
        <f>IF(O1120="計算不能","計算不能",IF(O1120&gt;=80,5,IF(O1120&gt;=60,4,IF(O1120&gt;=40,3,IF(O1120&gt;=28,2,1)))))</f>
        <v/>
      </c>
      <c r="Q1120" t="n">
        <v>13302</v>
      </c>
      <c r="R1120" t="n">
        <v>3160</v>
      </c>
      <c r="S1120" s="27">
        <f>R1120/Q1120</f>
        <v/>
      </c>
      <c r="T1120" t="inlineStr">
        <is>
          <t>泉大津市は2045年までに人口が約18.8%減と明確な減少トレンド。高齢化の進行と世帯数の縮小により、中長期では賃貸需要の構造的縮小に警戒が必要。</t>
        </is>
      </c>
      <c r="U1120" t="inlineStr">
        <is>
          <t>泉大津市は人口密度5,003人/km²の高密度市街地で、駅近ワンルームからファミリー向けまで極めて強い賃貸実需が存在。資産流動性・出口戦略の容易さも高い。 借家の空室率は約24%とやや高めで、競合との差別化が必要。</t>
        </is>
      </c>
      <c r="V1120" t="inlineStr">
        <is>
          <t>泉大津市（大阪府）：淀川・大和川水系の氾濫、上町断層帯の直下型地震、臨海部の高潮・液状化に最大級の留意。</t>
        </is>
      </c>
    </row>
    <row r="1121">
      <c r="A1121" t="inlineStr">
        <is>
          <t>大阪府</t>
        </is>
      </c>
      <c r="B1121" t="inlineStr">
        <is>
          <t>高槻市</t>
        </is>
      </c>
      <c r="C1121" t="n">
        <v>152710</v>
      </c>
      <c r="D1121" t="n">
        <v>347255</v>
      </c>
      <c r="E1121" s="6" t="n">
        <v>3281.2</v>
      </c>
      <c r="F1121" s="7" t="n">
        <v>80</v>
      </c>
      <c r="G1121" t="n">
        <v>352698</v>
      </c>
      <c r="H1121" t="n">
        <v>347255</v>
      </c>
      <c r="I1121" t="n">
        <v>338827</v>
      </c>
      <c r="J1121" t="n">
        <v>309672</v>
      </c>
      <c r="K1121" s="27">
        <f>(H1121/D1121-1)</f>
        <v/>
      </c>
      <c r="L1121" s="27">
        <f>(I1121/D1121-1)</f>
        <v/>
      </c>
      <c r="M1121" s="27">
        <f>(J1121/D1121-1)</f>
        <v/>
      </c>
      <c r="N1121" t="n">
        <v>64.90000000000001</v>
      </c>
      <c r="O1121" s="28">
        <f>(N1121+F1121)/2</f>
        <v/>
      </c>
      <c r="P1121">
        <f>IF(O1121="計算不能","計算不能",IF(O1121&gt;=80,5,IF(O1121&gt;=60,4,IF(O1121&gt;=40,3,IF(O1121&gt;=28,2,1)))))</f>
        <v/>
      </c>
      <c r="Q1121" t="n">
        <v>61950</v>
      </c>
      <c r="R1121" t="n">
        <v>8560</v>
      </c>
      <c r="S1121" s="27">
        <f>R1121/Q1121</f>
        <v/>
      </c>
      <c r="T1121" t="inlineStr">
        <is>
          <t>高槻市は2045年までに人口が約10.8%減と緩やかな減少局面。若年層の都市部流出と高齢化が進むが、当面の賃貸稼働は一定程度維持される見通し。</t>
        </is>
      </c>
      <c r="U1121" t="inlineStr">
        <is>
          <t>高槻市は人口密度3,281人/km²の都市部で、駅周辺や生活利便施設沿いに安定した賃貸需要がある。適切な家賃設定で高稼働を期待できる。 借家の空室率は約14%と需給は比較的引き締まっている。</t>
        </is>
      </c>
      <c r="V1121" t="inlineStr">
        <is>
          <t>高槻市（大阪府）：淀川・大和川水系の氾濫、上町断層帯の直下型地震、臨海部の高潮・液状化に最大級の留意。</t>
        </is>
      </c>
    </row>
    <row r="1122">
      <c r="A1122" t="inlineStr">
        <is>
          <t>大阪府</t>
        </is>
      </c>
      <c r="B1122" t="inlineStr">
        <is>
          <t>貝塚市</t>
        </is>
      </c>
      <c r="C1122" t="n">
        <v>36720</v>
      </c>
      <c r="D1122" t="n">
        <v>80773</v>
      </c>
      <c r="E1122" s="6" t="n">
        <v>1793.2</v>
      </c>
      <c r="F1122" s="7" t="n">
        <v>67.90000000000001</v>
      </c>
      <c r="G1122" t="n">
        <v>84443</v>
      </c>
      <c r="H1122" t="n">
        <v>80773</v>
      </c>
      <c r="I1122" t="n">
        <v>76635</v>
      </c>
      <c r="J1122" t="n">
        <v>63830</v>
      </c>
      <c r="K1122" s="27">
        <f>(H1122/D1122-1)</f>
        <v/>
      </c>
      <c r="L1122" s="27">
        <f>(I1122/D1122-1)</f>
        <v/>
      </c>
      <c r="M1122" s="27">
        <f>(J1122/D1122-1)</f>
        <v/>
      </c>
      <c r="N1122" t="n">
        <v>52.8</v>
      </c>
      <c r="O1122" s="28">
        <f>(N1122+F1122)/2</f>
        <v/>
      </c>
      <c r="P1122">
        <f>IF(O1122="計算不能","計算不能",IF(O1122&gt;=80,5,IF(O1122&gt;=60,4,IF(O1122&gt;=40,3,IF(O1122&gt;=28,2,1)))))</f>
        <v/>
      </c>
      <c r="Q1122" t="n">
        <v>14896</v>
      </c>
      <c r="R1122" t="n">
        <v>3570</v>
      </c>
      <c r="S1122" s="27">
        <f>R1122/Q1122</f>
        <v/>
      </c>
      <c r="T1122" t="inlineStr">
        <is>
          <t>貝塚市は2045年までに人口が約21.0%減と明確な減少トレンド。高齢化の進行と世帯数の縮小により、中長期では賃貸需要の構造的縮小に警戒が必要。</t>
        </is>
      </c>
      <c r="U1122" t="inlineStr">
        <is>
          <t>貝塚市は人口密度1,793人/km²の都市部で、駅周辺や生活利便施設沿いに安定した賃貸需要がある。適切な家賃設定で高稼働を期待できる。 借家の空室率は約24%とやや高めで、競合との差別化が必要。</t>
        </is>
      </c>
      <c r="V1122" t="inlineStr">
        <is>
          <t>貝塚市（大阪府）：淀川・大和川水系の氾濫、上町断層帯の直下型地震、臨海部の高潮・液状化に最大級の留意。</t>
        </is>
      </c>
    </row>
    <row r="1123">
      <c r="A1123" t="inlineStr">
        <is>
          <t>大阪府</t>
        </is>
      </c>
      <c r="B1123" t="inlineStr">
        <is>
          <t>守口市</t>
        </is>
      </c>
      <c r="C1123" t="n">
        <v>67310</v>
      </c>
      <c r="D1123" t="n">
        <v>139368</v>
      </c>
      <c r="E1123" s="6" t="n">
        <v>11077.2</v>
      </c>
      <c r="F1123" s="7" t="n">
        <v>100</v>
      </c>
      <c r="G1123" t="n">
        <v>143096</v>
      </c>
      <c r="H1123" t="n">
        <v>139368</v>
      </c>
      <c r="I1123" t="n">
        <v>134716</v>
      </c>
      <c r="J1123" t="n">
        <v>120438</v>
      </c>
      <c r="K1123" s="27">
        <f>(H1123/D1123-1)</f>
        <v/>
      </c>
      <c r="L1123" s="27">
        <f>(I1123/D1123-1)</f>
        <v/>
      </c>
      <c r="M1123" s="27">
        <f>(J1123/D1123-1)</f>
        <v/>
      </c>
      <c r="N1123" t="n">
        <v>60.9</v>
      </c>
      <c r="O1123" s="28">
        <f>(N1123+F1123)/2</f>
        <v/>
      </c>
      <c r="P1123">
        <f>IF(O1123="計算不能","計算不能",IF(O1123&gt;=80,5,IF(O1123&gt;=60,4,IF(O1123&gt;=40,3,IF(O1123&gt;=28,2,1)))))</f>
        <v/>
      </c>
      <c r="Q1123" t="n">
        <v>27306</v>
      </c>
      <c r="R1123" t="n">
        <v>8170</v>
      </c>
      <c r="S1123" s="27">
        <f>R1123/Q1123</f>
        <v/>
      </c>
      <c r="T1123" t="inlineStr">
        <is>
          <t>守口市は2045年までに人口が約13.6%減と緩やかな減少局面。若年層の都市部流出と高齢化が進むが、当面の賃貸稼働は一定程度維持される見通し。</t>
        </is>
      </c>
      <c r="U1123" t="inlineStr">
        <is>
          <t>守口市は人口密度11,077人/km²の高密度市街地で、駅近ワンルームからファミリー向けまで極めて強い賃貸実需が存在。資産流動性・出口戦略の容易さも高い。 借家の空室率は約30%と供給過多気味で、空室長期化リスクに要警戒。</t>
        </is>
      </c>
      <c r="V1123" t="inlineStr">
        <is>
          <t>守口市（大阪府）：淀川・大和川水系の氾濫、上町断層帯の直下型地震、臨海部の高潮・液状化に最大級の留意。</t>
        </is>
      </c>
    </row>
    <row r="1124">
      <c r="A1124" t="inlineStr">
        <is>
          <t>大阪府</t>
        </is>
      </c>
      <c r="B1124" t="inlineStr">
        <is>
          <t>枚方市</t>
        </is>
      </c>
      <c r="C1124" t="n">
        <v>172460</v>
      </c>
      <c r="D1124" t="n">
        <v>387517</v>
      </c>
      <c r="E1124" s="6" t="n">
        <v>5973.5</v>
      </c>
      <c r="F1124" s="7" t="n">
        <v>91.90000000000001</v>
      </c>
      <c r="G1124" t="n">
        <v>397289</v>
      </c>
      <c r="H1124" t="n">
        <v>387517</v>
      </c>
      <c r="I1124" t="n">
        <v>374496</v>
      </c>
      <c r="J1124" t="n">
        <v>324956</v>
      </c>
      <c r="K1124" s="27">
        <f>(H1124/D1124-1)</f>
        <v/>
      </c>
      <c r="L1124" s="27">
        <f>(I1124/D1124-1)</f>
        <v/>
      </c>
      <c r="M1124" s="27">
        <f>(J1124/D1124-1)</f>
        <v/>
      </c>
      <c r="N1124" t="n">
        <v>59.9</v>
      </c>
      <c r="O1124" s="28">
        <f>(N1124+F1124)/2</f>
        <v/>
      </c>
      <c r="P1124">
        <f>IF(O1124="計算不能","計算不能",IF(O1124&gt;=80,5,IF(O1124&gt;=60,4,IF(O1124&gt;=40,3,IF(O1124&gt;=28,2,1)))))</f>
        <v/>
      </c>
      <c r="Q1124" t="n">
        <v>69963</v>
      </c>
      <c r="R1124" t="n">
        <v>12170</v>
      </c>
      <c r="S1124" s="27">
        <f>R1124/Q1124</f>
        <v/>
      </c>
      <c r="T1124" t="inlineStr">
        <is>
          <t>枚方市は2045年までに人口が約16.1%減と明確な減少トレンド。高齢化の進行と世帯数の縮小により、中長期では賃貸需要の構造的縮小に警戒が必要。</t>
        </is>
      </c>
      <c r="U1124" t="inlineStr">
        <is>
          <t>枚方市は人口密度5,974人/km²の高密度市街地で、駅近ワンルームからファミリー向けまで極めて強い賃貸実需が存在。資産流動性・出口戦略の容易さも高い。 借家の空室率は約17%と需給は比較的引き締まっている。</t>
        </is>
      </c>
      <c r="V1124" t="inlineStr">
        <is>
          <t>枚方市（大阪府）：淀川・大和川水系の氾濫、上町断層帯の直下型地震、臨海部の高潮・液状化に最大級の留意。</t>
        </is>
      </c>
    </row>
    <row r="1125">
      <c r="A1125" t="inlineStr">
        <is>
          <t>大阪府</t>
        </is>
      </c>
      <c r="B1125" t="inlineStr">
        <is>
          <t>茨木市</t>
        </is>
      </c>
      <c r="C1125" t="n">
        <v>127340</v>
      </c>
      <c r="D1125" t="n">
        <v>289075</v>
      </c>
      <c r="E1125" s="6" t="n">
        <v>3753.4</v>
      </c>
      <c r="F1125" s="7" t="n">
        <v>80</v>
      </c>
      <c r="G1125" t="n">
        <v>287730</v>
      </c>
      <c r="H1125" t="n">
        <v>289075</v>
      </c>
      <c r="I1125" t="n">
        <v>287043</v>
      </c>
      <c r="J1125" t="n">
        <v>272644</v>
      </c>
      <c r="K1125" s="27">
        <f>(H1125/D1125-1)</f>
        <v/>
      </c>
      <c r="L1125" s="27">
        <f>(I1125/D1125-1)</f>
        <v/>
      </c>
      <c r="M1125" s="27">
        <f>(J1125/D1125-1)</f>
        <v/>
      </c>
      <c r="N1125" t="n">
        <v>72.59999999999999</v>
      </c>
      <c r="O1125" s="28">
        <f>(N1125+F1125)/2</f>
        <v/>
      </c>
      <c r="P1125">
        <f>IF(O1125="計算不能","計算不能",IF(O1125&gt;=80,5,IF(O1125&gt;=60,4,IF(O1125&gt;=40,3,IF(O1125&gt;=28,2,1)))))</f>
        <v/>
      </c>
      <c r="Q1125" t="n">
        <v>51658</v>
      </c>
      <c r="R1125" t="n">
        <v>8350</v>
      </c>
      <c r="S1125" s="27">
        <f>R1125/Q1125</f>
        <v/>
      </c>
      <c r="T1125" t="inlineStr">
        <is>
          <t>茨木市は2045年までに人口が約5.7%減と緩やかな減少局面。若年層の都市部流出と高齢化が進むが、当面の賃貸稼働は一定程度維持される見通し。</t>
        </is>
      </c>
      <c r="U1125" t="inlineStr">
        <is>
          <t>茨木市は人口密度3,753人/km²の都市部で、駅周辺や生活利便施設沿いに安定した賃貸需要がある。適切な家賃設定で高稼働を期待できる。 借家の空室率は約16%と需給は比較的引き締まっている。</t>
        </is>
      </c>
      <c r="V1125" t="inlineStr">
        <is>
          <t>茨木市（大阪府）：淀川・大和川水系の氾濫、上町断層帯の直下型地震、臨海部の高潮・液状化に最大級の留意。</t>
        </is>
      </c>
    </row>
    <row r="1126">
      <c r="A1126" t="inlineStr">
        <is>
          <t>大阪府</t>
        </is>
      </c>
      <c r="B1126" t="inlineStr">
        <is>
          <t>八尾市</t>
        </is>
      </c>
      <c r="C1126" t="n">
        <v>114450</v>
      </c>
      <c r="D1126" t="n">
        <v>257241</v>
      </c>
      <c r="E1126" s="6" t="n">
        <v>6174.5</v>
      </c>
      <c r="F1126" s="7" t="n">
        <v>92.3</v>
      </c>
      <c r="G1126" t="n">
        <v>264642</v>
      </c>
      <c r="H1126" t="n">
        <v>257241</v>
      </c>
      <c r="I1126" t="n">
        <v>248128</v>
      </c>
      <c r="J1126" t="n">
        <v>217707</v>
      </c>
      <c r="K1126" s="27">
        <f>(H1126/D1126-1)</f>
        <v/>
      </c>
      <c r="L1126" s="27">
        <f>(I1126/D1126-1)</f>
        <v/>
      </c>
      <c r="M1126" s="27">
        <f>(J1126/D1126-1)</f>
        <v/>
      </c>
      <c r="N1126" t="n">
        <v>59.5</v>
      </c>
      <c r="O1126" s="28">
        <f>(N1126+F1126)/2</f>
        <v/>
      </c>
      <c r="P1126">
        <f>IF(O1126="計算不能","計算不能",IF(O1126&gt;=80,5,IF(O1126&gt;=60,4,IF(O1126&gt;=40,3,IF(O1126&gt;=28,2,1)))))</f>
        <v/>
      </c>
      <c r="Q1126" t="n">
        <v>46429</v>
      </c>
      <c r="R1126" t="n">
        <v>11500</v>
      </c>
      <c r="S1126" s="27">
        <f>R1126/Q1126</f>
        <v/>
      </c>
      <c r="T1126" t="inlineStr">
        <is>
          <t>八尾市は2045年までに人口が約15.4%減と明確な減少トレンド。高齢化の進行と世帯数の縮小により、中長期では賃貸需要の構造的縮小に警戒が必要。</t>
        </is>
      </c>
      <c r="U1126" t="inlineStr">
        <is>
          <t>八尾市は人口密度6,174人/km²の高密度市街地で、駅近ワンルームからファミリー向けまで極めて強い賃貸実需が存在。資産流動性・出口戦略の容易さも高い。 借家の空室率は約25%とやや高めで、競合との差別化が必要。</t>
        </is>
      </c>
      <c r="V1126" t="inlineStr">
        <is>
          <t>八尾市（大阪府）：淀川・大和川水系の氾濫、上町断層帯の直下型地震、臨海部の高潮・液状化に最大級の留意。</t>
        </is>
      </c>
    </row>
    <row r="1127">
      <c r="A1127" t="inlineStr">
        <is>
          <t>大阪府</t>
        </is>
      </c>
      <c r="B1127" t="inlineStr">
        <is>
          <t>泉佐野市</t>
        </is>
      </c>
      <c r="C1127" t="n">
        <v>44790</v>
      </c>
      <c r="D1127" t="n">
        <v>98343</v>
      </c>
      <c r="E1127" s="6" t="n">
        <v>1775.7</v>
      </c>
      <c r="F1127" s="7" t="n">
        <v>67.8</v>
      </c>
      <c r="G1127" t="n">
        <v>100131</v>
      </c>
      <c r="H1127" t="n">
        <v>98343</v>
      </c>
      <c r="I1127" t="n">
        <v>95380</v>
      </c>
      <c r="J1127" t="n">
        <v>84757</v>
      </c>
      <c r="K1127" s="27">
        <f>(H1127/D1127-1)</f>
        <v/>
      </c>
      <c r="L1127" s="27">
        <f>(I1127/D1127-1)</f>
        <v/>
      </c>
      <c r="M1127" s="27">
        <f>(J1127/D1127-1)</f>
        <v/>
      </c>
      <c r="N1127" t="n">
        <v>62.6</v>
      </c>
      <c r="O1127" s="28">
        <f>(N1127+F1127)/2</f>
        <v/>
      </c>
      <c r="P1127">
        <f>IF(O1127="計算不能","計算不能",IF(O1127&gt;=80,5,IF(O1127&gt;=60,4,IF(O1127&gt;=40,3,IF(O1127&gt;=28,2,1)))))</f>
        <v/>
      </c>
      <c r="Q1127" t="n">
        <v>18170</v>
      </c>
      <c r="R1127" t="n">
        <v>3610</v>
      </c>
      <c r="S1127" s="27">
        <f>R1127/Q1127</f>
        <v/>
      </c>
      <c r="T1127" t="inlineStr">
        <is>
          <t>泉佐野市は2045年までに人口が約13.8%減と緩やかな減少局面。若年層の都市部流出と高齢化が進むが、当面の賃貸稼働は一定程度維持される見通し。</t>
        </is>
      </c>
      <c r="U1127" t="inlineStr">
        <is>
          <t>泉佐野市は人口密度1,776人/km²の都市部で、駅周辺や生活利便施設沿いに安定した賃貸需要がある。適切な家賃設定で高稼働を期待できる。 借家の空室率は約20%とやや高めで、競合との差別化が必要。</t>
        </is>
      </c>
      <c r="V1127" t="inlineStr">
        <is>
          <t>泉佐野市（大阪府）：淀川・大和川水系の氾濫、上町断層帯の直下型地震、臨海部の高潮・液状化に最大級の留意。</t>
        </is>
      </c>
    </row>
    <row r="1128">
      <c r="A1128" t="inlineStr">
        <is>
          <t>大阪府</t>
        </is>
      </c>
      <c r="B1128" t="inlineStr">
        <is>
          <t>富田林市</t>
        </is>
      </c>
      <c r="C1128" t="n">
        <v>46280</v>
      </c>
      <c r="D1128" t="n">
        <v>102630</v>
      </c>
      <c r="E1128" s="6" t="n">
        <v>2600.6</v>
      </c>
      <c r="F1128" s="7" t="n">
        <v>76</v>
      </c>
      <c r="G1128" t="n">
        <v>108699</v>
      </c>
      <c r="H1128" t="n">
        <v>102630</v>
      </c>
      <c r="I1128" t="n">
        <v>95944</v>
      </c>
      <c r="J1128" t="n">
        <v>74677</v>
      </c>
      <c r="K1128" s="27">
        <f>(H1128/D1128-1)</f>
        <v/>
      </c>
      <c r="L1128" s="27">
        <f>(I1128/D1128-1)</f>
        <v/>
      </c>
      <c r="M1128" s="27">
        <f>(J1128/D1128-1)</f>
        <v/>
      </c>
      <c r="N1128" t="n">
        <v>46.7</v>
      </c>
      <c r="O1128" s="28">
        <f>(N1128+F1128)/2</f>
        <v/>
      </c>
      <c r="P1128">
        <f>IF(O1128="計算不能","計算不能",IF(O1128&gt;=80,5,IF(O1128&gt;=60,4,IF(O1128&gt;=40,3,IF(O1128&gt;=28,2,1)))))</f>
        <v/>
      </c>
      <c r="Q1128" t="n">
        <v>18774</v>
      </c>
      <c r="R1128" t="n">
        <v>4180</v>
      </c>
      <c r="S1128" s="27">
        <f>R1128/Q1128</f>
        <v/>
      </c>
      <c r="T1128" t="inlineStr">
        <is>
          <t>富田林市は2045年までに人口が約27.2%減と明確な減少トレンド。高齢化の進行と世帯数の縮小により、中長期では賃貸需要の構造的縮小に警戒が必要。</t>
        </is>
      </c>
      <c r="U1128" t="inlineStr">
        <is>
          <t>富田林市は人口密度2,601人/km²の都市部で、駅周辺や生活利便施設沿いに安定した賃貸需要がある。適切な家賃設定で高稼働を期待できる。 借家の空室率は約22%とやや高めで、競合との差別化が必要。</t>
        </is>
      </c>
      <c r="V1128" t="inlineStr">
        <is>
          <t>富田林市（大阪府）：淀川・大和川水系の氾濫、上町断層帯の直下型地震、臨海部の高潮・液状化に最大級の留意。</t>
        </is>
      </c>
    </row>
    <row r="1129">
      <c r="A1129" t="inlineStr">
        <is>
          <t>大阪府</t>
        </is>
      </c>
      <c r="B1129" t="inlineStr">
        <is>
          <t>寝屋川市</t>
        </is>
      </c>
      <c r="C1129" t="n">
        <v>100520</v>
      </c>
      <c r="D1129" t="n">
        <v>222226</v>
      </c>
      <c r="E1129" s="6" t="n">
        <v>8992</v>
      </c>
      <c r="F1129" s="7" t="n">
        <v>98</v>
      </c>
      <c r="G1129" t="n">
        <v>229733</v>
      </c>
      <c r="H1129" t="n">
        <v>222226</v>
      </c>
      <c r="I1129" t="n">
        <v>213164</v>
      </c>
      <c r="J1129" t="n">
        <v>182805</v>
      </c>
      <c r="K1129" s="27">
        <f>(H1129/D1129-1)</f>
        <v/>
      </c>
      <c r="L1129" s="27">
        <f>(I1129/D1129-1)</f>
        <v/>
      </c>
      <c r="M1129" s="27">
        <f>(J1129/D1129-1)</f>
        <v/>
      </c>
      <c r="N1129" t="n">
        <v>57.1</v>
      </c>
      <c r="O1129" s="28">
        <f>(N1129+F1129)/2</f>
        <v/>
      </c>
      <c r="P1129">
        <f>IF(O1129="計算不能","計算不能",IF(O1129&gt;=80,5,IF(O1129&gt;=60,4,IF(O1129&gt;=40,3,IF(O1129&gt;=28,2,1)))))</f>
        <v/>
      </c>
      <c r="Q1129" t="n">
        <v>40778</v>
      </c>
      <c r="R1129" t="n">
        <v>8120</v>
      </c>
      <c r="S1129" s="27">
        <f>R1129/Q1129</f>
        <v/>
      </c>
      <c r="T1129" t="inlineStr">
        <is>
          <t>寝屋川市は2045年までに人口が約17.7%減と明確な減少トレンド。高齢化の進行と世帯数の縮小により、中長期では賃貸需要の構造的縮小に警戒が必要。</t>
        </is>
      </c>
      <c r="U1129" t="inlineStr">
        <is>
          <t>寝屋川市は人口密度8,992人/km²の高密度市街地で、駅近ワンルームからファミリー向けまで極めて強い賃貸実需が存在。資産流動性・出口戦略の容易さも高い。 借家の空室率は約20%とやや高めで、競合との差別化が必要。</t>
        </is>
      </c>
      <c r="V1129" t="inlineStr">
        <is>
          <t>寝屋川市（大阪府）：淀川・大和川水系の氾濫、上町断層帯の直下型地震、臨海部の高潮・液状化に最大級の留意。</t>
        </is>
      </c>
    </row>
    <row r="1130">
      <c r="A1130" t="inlineStr">
        <is>
          <t>大阪府</t>
        </is>
      </c>
      <c r="B1130" t="inlineStr">
        <is>
          <t>河内長野市</t>
        </is>
      </c>
      <c r="C1130" t="n">
        <v>42490</v>
      </c>
      <c r="D1130" t="n">
        <v>94817</v>
      </c>
      <c r="E1130" s="6" t="n">
        <v>865.4</v>
      </c>
      <c r="F1130" s="7" t="n">
        <v>52.3</v>
      </c>
      <c r="G1130" t="n">
        <v>101692</v>
      </c>
      <c r="H1130" t="n">
        <v>94817</v>
      </c>
      <c r="I1130" t="n">
        <v>87868</v>
      </c>
      <c r="J1130" t="n">
        <v>65218</v>
      </c>
      <c r="K1130" s="27">
        <f>(H1130/D1130-1)</f>
        <v/>
      </c>
      <c r="L1130" s="27">
        <f>(I1130/D1130-1)</f>
        <v/>
      </c>
      <c r="M1130" s="27">
        <f>(J1130/D1130-1)</f>
        <v/>
      </c>
      <c r="N1130" t="n">
        <v>43.6</v>
      </c>
      <c r="O1130" s="28">
        <f>(N1130+F1130)/2</f>
        <v/>
      </c>
      <c r="P1130">
        <f>IF(O1130="計算不能","計算不能",IF(O1130&gt;=80,5,IF(O1130&gt;=60,4,IF(O1130&gt;=40,3,IF(O1130&gt;=28,2,1)))))</f>
        <v/>
      </c>
      <c r="Q1130" t="n">
        <v>17237</v>
      </c>
      <c r="R1130" t="n">
        <v>2810</v>
      </c>
      <c r="S1130" s="27">
        <f>R1130/Q1130</f>
        <v/>
      </c>
      <c r="T1130" t="inlineStr">
        <is>
          <t>河内長野市は2045年までに人口が約31.2%減と急激な過疎・超高齢化が進行。若年労働世代の流出と自然減が重なり、賃貸事業としての持続性は極めて限定的。</t>
        </is>
      </c>
      <c r="U1130" t="inlineStr">
        <is>
          <t>河内長野市は人口密度865人/km²で、主要道路沿いや中心市街地に一定の賃貸需要が局在。立地選別が稼働を左右する。 借家の空室率は約16%と需給は比較的引き締まっている。</t>
        </is>
      </c>
      <c r="V1130" t="inlineStr">
        <is>
          <t>河内長野市（大阪府）：淀川・大和川水系の氾濫、上町断層帯の直下型地震、臨海部の高潮・液状化に最大級の留意。</t>
        </is>
      </c>
    </row>
    <row r="1131">
      <c r="A1131" t="inlineStr">
        <is>
          <t>大阪府</t>
        </is>
      </c>
      <c r="B1131" t="inlineStr">
        <is>
          <t>松原市</t>
        </is>
      </c>
      <c r="C1131" t="n">
        <v>52500</v>
      </c>
      <c r="D1131" t="n">
        <v>112124</v>
      </c>
      <c r="E1131" s="6" t="n">
        <v>6891.7</v>
      </c>
      <c r="F1131" s="7" t="n">
        <v>93.8</v>
      </c>
      <c r="G1131" t="n">
        <v>117641</v>
      </c>
      <c r="H1131" t="n">
        <v>112124</v>
      </c>
      <c r="I1131" t="n">
        <v>105784</v>
      </c>
      <c r="J1131" t="n">
        <v>86221</v>
      </c>
      <c r="K1131" s="27">
        <f>(H1131/D1131-1)</f>
        <v/>
      </c>
      <c r="L1131" s="27">
        <f>(I1131/D1131-1)</f>
        <v/>
      </c>
      <c r="M1131" s="27">
        <f>(J1131/D1131-1)</f>
        <v/>
      </c>
      <c r="N1131" t="n">
        <v>50.8</v>
      </c>
      <c r="O1131" s="28">
        <f>(N1131+F1131)/2</f>
        <v/>
      </c>
      <c r="P1131">
        <f>IF(O1131="計算不能","計算不能",IF(O1131&gt;=80,5,IF(O1131&gt;=60,4,IF(O1131&gt;=40,3,IF(O1131&gt;=28,2,1)))))</f>
        <v/>
      </c>
      <c r="Q1131" t="n">
        <v>21298</v>
      </c>
      <c r="R1131" t="n">
        <v>4460</v>
      </c>
      <c r="S1131" s="27">
        <f>R1131/Q1131</f>
        <v/>
      </c>
      <c r="T1131" t="inlineStr">
        <is>
          <t>松原市は2045年までに人口が約23.1%減と明確な減少トレンド。高齢化の進行と世帯数の縮小により、中長期では賃貸需要の構造的縮小に警戒が必要。</t>
        </is>
      </c>
      <c r="U1131" t="inlineStr">
        <is>
          <t>松原市は人口密度6,892人/km²の高密度市街地で、駅近ワンルームからファミリー向けまで極めて強い賃貸実需が存在。資産流動性・出口戦略の容易さも高い。 借家の空室率は約21%とやや高めで、競合との差別化が必要。</t>
        </is>
      </c>
      <c r="V1131" t="inlineStr">
        <is>
          <t>松原市（大阪府）：淀川・大和川水系の氾濫、上町断層帯の直下型地震、臨海部の高潮・液状化に最大級の留意。</t>
        </is>
      </c>
    </row>
    <row r="1132">
      <c r="A1132" t="inlineStr">
        <is>
          <t>大阪府</t>
        </is>
      </c>
      <c r="B1132" t="inlineStr">
        <is>
          <t>大東市</t>
        </is>
      </c>
      <c r="C1132" t="n">
        <v>52520</v>
      </c>
      <c r="D1132" t="n">
        <v>115286</v>
      </c>
      <c r="E1132" s="6" t="n">
        <v>6220.1</v>
      </c>
      <c r="F1132" s="7" t="n">
        <v>92.40000000000001</v>
      </c>
      <c r="G1132" t="n">
        <v>119367</v>
      </c>
      <c r="H1132" t="n">
        <v>115286</v>
      </c>
      <c r="I1132" t="n">
        <v>110279</v>
      </c>
      <c r="J1132" t="n">
        <v>93155</v>
      </c>
      <c r="K1132" s="27">
        <f>(H1132/D1132-1)</f>
        <v/>
      </c>
      <c r="L1132" s="27">
        <f>(I1132/D1132-1)</f>
        <v/>
      </c>
      <c r="M1132" s="27">
        <f>(J1132/D1132-1)</f>
        <v/>
      </c>
      <c r="N1132" t="n">
        <v>56</v>
      </c>
      <c r="O1132" s="28">
        <f>(N1132+F1132)/2</f>
        <v/>
      </c>
      <c r="P1132">
        <f>IF(O1132="計算不能","計算不能",IF(O1132&gt;=80,5,IF(O1132&gt;=60,4,IF(O1132&gt;=40,3,IF(O1132&gt;=28,2,1)))))</f>
        <v/>
      </c>
      <c r="Q1132" t="n">
        <v>21306</v>
      </c>
      <c r="R1132" t="n">
        <v>6700</v>
      </c>
      <c r="S1132" s="27">
        <f>R1132/Q1132</f>
        <v/>
      </c>
      <c r="T1132" t="inlineStr">
        <is>
          <t>大東市は2045年までに人口が約19.2%減と明確な減少トレンド。高齢化の進行と世帯数の縮小により、中長期では賃貸需要の構造的縮小に警戒が必要。</t>
        </is>
      </c>
      <c r="U1132" t="inlineStr">
        <is>
          <t>大東市は人口密度6,220人/km²の高密度市街地で、駅近ワンルームからファミリー向けまで極めて強い賃貸実需が存在。資産流動性・出口戦略の容易さも高い。 借家の空室率は約31%と供給過多気味で、空室長期化リスクに要警戒。</t>
        </is>
      </c>
      <c r="V1132" t="inlineStr">
        <is>
          <t>大東市（大阪府）：淀川・大和川水系の氾濫、上町断層帯の直下型地震、臨海部の高潮・液状化に最大級の留意。</t>
        </is>
      </c>
    </row>
    <row r="1133">
      <c r="A1133" t="inlineStr">
        <is>
          <t>大阪府</t>
        </is>
      </c>
      <c r="B1133" t="inlineStr">
        <is>
          <t>和泉市</t>
        </is>
      </c>
      <c r="C1133" t="n">
        <v>74660</v>
      </c>
      <c r="D1133" t="n">
        <v>182004</v>
      </c>
      <c r="E1133" s="6" t="n">
        <v>2138.3</v>
      </c>
      <c r="F1133" s="7" t="n">
        <v>71.40000000000001</v>
      </c>
      <c r="G1133" t="n">
        <v>184495</v>
      </c>
      <c r="H1133" t="n">
        <v>182004</v>
      </c>
      <c r="I1133" t="n">
        <v>177530</v>
      </c>
      <c r="J1133" t="n">
        <v>159117</v>
      </c>
      <c r="K1133" s="27">
        <f>(H1133/D1133-1)</f>
        <v/>
      </c>
      <c r="L1133" s="27">
        <f>(I1133/D1133-1)</f>
        <v/>
      </c>
      <c r="M1133" s="27">
        <f>(J1133/D1133-1)</f>
        <v/>
      </c>
      <c r="N1133" t="n">
        <v>64.40000000000001</v>
      </c>
      <c r="O1133" s="28">
        <f>(N1133+F1133)/2</f>
        <v/>
      </c>
      <c r="P1133">
        <f>IF(O1133="計算不能","計算不能",IF(O1133&gt;=80,5,IF(O1133&gt;=60,4,IF(O1133&gt;=40,3,IF(O1133&gt;=28,2,1)))))</f>
        <v/>
      </c>
      <c r="Q1133" t="n">
        <v>30287</v>
      </c>
      <c r="R1133" t="n">
        <v>5990</v>
      </c>
      <c r="S1133" s="27">
        <f>R1133/Q1133</f>
        <v/>
      </c>
      <c r="T1133" t="inlineStr">
        <is>
          <t>和泉市は2045年までに人口が約12.6%減と緩やかな減少局面。若年層の都市部流出と高齢化が進むが、当面の賃貸稼働は一定程度維持される見通し。</t>
        </is>
      </c>
      <c r="U1133" t="inlineStr">
        <is>
          <t>和泉市は人口密度2,138人/km²の都市部で、駅周辺や生活利便施設沿いに安定した賃貸需要がある。適切な家賃設定で高稼働を期待できる。 借家の空室率は約20%とやや高めで、競合との差別化が必要。</t>
        </is>
      </c>
      <c r="V1133" t="inlineStr">
        <is>
          <t>和泉市（大阪府）：淀川・大和川水系の氾濫、上町断層帯の直下型地震、臨海部の高潮・液状化に最大級の留意。</t>
        </is>
      </c>
    </row>
    <row r="1134">
      <c r="A1134" t="inlineStr">
        <is>
          <t>大阪府</t>
        </is>
      </c>
      <c r="B1134" t="inlineStr">
        <is>
          <t>箕面市</t>
        </is>
      </c>
      <c r="C1134" t="n">
        <v>58300</v>
      </c>
      <c r="D1134" t="n">
        <v>137622</v>
      </c>
      <c r="E1134" s="6" t="n">
        <v>2935</v>
      </c>
      <c r="F1134" s="7" t="n">
        <v>79.3</v>
      </c>
      <c r="G1134" t="n">
        <v>136868</v>
      </c>
      <c r="H1134" t="n">
        <v>137622</v>
      </c>
      <c r="I1134" t="n">
        <v>136882</v>
      </c>
      <c r="J1134" t="n">
        <v>130880</v>
      </c>
      <c r="K1134" s="27">
        <f>(H1134/D1134-1)</f>
        <v/>
      </c>
      <c r="L1134" s="27">
        <f>(I1134/D1134-1)</f>
        <v/>
      </c>
      <c r="M1134" s="27">
        <f>(J1134/D1134-1)</f>
        <v/>
      </c>
      <c r="N1134" t="n">
        <v>73.3</v>
      </c>
      <c r="O1134" s="28">
        <f>(N1134+F1134)/2</f>
        <v/>
      </c>
      <c r="P1134">
        <f>IF(O1134="計算不能","計算不能",IF(O1134&gt;=80,5,IF(O1134&gt;=60,4,IF(O1134&gt;=40,3,IF(O1134&gt;=28,2,1)))))</f>
        <v/>
      </c>
      <c r="Q1134" t="n">
        <v>23650</v>
      </c>
      <c r="R1134" t="n">
        <v>4970</v>
      </c>
      <c r="S1134" s="27">
        <f>R1134/Q1134</f>
        <v/>
      </c>
      <c r="T1134" t="inlineStr">
        <is>
          <t>箕面市は2045年までの人口減少率が約4.9%と全国平均より緩やかで、概ね横ばいの安定推移。生産年齢人口の維持により、賃貸需要の急減リスクは相対的に低い。</t>
        </is>
      </c>
      <c r="U1134" t="inlineStr">
        <is>
          <t>箕面市は人口密度2,935人/km²の都市部で、駅周辺や生活利便施設沿いに安定した賃貸需要がある。適切な家賃設定で高稼働を期待できる。 借家の空室率は約21%とやや高めで、競合との差別化が必要。</t>
        </is>
      </c>
      <c r="V1134" t="inlineStr">
        <is>
          <t>箕面市（大阪府）：淀川・大和川水系の氾濫、上町断層帯の直下型地震、臨海部の高潮・液状化に最大級の留意。</t>
        </is>
      </c>
    </row>
    <row r="1135">
      <c r="A1135" t="inlineStr">
        <is>
          <t>大阪府</t>
        </is>
      </c>
      <c r="B1135" t="inlineStr">
        <is>
          <t>柏原市</t>
        </is>
      </c>
      <c r="C1135" t="n">
        <v>30010</v>
      </c>
      <c r="D1135" t="n">
        <v>65610</v>
      </c>
      <c r="E1135" s="6" t="n">
        <v>2593.4</v>
      </c>
      <c r="F1135" s="7" t="n">
        <v>75.90000000000001</v>
      </c>
      <c r="G1135" t="n">
        <v>68775</v>
      </c>
      <c r="H1135" t="n">
        <v>65610</v>
      </c>
      <c r="I1135" t="n">
        <v>61547</v>
      </c>
      <c r="J1135" t="n">
        <v>48470</v>
      </c>
      <c r="K1135" s="27">
        <f>(H1135/D1135-1)</f>
        <v/>
      </c>
      <c r="L1135" s="27">
        <f>(I1135/D1135-1)</f>
        <v/>
      </c>
      <c r="M1135" s="27">
        <f>(J1135/D1135-1)</f>
        <v/>
      </c>
      <c r="N1135" t="n">
        <v>49.2</v>
      </c>
      <c r="O1135" s="28">
        <f>(N1135+F1135)/2</f>
        <v/>
      </c>
      <c r="P1135">
        <f>IF(O1135="計算不能","計算不能",IF(O1135&gt;=80,5,IF(O1135&gt;=60,4,IF(O1135&gt;=40,3,IF(O1135&gt;=28,2,1)))))</f>
        <v/>
      </c>
      <c r="Q1135" t="n">
        <v>12174</v>
      </c>
      <c r="R1135" t="n">
        <v>5150</v>
      </c>
      <c r="S1135" s="27">
        <f>R1135/Q1135</f>
        <v/>
      </c>
      <c r="T1135" t="inlineStr">
        <is>
          <t>柏原市は2045年までに人口が約26.1%減と明確な減少トレンド。高齢化の進行と世帯数の縮小により、中長期では賃貸需要の構造的縮小に警戒が必要。</t>
        </is>
      </c>
      <c r="U1135" t="inlineStr">
        <is>
          <t>柏原市は人口密度2,593人/km²の都市部で、駅周辺や生活利便施設沿いに安定した賃貸需要がある。適切な家賃設定で高稼働を期待できる。 借家の空室率は約42%と供給過多気味で、空室長期化リスクに要警戒。</t>
        </is>
      </c>
      <c r="V1135" t="inlineStr">
        <is>
          <t>柏原市（大阪府）：淀川・大和川水系の氾濫、上町断層帯の直下型地震、臨海部の高潮・液状化に最大級の留意。</t>
        </is>
      </c>
    </row>
    <row r="1136">
      <c r="A1136" t="inlineStr">
        <is>
          <t>大阪府</t>
        </is>
      </c>
      <c r="B1136" t="inlineStr">
        <is>
          <t>羽曳野市</t>
        </is>
      </c>
      <c r="C1136" t="n">
        <v>44980</v>
      </c>
      <c r="D1136" t="n">
        <v>103494</v>
      </c>
      <c r="E1136" s="6" t="n">
        <v>3938.9</v>
      </c>
      <c r="F1136" s="7" t="n">
        <v>80</v>
      </c>
      <c r="G1136" t="n">
        <v>108736</v>
      </c>
      <c r="H1136" t="n">
        <v>103494</v>
      </c>
      <c r="I1136" t="n">
        <v>97889</v>
      </c>
      <c r="J1136" t="n">
        <v>79445</v>
      </c>
      <c r="K1136" s="27">
        <f>(H1136/D1136-1)</f>
        <v/>
      </c>
      <c r="L1136" s="27">
        <f>(I1136/D1136-1)</f>
        <v/>
      </c>
      <c r="M1136" s="27">
        <f>(J1136/D1136-1)</f>
        <v/>
      </c>
      <c r="N1136" t="n">
        <v>50.7</v>
      </c>
      <c r="O1136" s="28">
        <f>(N1136+F1136)/2</f>
        <v/>
      </c>
      <c r="P1136">
        <f>IF(O1136="計算不能","計算不能",IF(O1136&gt;=80,5,IF(O1136&gt;=60,4,IF(O1136&gt;=40,3,IF(O1136&gt;=28,2,1)))))</f>
        <v/>
      </c>
      <c r="Q1136" t="n">
        <v>18247</v>
      </c>
      <c r="R1136" t="n">
        <v>3590</v>
      </c>
      <c r="S1136" s="27">
        <f>R1136/Q1136</f>
        <v/>
      </c>
      <c r="T1136" t="inlineStr">
        <is>
          <t>羽曳野市は2045年までに人口が約23.2%減と明確な減少トレンド。高齢化の進行と世帯数の縮小により、中長期では賃貸需要の構造的縮小に警戒が必要。</t>
        </is>
      </c>
      <c r="U1136" t="inlineStr">
        <is>
          <t>羽曳野市は人口密度3,939人/km²の都市部で、駅周辺や生活利便施設沿いに安定した賃貸需要がある。適切な家賃設定で高稼働を期待できる。 借家の空室率は約20%とやや高めで、競合との差別化が必要。</t>
        </is>
      </c>
      <c r="V1136" t="inlineStr">
        <is>
          <t>羽曳野市（大阪府）：淀川・大和川水系の氾濫、上町断層帯の直下型地震、臨海部の高潮・液状化に最大級の留意。</t>
        </is>
      </c>
    </row>
    <row r="1137">
      <c r="A1137" t="inlineStr">
        <is>
          <t>大阪府</t>
        </is>
      </c>
      <c r="B1137" t="inlineStr">
        <is>
          <t>門真市</t>
        </is>
      </c>
      <c r="C1137" t="n">
        <v>56960</v>
      </c>
      <c r="D1137" t="n">
        <v>113782</v>
      </c>
      <c r="E1137" s="6" t="n">
        <v>9081.5</v>
      </c>
      <c r="F1137" s="7" t="n">
        <v>98.2</v>
      </c>
      <c r="G1137" t="n">
        <v>119764</v>
      </c>
      <c r="H1137" t="n">
        <v>113782</v>
      </c>
      <c r="I1137" t="n">
        <v>106809</v>
      </c>
      <c r="J1137" t="n">
        <v>85731</v>
      </c>
      <c r="K1137" s="27">
        <f>(H1137/D1137-1)</f>
        <v/>
      </c>
      <c r="L1137" s="27">
        <f>(I1137/D1137-1)</f>
        <v/>
      </c>
      <c r="M1137" s="27">
        <f>(J1137/D1137-1)</f>
        <v/>
      </c>
      <c r="N1137" t="n">
        <v>49.2</v>
      </c>
      <c r="O1137" s="28">
        <f>(N1137+F1137)/2</f>
        <v/>
      </c>
      <c r="P1137">
        <f>IF(O1137="計算不能","計算不能",IF(O1137&gt;=80,5,IF(O1137&gt;=60,4,IF(O1137&gt;=40,3,IF(O1137&gt;=28,2,1)))))</f>
        <v/>
      </c>
      <c r="Q1137" t="n">
        <v>23107</v>
      </c>
      <c r="R1137" t="n">
        <v>7330</v>
      </c>
      <c r="S1137" s="27">
        <f>R1137/Q1137</f>
        <v/>
      </c>
      <c r="T1137" t="inlineStr">
        <is>
          <t>門真市は2045年までに人口が約24.7%減と明確な減少トレンド。高齢化の進行と世帯数の縮小により、中長期では賃貸需要の構造的縮小に警戒が必要。</t>
        </is>
      </c>
      <c r="U1137" t="inlineStr">
        <is>
          <t>門真市は人口密度9,082人/km²の高密度市街地で、駅近ワンルームからファミリー向けまで極めて強い賃貸実需が存在。資産流動性・出口戦略の容易さも高い。 借家の空室率は約32%と供給過多気味で、空室長期化リスクに要警戒。</t>
        </is>
      </c>
      <c r="V1137" t="inlineStr">
        <is>
          <t>門真市（大阪府）：淀川・大和川水系の氾濫、上町断層帯の直下型地震、臨海部の高潮・液状化に最大級の留意。</t>
        </is>
      </c>
    </row>
    <row r="1138">
      <c r="A1138" t="inlineStr">
        <is>
          <t>大阪府</t>
        </is>
      </c>
      <c r="B1138" t="inlineStr">
        <is>
          <t>摂津市</t>
        </is>
      </c>
      <c r="C1138" t="n">
        <v>41070</v>
      </c>
      <c r="D1138" t="n">
        <v>86835</v>
      </c>
      <c r="E1138" s="6" t="n">
        <v>5814.5</v>
      </c>
      <c r="F1138" s="7" t="n">
        <v>91.59999999999999</v>
      </c>
      <c r="G1138" t="n">
        <v>87456</v>
      </c>
      <c r="H1138" t="n">
        <v>86835</v>
      </c>
      <c r="I1138" t="n">
        <v>85411</v>
      </c>
      <c r="J1138" t="n">
        <v>79402</v>
      </c>
      <c r="K1138" s="27">
        <f>(H1138/D1138-1)</f>
        <v/>
      </c>
      <c r="L1138" s="27">
        <f>(I1138/D1138-1)</f>
        <v/>
      </c>
      <c r="M1138" s="27">
        <f>(J1138/D1138-1)</f>
        <v/>
      </c>
      <c r="N1138" t="n">
        <v>68.2</v>
      </c>
      <c r="O1138" s="28">
        <f>(N1138+F1138)/2</f>
        <v/>
      </c>
      <c r="P1138">
        <f>IF(O1138="計算不能","計算不能",IF(O1138&gt;=80,5,IF(O1138&gt;=60,4,IF(O1138&gt;=40,3,IF(O1138&gt;=28,2,1)))))</f>
        <v/>
      </c>
      <c r="Q1138" t="n">
        <v>16661</v>
      </c>
      <c r="R1138" t="n">
        <v>3140</v>
      </c>
      <c r="S1138" s="27">
        <f>R1138/Q1138</f>
        <v/>
      </c>
      <c r="T1138" t="inlineStr">
        <is>
          <t>摂津市は2045年までに人口が約8.6%減と緩やかな減少局面。若年層の都市部流出と高齢化が進むが、当面の賃貸稼働は一定程度維持される見通し。</t>
        </is>
      </c>
      <c r="U1138" t="inlineStr">
        <is>
          <t>摂津市は人口密度5,814人/km²の高密度市街地で、駅近ワンルームからファミリー向けまで極めて強い賃貸実需が存在。資産流動性・出口戦略の容易さも高い。 借家の空室率は約19%とやや高めで、競合との差別化が必要。</t>
        </is>
      </c>
      <c r="V1138" t="inlineStr">
        <is>
          <t>摂津市（大阪府）：淀川・大和川水系の氾濫、上町断層帯の直下型地震、臨海部の高潮・液状化に最大級の留意。</t>
        </is>
      </c>
    </row>
    <row r="1139">
      <c r="A1139" t="inlineStr">
        <is>
          <t>大阪府</t>
        </is>
      </c>
      <c r="B1139" t="inlineStr">
        <is>
          <t>高石市</t>
        </is>
      </c>
      <c r="C1139" t="n">
        <v>23660</v>
      </c>
      <c r="D1139" t="n">
        <v>53491</v>
      </c>
      <c r="E1139" s="6" t="n">
        <v>4736.6</v>
      </c>
      <c r="F1139" s="7" t="n">
        <v>80</v>
      </c>
      <c r="G1139" t="n">
        <v>55635</v>
      </c>
      <c r="H1139" t="n">
        <v>53491</v>
      </c>
      <c r="I1139" t="n">
        <v>50954</v>
      </c>
      <c r="J1139" t="n">
        <v>42913</v>
      </c>
      <c r="K1139" s="27">
        <f>(H1139/D1139-1)</f>
        <v/>
      </c>
      <c r="L1139" s="27">
        <f>(I1139/D1139-1)</f>
        <v/>
      </c>
      <c r="M1139" s="27">
        <f>(J1139/D1139-1)</f>
        <v/>
      </c>
      <c r="N1139" t="n">
        <v>54.6</v>
      </c>
      <c r="O1139" s="28">
        <f>(N1139+F1139)/2</f>
        <v/>
      </c>
      <c r="P1139">
        <f>IF(O1139="計算不能","計算不能",IF(O1139&gt;=80,5,IF(O1139&gt;=60,4,IF(O1139&gt;=40,3,IF(O1139&gt;=28,2,1)))))</f>
        <v/>
      </c>
      <c r="Q1139" t="n">
        <v>9598</v>
      </c>
      <c r="R1139" t="n">
        <v>1830</v>
      </c>
      <c r="S1139" s="27">
        <f>R1139/Q1139</f>
        <v/>
      </c>
      <c r="T1139" t="inlineStr">
        <is>
          <t>高石市は2045年までに人口が約19.8%減と明確な減少トレンド。高齢化の進行と世帯数の縮小により、中長期では賃貸需要の構造的縮小に警戒が必要。</t>
        </is>
      </c>
      <c r="U1139" t="inlineStr">
        <is>
          <t>高石市は人口密度4,737人/km²の都市部で、駅周辺や生活利便施設沿いに安定した賃貸需要がある。適切な家賃設定で高稼働を期待できる。 借家の空室率は約19%とやや高めで、競合との差別化が必要。</t>
        </is>
      </c>
      <c r="V1139" t="inlineStr">
        <is>
          <t>高石市（大阪府）：淀川・大和川水系の氾濫、上町断層帯の直下型地震、臨海部の高潮・液状化に最大級の留意。</t>
        </is>
      </c>
    </row>
    <row r="1140">
      <c r="A1140" t="inlineStr">
        <is>
          <t>大阪府</t>
        </is>
      </c>
      <c r="B1140" t="inlineStr">
        <is>
          <t>藤井寺市</t>
        </is>
      </c>
      <c r="C1140" t="n">
        <v>28080</v>
      </c>
      <c r="D1140" t="n">
        <v>61155</v>
      </c>
      <c r="E1140" s="6" t="n">
        <v>6876.2</v>
      </c>
      <c r="F1140" s="7" t="n">
        <v>93.8</v>
      </c>
      <c r="G1140" t="n">
        <v>63688</v>
      </c>
      <c r="H1140" t="n">
        <v>61155</v>
      </c>
      <c r="I1140" t="n">
        <v>58779</v>
      </c>
      <c r="J1140" t="n">
        <v>50600</v>
      </c>
      <c r="K1140" s="27">
        <f>(H1140/D1140-1)</f>
        <v/>
      </c>
      <c r="L1140" s="27">
        <f>(I1140/D1140-1)</f>
        <v/>
      </c>
      <c r="M1140" s="27">
        <f>(J1140/D1140-1)</f>
        <v/>
      </c>
      <c r="N1140" t="n">
        <v>56.1</v>
      </c>
      <c r="O1140" s="28">
        <f>(N1140+F1140)/2</f>
        <v/>
      </c>
      <c r="P1140">
        <f>IF(O1140="計算不能","計算不能",IF(O1140&gt;=80,5,IF(O1140&gt;=60,4,IF(O1140&gt;=40,3,IF(O1140&gt;=28,2,1)))))</f>
        <v/>
      </c>
      <c r="Q1140" t="n">
        <v>11391</v>
      </c>
      <c r="R1140" t="n">
        <v>2490</v>
      </c>
      <c r="S1140" s="27">
        <f>R1140/Q1140</f>
        <v/>
      </c>
      <c r="T1140" t="inlineStr">
        <is>
          <t>藤井寺市は2045年までに人口が約17.3%減と明確な減少トレンド。高齢化の進行と世帯数の縮小により、中長期では賃貸需要の構造的縮小に警戒が必要。</t>
        </is>
      </c>
      <c r="U1140" t="inlineStr">
        <is>
          <t>藤井寺市は人口密度6,876人/km²の高密度市街地で、駅近ワンルームからファミリー向けまで極めて強い賃貸実需が存在。資産流動性・出口戦略の容易さも高い。 借家の空室率は約22%とやや高めで、競合との差別化が必要。</t>
        </is>
      </c>
      <c r="V1140" t="inlineStr">
        <is>
          <t>藤井寺市（大阪府）：淀川・大和川水系の氾濫、上町断層帯の直下型地震、臨海部の高潮・液状化に最大級の留意。</t>
        </is>
      </c>
    </row>
    <row r="1141">
      <c r="A1141" t="inlineStr">
        <is>
          <t>大阪府</t>
        </is>
      </c>
      <c r="B1141" t="inlineStr">
        <is>
          <t>東大阪市</t>
        </is>
      </c>
      <c r="C1141" t="n">
        <v>236780</v>
      </c>
      <c r="D1141" t="n">
        <v>478156</v>
      </c>
      <c r="E1141" s="6" t="n">
        <v>7811.9</v>
      </c>
      <c r="F1141" s="7" t="n">
        <v>95.59999999999999</v>
      </c>
      <c r="G1141" t="n">
        <v>493940</v>
      </c>
      <c r="H1141" t="n">
        <v>478156</v>
      </c>
      <c r="I1141" t="n">
        <v>459365</v>
      </c>
      <c r="J1141" t="n">
        <v>397796</v>
      </c>
      <c r="K1141" s="27">
        <f>(H1141/D1141-1)</f>
        <v/>
      </c>
      <c r="L1141" s="27">
        <f>(I1141/D1141-1)</f>
        <v/>
      </c>
      <c r="M1141" s="27">
        <f>(J1141/D1141-1)</f>
        <v/>
      </c>
      <c r="N1141" t="n">
        <v>57.8</v>
      </c>
      <c r="O1141" s="28">
        <f>(N1141+F1141)/2</f>
        <v/>
      </c>
      <c r="P1141">
        <f>IF(O1141="計算不能","計算不能",IF(O1141&gt;=80,5,IF(O1141&gt;=60,4,IF(O1141&gt;=40,3,IF(O1141&gt;=28,2,1)))))</f>
        <v/>
      </c>
      <c r="Q1141" t="n">
        <v>96056</v>
      </c>
      <c r="R1141" t="n">
        <v>29950</v>
      </c>
      <c r="S1141" s="27">
        <f>R1141/Q1141</f>
        <v/>
      </c>
      <c r="T1141" t="inlineStr">
        <is>
          <t>東大阪市は2045年までに人口が約16.8%減と明確な減少トレンド。高齢化の進行と世帯数の縮小により、中長期では賃貸需要の構造的縮小に警戒が必要。</t>
        </is>
      </c>
      <c r="U1141" t="inlineStr">
        <is>
          <t>東大阪市は人口密度7,812人/km²の高密度市街地で、駅近ワンルームからファミリー向けまで極めて強い賃貸実需が存在。資産流動性・出口戦略の容易さも高い。 借家の空室率は約31%と供給過多気味で、空室長期化リスクに要警戒。</t>
        </is>
      </c>
      <c r="V1141" t="inlineStr">
        <is>
          <t>東大阪市（大阪府）：淀川・大和川水系の氾濫、上町断層帯の直下型地震、臨海部の高潮・液状化に最大級の留意。</t>
        </is>
      </c>
    </row>
    <row r="1142">
      <c r="A1142" t="inlineStr">
        <is>
          <t>大阪府</t>
        </is>
      </c>
      <c r="B1142" t="inlineStr">
        <is>
          <t>泉南市</t>
        </is>
      </c>
      <c r="C1142" t="n">
        <v>23600</v>
      </c>
      <c r="D1142" t="n">
        <v>56299</v>
      </c>
      <c r="E1142" s="6" t="n">
        <v>1146.1</v>
      </c>
      <c r="F1142" s="7" t="n">
        <v>57.9</v>
      </c>
      <c r="G1142" t="n">
        <v>60102</v>
      </c>
      <c r="H1142" t="n">
        <v>56299</v>
      </c>
      <c r="I1142" t="n">
        <v>53205</v>
      </c>
      <c r="J1142" t="n">
        <v>43345</v>
      </c>
      <c r="K1142" s="27">
        <f>(H1142/D1142-1)</f>
        <v/>
      </c>
      <c r="L1142" s="27">
        <f>(I1142/D1142-1)</f>
        <v/>
      </c>
      <c r="M1142" s="27">
        <f>(J1142/D1142-1)</f>
        <v/>
      </c>
      <c r="N1142" t="n">
        <v>48</v>
      </c>
      <c r="O1142" s="28">
        <f>(N1142+F1142)/2</f>
        <v/>
      </c>
      <c r="P1142">
        <f>IF(O1142="計算不能","計算不能",IF(O1142&gt;=80,5,IF(O1142&gt;=60,4,IF(O1142&gt;=40,3,IF(O1142&gt;=28,2,1)))))</f>
        <v/>
      </c>
      <c r="Q1142" t="n">
        <v>9573</v>
      </c>
      <c r="R1142" t="n">
        <v>1810</v>
      </c>
      <c r="S1142" s="27">
        <f>R1142/Q1142</f>
        <v/>
      </c>
      <c r="T1142" t="inlineStr">
        <is>
          <t>泉南市は2045年までに人口が約23.0%減と明確な減少トレンド。高齢化の進行と世帯数の縮小により、中長期では賃貸需要の構造的縮小に警戒が必要。</t>
        </is>
      </c>
      <c r="U1142" t="inlineStr">
        <is>
          <t>泉南市は人口密度1,146人/km²で、主要道路沿いや中心市街地に一定の賃貸需要が局在。立地選別が稼働を左右する。 借家の空室率は約19%とやや高めで、競合との差別化が必要。</t>
        </is>
      </c>
      <c r="V1142" t="inlineStr">
        <is>
          <t>泉南市（大阪府）：淀川・大和川水系の氾濫、上町断層帯の直下型地震、臨海部の高潮・液状化に最大級の留意。</t>
        </is>
      </c>
    </row>
    <row r="1143">
      <c r="A1143" t="inlineStr">
        <is>
          <t>大阪府</t>
        </is>
      </c>
      <c r="B1143" t="inlineStr">
        <is>
          <t>四條畷市</t>
        </is>
      </c>
      <c r="C1143" t="n">
        <v>22870</v>
      </c>
      <c r="D1143" t="n">
        <v>53219</v>
      </c>
      <c r="E1143" s="6" t="n">
        <v>2860.1</v>
      </c>
      <c r="F1143" s="7" t="n">
        <v>78.59999999999999</v>
      </c>
      <c r="G1143" t="n">
        <v>55177</v>
      </c>
      <c r="H1143" t="n">
        <v>53219</v>
      </c>
      <c r="I1143" t="n">
        <v>50863</v>
      </c>
      <c r="J1143" t="n">
        <v>43538</v>
      </c>
      <c r="K1143" s="27">
        <f>(H1143/D1143-1)</f>
        <v/>
      </c>
      <c r="L1143" s="27">
        <f>(I1143/D1143-1)</f>
        <v/>
      </c>
      <c r="M1143" s="27">
        <f>(J1143/D1143-1)</f>
        <v/>
      </c>
      <c r="N1143" t="n">
        <v>56.1</v>
      </c>
      <c r="O1143" s="28">
        <f>(N1143+F1143)/2</f>
        <v/>
      </c>
      <c r="P1143">
        <f>IF(O1143="計算不能","計算不能",IF(O1143&gt;=80,5,IF(O1143&gt;=60,4,IF(O1143&gt;=40,3,IF(O1143&gt;=28,2,1)))))</f>
        <v/>
      </c>
      <c r="Q1143" t="n">
        <v>9277</v>
      </c>
      <c r="R1143" t="n">
        <v>2420</v>
      </c>
      <c r="S1143" s="27">
        <f>R1143/Q1143</f>
        <v/>
      </c>
      <c r="T1143" t="inlineStr">
        <is>
          <t>四條畷市は2045年までに人口が約18.2%減と明確な減少トレンド。高齢化の進行と世帯数の縮小により、中長期では賃貸需要の構造的縮小に警戒が必要。</t>
        </is>
      </c>
      <c r="U1143" t="inlineStr">
        <is>
          <t>四條畷市は人口密度2,860人/km²の都市部で、駅周辺や生活利便施設沿いに安定した賃貸需要がある。適切な家賃設定で高稼働を期待できる。 借家の空室率は約26%と供給過多気味で、空室長期化リスクに要警戒。</t>
        </is>
      </c>
      <c r="V1143" t="inlineStr">
        <is>
          <t>四條畷市（大阪府）：淀川・大和川水系の氾濫、上町断層帯の直下型地震、臨海部の高潮・液状化に最大級の留意。</t>
        </is>
      </c>
    </row>
    <row r="1144">
      <c r="A1144" t="inlineStr">
        <is>
          <t>大阪府</t>
        </is>
      </c>
      <c r="B1144" t="inlineStr">
        <is>
          <t>交野市</t>
        </is>
      </c>
      <c r="C1144" t="n">
        <v>29700</v>
      </c>
      <c r="D1144" t="n">
        <v>72408</v>
      </c>
      <c r="E1144" s="6" t="n">
        <v>2957.8</v>
      </c>
      <c r="F1144" s="7" t="n">
        <v>79.59999999999999</v>
      </c>
      <c r="G1144" t="n">
        <v>75033</v>
      </c>
      <c r="H1144" t="n">
        <v>72408</v>
      </c>
      <c r="I1144" t="n">
        <v>69255</v>
      </c>
      <c r="J1144" t="n">
        <v>58698</v>
      </c>
      <c r="K1144" s="27">
        <f>(H1144/D1144-1)</f>
        <v/>
      </c>
      <c r="L1144" s="27">
        <f>(I1144/D1144-1)</f>
        <v/>
      </c>
      <c r="M1144" s="27">
        <f>(J1144/D1144-1)</f>
        <v/>
      </c>
      <c r="N1144" t="n">
        <v>55.9</v>
      </c>
      <c r="O1144" s="28">
        <f>(N1144+F1144)/2</f>
        <v/>
      </c>
      <c r="P1144">
        <f>IF(O1144="計算不能","計算不能",IF(O1144&gt;=80,5,IF(O1144&gt;=60,4,IF(O1144&gt;=40,3,IF(O1144&gt;=28,2,1)))))</f>
        <v/>
      </c>
      <c r="Q1144" t="n">
        <v>12048</v>
      </c>
      <c r="R1144" t="n">
        <v>1770</v>
      </c>
      <c r="S1144" s="27">
        <f>R1144/Q1144</f>
        <v/>
      </c>
      <c r="T1144" t="inlineStr">
        <is>
          <t>交野市は2045年までに人口が約18.9%減と明確な減少トレンド。高齢化の進行と世帯数の縮小により、中長期では賃貸需要の構造的縮小に警戒が必要。</t>
        </is>
      </c>
      <c r="U1144" t="inlineStr">
        <is>
          <t>交野市は人口密度2,958人/km²の都市部で、駅周辺や生活利便施設沿いに安定した賃貸需要がある。適切な家賃設定で高稼働を期待できる。 借家の空室率は約15%と需給は比較的引き締まっている。</t>
        </is>
      </c>
      <c r="V1144" t="inlineStr">
        <is>
          <t>交野市（大阪府）：淀川・大和川水系の氾濫、上町断層帯の直下型地震、臨海部の高潮・液状化に最大級の留意。</t>
        </is>
      </c>
    </row>
    <row r="1145">
      <c r="A1145" t="inlineStr">
        <is>
          <t>大阪府</t>
        </is>
      </c>
      <c r="B1145" t="inlineStr">
        <is>
          <t>大阪狭山市</t>
        </is>
      </c>
      <c r="C1145" t="n">
        <v>24830</v>
      </c>
      <c r="D1145" t="n">
        <v>57505</v>
      </c>
      <c r="E1145" s="6" t="n">
        <v>4822.1</v>
      </c>
      <c r="F1145" s="7" t="n">
        <v>80</v>
      </c>
      <c r="G1145" t="n">
        <v>58435</v>
      </c>
      <c r="H1145" t="n">
        <v>57505</v>
      </c>
      <c r="I1145" t="n">
        <v>55996</v>
      </c>
      <c r="J1145" t="n">
        <v>49947</v>
      </c>
      <c r="K1145" s="27">
        <f>(H1145/D1145-1)</f>
        <v/>
      </c>
      <c r="L1145" s="27">
        <f>(I1145/D1145-1)</f>
        <v/>
      </c>
      <c r="M1145" s="27">
        <f>(J1145/D1145-1)</f>
        <v/>
      </c>
      <c r="N1145" t="n">
        <v>63.5</v>
      </c>
      <c r="O1145" s="28">
        <f>(N1145+F1145)/2</f>
        <v/>
      </c>
      <c r="P1145">
        <f>IF(O1145="計算不能","計算不能",IF(O1145&gt;=80,5,IF(O1145&gt;=60,4,IF(O1145&gt;=40,3,IF(O1145&gt;=28,2,1)))))</f>
        <v/>
      </c>
      <c r="Q1145" t="n">
        <v>10072</v>
      </c>
      <c r="R1145" t="n">
        <v>1460</v>
      </c>
      <c r="S1145" s="27">
        <f>R1145/Q1145</f>
        <v/>
      </c>
      <c r="T1145" t="inlineStr">
        <is>
          <t>大阪狭山市は2045年までに人口が約13.1%減と緩やかな減少局面。若年層の都市部流出と高齢化が進むが、当面の賃貸稼働は一定程度維持される見通し。</t>
        </is>
      </c>
      <c r="U1145" t="inlineStr">
        <is>
          <t>大阪狭山市は人口密度4,822人/km²の都市部で、駅周辺や生活利便施設沿いに安定した賃貸需要がある。適切な家賃設定で高稼働を期待できる。 借家の空室率は約14%と需給は比較的引き締まっている。</t>
        </is>
      </c>
      <c r="V1145" t="inlineStr">
        <is>
          <t>大阪狭山市（大阪府）：淀川・大和川水系の氾濫、上町断層帯の直下型地震、臨海部の高潮・液状化に最大級の留意。</t>
        </is>
      </c>
    </row>
    <row r="1146">
      <c r="A1146" t="inlineStr">
        <is>
          <t>大阪府</t>
        </is>
      </c>
      <c r="B1146" t="inlineStr">
        <is>
          <t>阪南市</t>
        </is>
      </c>
      <c r="C1146" t="n">
        <v>20600</v>
      </c>
      <c r="D1146" t="n">
        <v>47173</v>
      </c>
      <c r="E1146" s="6" t="n">
        <v>1319</v>
      </c>
      <c r="F1146" s="7" t="n">
        <v>61.4</v>
      </c>
      <c r="G1146" t="n">
        <v>51254</v>
      </c>
      <c r="H1146" t="n">
        <v>47173</v>
      </c>
      <c r="I1146" t="n">
        <v>43726</v>
      </c>
      <c r="J1146" t="n">
        <v>32954</v>
      </c>
      <c r="K1146" s="27">
        <f>(H1146/D1146-1)</f>
        <v/>
      </c>
      <c r="L1146" s="27">
        <f>(I1146/D1146-1)</f>
        <v/>
      </c>
      <c r="M1146" s="27">
        <f>(J1146/D1146-1)</f>
        <v/>
      </c>
      <c r="N1146" t="n">
        <v>42.7</v>
      </c>
      <c r="O1146" s="28">
        <f>(N1146+F1146)/2</f>
        <v/>
      </c>
      <c r="P1146">
        <f>IF(O1146="計算不能","計算不能",IF(O1146&gt;=80,5,IF(O1146&gt;=60,4,IF(O1146&gt;=40,3,IF(O1146&gt;=28,2,1)))))</f>
        <v/>
      </c>
      <c r="Q1146" t="n">
        <v>8356</v>
      </c>
      <c r="R1146" t="n">
        <v>1740</v>
      </c>
      <c r="S1146" s="27">
        <f>R1146/Q1146</f>
        <v/>
      </c>
      <c r="T1146" t="inlineStr">
        <is>
          <t>阪南市は2045年までに人口が約30.1%減と急激な過疎・超高齢化が進行。若年労働世代の流出と自然減が重なり、賃貸事業としての持続性は極めて限定的。</t>
        </is>
      </c>
      <c r="U1146" t="inlineStr">
        <is>
          <t>阪南市は人口密度1,319人/km²で、主要道路沿いや中心市街地に一定の賃貸需要が局在。立地選別が稼働を左右する。 借家の空室率は約21%とやや高めで、競合との差別化が必要。</t>
        </is>
      </c>
      <c r="V1146" t="inlineStr">
        <is>
          <t>阪南市（大阪府）：淀川・大和川水系の氾濫、上町断層帯の直下型地震、臨海部の高潮・液状化に最大級の留意。</t>
        </is>
      </c>
    </row>
    <row r="1147">
      <c r="A1147" t="inlineStr">
        <is>
          <t>大阪府</t>
        </is>
      </c>
      <c r="B1147" t="inlineStr">
        <is>
          <t>島本町</t>
        </is>
      </c>
      <c r="C1147" t="n">
        <v>12890</v>
      </c>
      <c r="D1147" t="n">
        <v>30879</v>
      </c>
      <c r="E1147" s="6" t="n">
        <v>1880.8</v>
      </c>
      <c r="F1147" s="7" t="n">
        <v>68.8</v>
      </c>
      <c r="G1147" t="n">
        <v>30927</v>
      </c>
      <c r="H1147" t="n">
        <v>30879</v>
      </c>
      <c r="I1147" t="n">
        <v>30576</v>
      </c>
      <c r="J1147" t="n">
        <v>28874</v>
      </c>
      <c r="K1147" s="27">
        <f>(H1147/D1147-1)</f>
        <v/>
      </c>
      <c r="L1147" s="27">
        <f>(I1147/D1147-1)</f>
        <v/>
      </c>
      <c r="M1147" s="27">
        <f>(J1147/D1147-1)</f>
        <v/>
      </c>
      <c r="N1147" t="n">
        <v>70.8</v>
      </c>
      <c r="O1147" s="28">
        <f>(N1147+F1147)/2</f>
        <v/>
      </c>
      <c r="P1147">
        <f>IF(O1147="計算不能","計算不能",IF(O1147&gt;=80,5,IF(O1147&gt;=60,4,IF(O1147&gt;=40,3,IF(O1147&gt;=28,2,1)))))</f>
        <v/>
      </c>
      <c r="Q1147" t="n">
        <v>5229</v>
      </c>
      <c r="R1147" t="n">
        <v>140</v>
      </c>
      <c r="S1147" s="27">
        <f>R1147/Q1147</f>
        <v/>
      </c>
      <c r="T1147" t="inlineStr">
        <is>
          <t>島本町は2045年までに人口が約6.5%減と緩やかな減少局面。若年層の都市部流出と高齢化が進むが、当面の賃貸稼働は一定程度維持される見通し。</t>
        </is>
      </c>
      <c r="U1147" t="inlineStr">
        <is>
          <t>島本町は人口密度1,881人/km²の都市部で、駅周辺や生活利便施設沿いに安定した賃貸需要がある。適切な家賃設定で高稼働を期待できる。 借家の空室率は約3%と需給は比較的引き締まっている。</t>
        </is>
      </c>
      <c r="V1147" t="inlineStr">
        <is>
          <t>島本町（大阪府）：淀川・大和川水系の氾濫、上町断層帯の直下型地震、臨海部の高潮・液状化に最大級の留意。</t>
        </is>
      </c>
    </row>
    <row r="1148">
      <c r="A1148" t="inlineStr">
        <is>
          <t>大阪府</t>
        </is>
      </c>
      <c r="B1148" t="inlineStr">
        <is>
          <t>豊能町</t>
        </is>
      </c>
      <c r="C1148" t="n">
        <v>7450</v>
      </c>
      <c r="D1148" t="n">
        <v>16730</v>
      </c>
      <c r="E1148" s="6" t="n">
        <v>486.5</v>
      </c>
      <c r="F1148" s="7" t="n">
        <v>44.3</v>
      </c>
      <c r="G1148" t="n">
        <v>18279</v>
      </c>
      <c r="H1148" t="n">
        <v>16730</v>
      </c>
      <c r="I1148" t="n">
        <v>14816</v>
      </c>
      <c r="J1148" t="n">
        <v>9050</v>
      </c>
      <c r="K1148" s="27">
        <f>(H1148/D1148-1)</f>
        <v/>
      </c>
      <c r="L1148" s="27">
        <f>(I1148/D1148-1)</f>
        <v/>
      </c>
      <c r="M1148" s="27">
        <f>(J1148/D1148-1)</f>
        <v/>
      </c>
      <c r="N1148" t="n">
        <v>37.4</v>
      </c>
      <c r="O1148" s="28">
        <f>(N1148+F1148)/2</f>
        <v/>
      </c>
      <c r="P1148">
        <f>IF(O1148="計算不能","計算不能",IF(O1148&gt;=80,5,IF(O1148&gt;=60,4,IF(O1148&gt;=40,3,IF(O1148&gt;=28,2,1)))))</f>
        <v/>
      </c>
      <c r="Q1148" t="n">
        <v>3022</v>
      </c>
      <c r="R1148" t="n">
        <v>40</v>
      </c>
      <c r="S1148" s="27">
        <f>R1148/Q1148</f>
        <v/>
      </c>
      <c r="T1148" t="inlineStr">
        <is>
          <t>豊能町は2045年までに人口が約45.9%減と急激な過疎・超高齢化が進行。若年労働世代の流出と自然減が重なり、賃貸事業としての持続性は極めて限定的。</t>
        </is>
      </c>
      <c r="U1148" t="inlineStr">
        <is>
          <t>豊能町は人口密度486人/km²と低密度で、賃貸需要は限定的。持ち家比率が高く、駐車場完備の戸建て賃貸が有利。 借家の空室率は約1%と需給は比較的引き締まっている。</t>
        </is>
      </c>
      <c r="V1148" t="inlineStr">
        <is>
          <t>豊能町（大阪府）：淀川・大和川水系の氾濫、上町断層帯の直下型地震、臨海部の高潮・液状化に最大級の留意。</t>
        </is>
      </c>
    </row>
    <row r="1149">
      <c r="A1149" t="inlineStr">
        <is>
          <t>大阪府</t>
        </is>
      </c>
      <c r="B1149" t="inlineStr">
        <is>
          <t>能勢町</t>
        </is>
      </c>
      <c r="C1149" t="n">
        <v>4534</v>
      </c>
      <c r="D1149" t="n">
        <v>8166</v>
      </c>
      <c r="E1149" s="6" t="n">
        <v>79.90000000000001</v>
      </c>
      <c r="F1149" s="7" t="n">
        <v>18</v>
      </c>
      <c r="G1149" t="n">
        <v>9079</v>
      </c>
      <c r="H1149" t="n">
        <v>8166</v>
      </c>
      <c r="I1149" t="n">
        <v>7276</v>
      </c>
      <c r="J1149" t="n">
        <v>4626</v>
      </c>
      <c r="K1149" s="27">
        <f>(H1149/D1149-1)</f>
        <v/>
      </c>
      <c r="L1149" s="27">
        <f>(I1149/D1149-1)</f>
        <v/>
      </c>
      <c r="M1149" s="27">
        <f>(J1149/D1149-1)</f>
        <v/>
      </c>
      <c r="N1149" t="n">
        <v>36.8</v>
      </c>
      <c r="O1149" s="28">
        <f>(N1149+F1149)/2</f>
        <v/>
      </c>
      <c r="P1149">
        <f>IF(O1149="計算不能","計算不能",IF(O1149&gt;=80,5,IF(O1149&gt;=60,4,IF(O1149&gt;=40,3,IF(O1149&gt;=28,2,1)))))</f>
        <v/>
      </c>
      <c r="Q1149" t="n">
        <v>1839</v>
      </c>
      <c r="R1149" t="n">
        <v>0</v>
      </c>
      <c r="S1149" s="27">
        <f>R1149/Q1149</f>
        <v/>
      </c>
      <c r="T1149" t="inlineStr">
        <is>
          <t>能勢町は2045年までに人口が約43.4%減と急激な過疎・超高齢化が進行。若年労働世代の流出と自然減が重なり、賃貸事業としての持続性は極めて限定的。</t>
        </is>
      </c>
      <c r="U1149" t="inlineStr">
        <is>
          <t>能勢町は人口密度80人/km²と過疎的水準で、民間賃貸の新規需要は薄い。実需に裏付けられた格安戸建ての指値取得のみが現実的。 借家の空室率は約0%と需給は比較的引き締まっている。</t>
        </is>
      </c>
      <c r="V1149" t="inlineStr">
        <is>
          <t>能勢町（大阪府）：淀川・大和川水系の氾濫、上町断層帯の直下型地震、臨海部の高潮・液状化に最大級の留意。</t>
        </is>
      </c>
    </row>
    <row r="1150">
      <c r="A1150" t="inlineStr">
        <is>
          <t>大阪府</t>
        </is>
      </c>
      <c r="B1150" t="inlineStr">
        <is>
          <t>忠岡町</t>
        </is>
      </c>
      <c r="C1150" t="n">
        <v>6780</v>
      </c>
      <c r="D1150" t="n">
        <v>15884</v>
      </c>
      <c r="E1150" s="6" t="n">
        <v>3939.5</v>
      </c>
      <c r="F1150" s="7" t="n">
        <v>80</v>
      </c>
      <c r="G1150" t="n">
        <v>16567</v>
      </c>
      <c r="H1150" t="n">
        <v>15884</v>
      </c>
      <c r="I1150" t="n">
        <v>15092</v>
      </c>
      <c r="J1150" t="n">
        <v>12548</v>
      </c>
      <c r="K1150" s="27">
        <f>(H1150/D1150-1)</f>
        <v/>
      </c>
      <c r="L1150" s="27">
        <f>(I1150/D1150-1)</f>
        <v/>
      </c>
      <c r="M1150" s="27">
        <f>(J1150/D1150-1)</f>
        <v/>
      </c>
      <c r="N1150" t="n">
        <v>53.3</v>
      </c>
      <c r="O1150" s="28">
        <f>(N1150+F1150)/2</f>
        <v/>
      </c>
      <c r="P1150">
        <f>IF(O1150="計算不能","計算不能",IF(O1150&gt;=80,5,IF(O1150&gt;=60,4,IF(O1150&gt;=40,3,IF(O1150&gt;=28,2,1)))))</f>
        <v/>
      </c>
      <c r="Q1150" t="n">
        <v>2750</v>
      </c>
      <c r="R1150" t="n">
        <v>680</v>
      </c>
      <c r="S1150" s="27">
        <f>R1150/Q1150</f>
        <v/>
      </c>
      <c r="T1150" t="inlineStr">
        <is>
          <t>忠岡町は2045年までに人口が約21.0%減と明確な減少トレンド。高齢化の進行と世帯数の縮小により、中長期では賃貸需要の構造的縮小に警戒が必要。</t>
        </is>
      </c>
      <c r="U1150" t="inlineStr">
        <is>
          <t>忠岡町は人口密度3,940人/km²の都市部で、駅周辺や生活利便施設沿いに安定した賃貸需要がある。適切な家賃設定で高稼働を期待できる。 借家の空室率は約25%とやや高めで、競合との差別化が必要。</t>
        </is>
      </c>
      <c r="V1150" t="inlineStr">
        <is>
          <t>忠岡町（大阪府）：淀川・大和川水系の氾濫、上町断層帯の直下型地震、臨海部の高潮・液状化に最大級の留意。</t>
        </is>
      </c>
    </row>
    <row r="1151">
      <c r="A1151" t="inlineStr">
        <is>
          <t>大阪府</t>
        </is>
      </c>
      <c r="B1151" t="inlineStr">
        <is>
          <t>熊取町</t>
        </is>
      </c>
      <c r="C1151" t="n">
        <v>17420</v>
      </c>
      <c r="D1151" t="n">
        <v>42647</v>
      </c>
      <c r="E1151" s="6" t="n">
        <v>2465.8</v>
      </c>
      <c r="F1151" s="7" t="n">
        <v>74.7</v>
      </c>
      <c r="G1151" t="n">
        <v>43763</v>
      </c>
      <c r="H1151" t="n">
        <v>42647</v>
      </c>
      <c r="I1151" t="n">
        <v>40989</v>
      </c>
      <c r="J1151" t="n">
        <v>35254</v>
      </c>
      <c r="K1151" s="27">
        <f>(H1151/D1151-1)</f>
        <v/>
      </c>
      <c r="L1151" s="27">
        <f>(I1151/D1151-1)</f>
        <v/>
      </c>
      <c r="M1151" s="27">
        <f>(J1151/D1151-1)</f>
        <v/>
      </c>
      <c r="N1151" t="n">
        <v>58.8</v>
      </c>
      <c r="O1151" s="28">
        <f>(N1151+F1151)/2</f>
        <v/>
      </c>
      <c r="P1151">
        <f>IF(O1151="計算不能","計算不能",IF(O1151&gt;=80,5,IF(O1151&gt;=60,4,IF(O1151&gt;=40,3,IF(O1151&gt;=28,2,1)))))</f>
        <v/>
      </c>
      <c r="Q1151" t="n">
        <v>7066</v>
      </c>
      <c r="R1151" t="n">
        <v>740</v>
      </c>
      <c r="S1151" s="27">
        <f>R1151/Q1151</f>
        <v/>
      </c>
      <c r="T1151" t="inlineStr">
        <is>
          <t>熊取町は2045年までに人口が約17.3%減と明確な減少トレンド。高齢化の進行と世帯数の縮小により、中長期では賃貸需要の構造的縮小に警戒が必要。</t>
        </is>
      </c>
      <c r="U1151" t="inlineStr">
        <is>
          <t>熊取町は人口密度2,466人/km²の都市部で、駅周辺や生活利便施設沿いに安定した賃貸需要がある。適切な家賃設定で高稼働を期待できる。 借家の空室率は約10%と需給は比較的引き締まっている。</t>
        </is>
      </c>
      <c r="V1151" t="inlineStr">
        <is>
          <t>熊取町（大阪府）：淀川・大和川水系の氾濫、上町断層帯の直下型地震、臨海部の高潮・液状化に最大級の留意。</t>
        </is>
      </c>
    </row>
    <row r="1152">
      <c r="A1152" t="inlineStr">
        <is>
          <t>大阪府</t>
        </is>
      </c>
      <c r="B1152" t="inlineStr">
        <is>
          <t>田尻町</t>
        </is>
      </c>
      <c r="C1152" t="n">
        <v>4258</v>
      </c>
      <c r="D1152" t="n">
        <v>8422</v>
      </c>
      <c r="E1152" s="6" t="n">
        <v>1442.9</v>
      </c>
      <c r="F1152" s="7" t="n">
        <v>63.9</v>
      </c>
      <c r="G1152" t="n">
        <v>8434</v>
      </c>
      <c r="H1152" t="n">
        <v>8422</v>
      </c>
      <c r="I1152" t="n">
        <v>8291</v>
      </c>
      <c r="J1152" t="n">
        <v>7822</v>
      </c>
      <c r="K1152" s="27">
        <f>(H1152/D1152-1)</f>
        <v/>
      </c>
      <c r="L1152" s="27">
        <f>(I1152/D1152-1)</f>
        <v/>
      </c>
      <c r="M1152" s="27">
        <f>(J1152/D1152-1)</f>
        <v/>
      </c>
      <c r="N1152" t="n">
        <v>70.09999999999999</v>
      </c>
      <c r="O1152" s="28">
        <f>(N1152+F1152)/2</f>
        <v/>
      </c>
      <c r="P1152">
        <f>IF(O1152="計算不能","計算不能",IF(O1152&gt;=80,5,IF(O1152&gt;=60,4,IF(O1152&gt;=40,3,IF(O1152&gt;=28,2,1)))))</f>
        <v/>
      </c>
      <c r="Q1152" t="n">
        <v>1727</v>
      </c>
      <c r="R1152" t="n">
        <v>0</v>
      </c>
      <c r="S1152" s="27">
        <f>R1152/Q1152</f>
        <v/>
      </c>
      <c r="T1152" t="inlineStr">
        <is>
          <t>田尻町は2045年までに人口が約7.1%減と緩やかな減少局面。若年層の都市部流出と高齢化が進むが、当面の賃貸稼働は一定程度維持される見通し。</t>
        </is>
      </c>
      <c r="U1152" t="inlineStr">
        <is>
          <t>田尻町は人口密度1,443人/km²で、主要道路沿いや中心市街地に一定の賃貸需要が局在。立地選別が稼働を左右する。 借家の空室率は約0%と需給は比較的引き締まっている。</t>
        </is>
      </c>
      <c r="V1152" t="inlineStr">
        <is>
          <t>田尻町（大阪府）：淀川・大和川水系の氾濫、上町断層帯の直下型地震、臨海部の高潮・液状化に最大級の留意。</t>
        </is>
      </c>
    </row>
    <row r="1153">
      <c r="A1153" t="inlineStr">
        <is>
          <t>大阪府</t>
        </is>
      </c>
      <c r="B1153" t="inlineStr">
        <is>
          <t>岬町</t>
        </is>
      </c>
      <c r="C1153" t="n">
        <v>7376</v>
      </c>
      <c r="D1153" t="n">
        <v>13436</v>
      </c>
      <c r="E1153" s="6" t="n">
        <v>265.9</v>
      </c>
      <c r="F1153" s="7" t="n">
        <v>33.3</v>
      </c>
      <c r="G1153" t="n">
        <v>14741</v>
      </c>
      <c r="H1153" t="n">
        <v>13436</v>
      </c>
      <c r="I1153" t="n">
        <v>12107</v>
      </c>
      <c r="J1153" t="n">
        <v>8379</v>
      </c>
      <c r="K1153" s="27">
        <f>(H1153/D1153-1)</f>
        <v/>
      </c>
      <c r="L1153" s="27">
        <f>(I1153/D1153-1)</f>
        <v/>
      </c>
      <c r="M1153" s="27">
        <f>(J1153/D1153-1)</f>
        <v/>
      </c>
      <c r="N1153" t="n">
        <v>39.4</v>
      </c>
      <c r="O1153" s="28">
        <f>(N1153+F1153)/2</f>
        <v/>
      </c>
      <c r="P1153">
        <f>IF(O1153="計算不能","計算不能",IF(O1153&gt;=80,5,IF(O1153&gt;=60,4,IF(O1153&gt;=40,3,IF(O1153&gt;=28,2,1)))))</f>
        <v/>
      </c>
      <c r="Q1153" t="n">
        <v>2992</v>
      </c>
      <c r="R1153" t="n">
        <v>0</v>
      </c>
      <c r="S1153" s="27">
        <f>R1153/Q1153</f>
        <v/>
      </c>
      <c r="T1153" t="inlineStr">
        <is>
          <t>岬町は2045年までに人口が約37.6%減と急激な過疎・超高齢化が進行。若年労働世代の流出と自然減が重なり、賃貸事業としての持続性は極めて限定的。</t>
        </is>
      </c>
      <c r="U1153" t="inlineStr">
        <is>
          <t>岬町は人口密度266人/km²と低密度で、賃貸需要は限定的。持ち家比率が高く、駐車場完備の戸建て賃貸が有利。 借家の空室率は約0%と需給は比較的引き締まっている。</t>
        </is>
      </c>
      <c r="V1153" t="inlineStr">
        <is>
          <t>岬町（大阪府）：淀川・大和川水系の氾濫、上町断層帯の直下型地震、臨海部の高潮・液状化に最大級の留意。</t>
        </is>
      </c>
    </row>
    <row r="1154">
      <c r="A1154" t="inlineStr">
        <is>
          <t>大阪府</t>
        </is>
      </c>
      <c r="B1154" t="inlineStr">
        <is>
          <t>太子町</t>
        </is>
      </c>
      <c r="C1154" t="n">
        <v>14281</v>
      </c>
      <c r="D1154" t="n">
        <v>12313</v>
      </c>
      <c r="E1154" s="6" t="n">
        <v>1442.4</v>
      </c>
      <c r="F1154" s="7" t="n">
        <v>63.8</v>
      </c>
      <c r="G1154" t="n">
        <v>13009</v>
      </c>
      <c r="H1154" t="n">
        <v>12313</v>
      </c>
      <c r="I1154" t="n">
        <v>11526</v>
      </c>
      <c r="J1154" t="n">
        <v>8987</v>
      </c>
      <c r="K1154" s="27">
        <f>(H1154/D1154-1)</f>
        <v/>
      </c>
      <c r="L1154" s="27">
        <f>(I1154/D1154-1)</f>
        <v/>
      </c>
      <c r="M1154" s="27">
        <f>(J1154/D1154-1)</f>
        <v/>
      </c>
      <c r="N1154" t="n">
        <v>47.3</v>
      </c>
      <c r="O1154" s="28">
        <f>(N1154+F1154)/2</f>
        <v/>
      </c>
      <c r="P1154">
        <f>IF(O1154="計算不能","計算不能",IF(O1154&gt;=80,5,IF(O1154&gt;=60,4,IF(O1154&gt;=40,3,IF(O1154&gt;=28,2,1)))))</f>
        <v/>
      </c>
      <c r="Q1154" t="n">
        <v>5793</v>
      </c>
      <c r="R1154" t="n">
        <v>0</v>
      </c>
      <c r="S1154" s="27">
        <f>R1154/Q1154</f>
        <v/>
      </c>
      <c r="T1154" t="inlineStr">
        <is>
          <t>太子町は2045年までに人口が約27.0%減と明確な減少トレンド。高齢化の進行と世帯数の縮小により、中長期では賃貸需要の構造的縮小に警戒が必要。</t>
        </is>
      </c>
      <c r="U1154" t="inlineStr">
        <is>
          <t>太子町は人口密度1,442人/km²で、主要道路沿いや中心市街地に一定の賃貸需要が局在。立地選別が稼働を左右する。 借家の空室率は約0%と需給は比較的引き締まっている。</t>
        </is>
      </c>
      <c r="V1154" t="inlineStr">
        <is>
          <t>太子町（大阪府）：淀川・大和川水系の氾濫、上町断層帯の直下型地震、臨海部の高潮・液状化に最大級の留意。</t>
        </is>
      </c>
    </row>
    <row r="1155">
      <c r="A1155" t="inlineStr">
        <is>
          <t>大阪府</t>
        </is>
      </c>
      <c r="B1155" t="inlineStr">
        <is>
          <t>河南町</t>
        </is>
      </c>
      <c r="C1155" t="n">
        <v>6460</v>
      </c>
      <c r="D1155" t="n">
        <v>14751</v>
      </c>
      <c r="E1155" s="6" t="n">
        <v>574</v>
      </c>
      <c r="F1155" s="7" t="n">
        <v>46.5</v>
      </c>
      <c r="G1155" t="n">
        <v>15697</v>
      </c>
      <c r="H1155" t="n">
        <v>14751</v>
      </c>
      <c r="I1155" t="n">
        <v>13812</v>
      </c>
      <c r="J1155" t="n">
        <v>10923</v>
      </c>
      <c r="K1155" s="27">
        <f>(H1155/D1155-1)</f>
        <v/>
      </c>
      <c r="L1155" s="27">
        <f>(I1155/D1155-1)</f>
        <v/>
      </c>
      <c r="M1155" s="27">
        <f>(J1155/D1155-1)</f>
        <v/>
      </c>
      <c r="N1155" t="n">
        <v>46.6</v>
      </c>
      <c r="O1155" s="28">
        <f>(N1155+F1155)/2</f>
        <v/>
      </c>
      <c r="P1155">
        <f>IF(O1155="計算不能","計算不能",IF(O1155&gt;=80,5,IF(O1155&gt;=60,4,IF(O1155&gt;=40,3,IF(O1155&gt;=28,2,1)))))</f>
        <v/>
      </c>
      <c r="Q1155" t="n">
        <v>2620</v>
      </c>
      <c r="R1155" t="n">
        <v>290</v>
      </c>
      <c r="S1155" s="27">
        <f>R1155/Q1155</f>
        <v/>
      </c>
      <c r="T1155" t="inlineStr">
        <is>
          <t>河南町は2045年までに人口が約26.0%減と明確な減少トレンド。高齢化の進行と世帯数の縮小により、中長期では賃貸需要の構造的縮小に警戒が必要。</t>
        </is>
      </c>
      <c r="U1155" t="inlineStr">
        <is>
          <t>河南町は人口密度574人/km²で、主要道路沿いや中心市街地に一定の賃貸需要が局在。立地選別が稼働を左右する。 借家の空室率は約11%と需給は比較的引き締まっている。</t>
        </is>
      </c>
      <c r="V1155" t="inlineStr">
        <is>
          <t>河南町（大阪府）：淀川・大和川水系の氾濫、上町断層帯の直下型地震、臨海部の高潮・液状化に最大級の留意。</t>
        </is>
      </c>
    </row>
    <row r="1156">
      <c r="A1156" t="inlineStr">
        <is>
          <t>大阪府</t>
        </is>
      </c>
      <c r="B1156" t="inlineStr">
        <is>
          <t>千早赤阪村</t>
        </is>
      </c>
      <c r="C1156" t="n">
        <v>2246</v>
      </c>
      <c r="D1156" t="n">
        <v>4399</v>
      </c>
      <c r="E1156" s="6" t="n">
        <v>114.6</v>
      </c>
      <c r="F1156" s="7" t="n">
        <v>21.5</v>
      </c>
      <c r="G1156" t="n">
        <v>4909</v>
      </c>
      <c r="H1156" t="n">
        <v>4399</v>
      </c>
      <c r="I1156" t="n">
        <v>3875</v>
      </c>
      <c r="J1156" t="n">
        <v>2425</v>
      </c>
      <c r="K1156" s="27">
        <f>(H1156/D1156-1)</f>
        <v/>
      </c>
      <c r="L1156" s="27">
        <f>(I1156/D1156-1)</f>
        <v/>
      </c>
      <c r="M1156" s="27">
        <f>(J1156/D1156-1)</f>
        <v/>
      </c>
      <c r="N1156" t="n">
        <v>35.8</v>
      </c>
      <c r="O1156" s="28">
        <f>(N1156+F1156)/2</f>
        <v/>
      </c>
      <c r="P1156">
        <f>IF(O1156="計算不能","計算不能",IF(O1156&gt;=80,5,IF(O1156&gt;=60,4,IF(O1156&gt;=40,3,IF(O1156&gt;=28,2,1)))))</f>
        <v/>
      </c>
      <c r="Q1156" t="n">
        <v>911</v>
      </c>
      <c r="R1156" t="n">
        <v>0</v>
      </c>
      <c r="S1156" s="27">
        <f>R1156/Q1156</f>
        <v/>
      </c>
      <c r="T1156" t="inlineStr">
        <is>
          <t>千早赤阪村は2045年までに人口が約44.9%減と急激な過疎・超高齢化が進行。若年労働世代の流出と自然減が重なり、賃貸事業としての持続性は極めて限定的。</t>
        </is>
      </c>
      <c r="U1156" t="inlineStr">
        <is>
          <t>千早赤阪村は人口密度115人/km²と過疎的水準で、民間賃貸の新規需要は薄い。実需に裏付けられた格安戸建ての指値取得のみが現実的。 借家の空室率は約0%と需給は比較的引き締まっている。</t>
        </is>
      </c>
      <c r="V1156" t="inlineStr">
        <is>
          <t>千早赤阪村（大阪府）：淀川・大和川水系の氾濫、上町断層帯の直下型地震、臨海部の高潮・液状化に最大級の留意。</t>
        </is>
      </c>
    </row>
    <row r="1157">
      <c r="A1157" t="inlineStr">
        <is>
          <t>兵庫県</t>
        </is>
      </c>
      <c r="B1157" t="inlineStr">
        <is>
          <t>神戸市</t>
        </is>
      </c>
      <c r="C1157" t="n">
        <v>734100</v>
      </c>
      <c r="D1157" t="n">
        <v>1480143</v>
      </c>
      <c r="E1157" s="6" t="n">
        <v>2689.1</v>
      </c>
      <c r="F1157" s="7" t="n">
        <v>76.90000000000001</v>
      </c>
      <c r="G1157" t="n">
        <v>1525152</v>
      </c>
      <c r="H1157" t="n">
        <v>1480143</v>
      </c>
      <c r="I1157" t="n">
        <v>1440480</v>
      </c>
      <c r="J1157" t="n">
        <v>1289003</v>
      </c>
      <c r="K1157" s="27">
        <f>(H1157/D1157-1)</f>
        <v/>
      </c>
      <c r="L1157" s="27">
        <f>(I1157/D1157-1)</f>
        <v/>
      </c>
      <c r="M1157" s="27">
        <f>(J1157/D1157-1)</f>
        <v/>
      </c>
      <c r="N1157" t="n">
        <v>61</v>
      </c>
      <c r="O1157" s="28">
        <f>(N1157+F1157)/2</f>
        <v/>
      </c>
      <c r="P1157">
        <f>IF(O1157="計算不能","計算不能",IF(O1157&gt;=80,5,IF(O1157&gt;=60,4,IF(O1157&gt;=40,3,IF(O1157&gt;=28,2,1)))))</f>
        <v/>
      </c>
      <c r="Q1157" t="n">
        <v>278100</v>
      </c>
      <c r="R1157" t="n">
        <v>70000</v>
      </c>
      <c r="S1157" s="27">
        <f>R1157/Q1157</f>
        <v/>
      </c>
      <c r="T1157" t="inlineStr">
        <is>
          <t>神戸市は2045年までに人口が約12.9%減と緩やかな減少局面。若年層の都市部流出と高齢化が進むが、当面の賃貸稼働は一定程度維持される見通し。</t>
        </is>
      </c>
      <c r="U1157" t="inlineStr">
        <is>
          <t>神戸市は人口密度2,689人/km²の都市部で、駅周辺や生活利便施設沿いに安定した賃貸需要がある。適切な家賃設定で高稼働を期待できる。 借家の空室率は約25%と供給過多気味で、空室長期化リスクに要警戒。</t>
        </is>
      </c>
      <c r="V1157" t="inlineStr">
        <is>
          <t>神戸市（兵庫県）：武庫川・加古川の氾濫、瀬戸内・日本海双方の災害特性、六甲山系の土砂災害、活断層地震に注意。</t>
        </is>
      </c>
    </row>
    <row r="1158">
      <c r="A1158" t="inlineStr">
        <is>
          <t>兵庫県</t>
        </is>
      </c>
      <c r="B1158" t="inlineStr">
        <is>
          <t>姫路市</t>
        </is>
      </c>
      <c r="C1158" t="n">
        <v>228230</v>
      </c>
      <c r="D1158" t="n">
        <v>519967</v>
      </c>
      <c r="E1158" s="6" t="n">
        <v>969.6</v>
      </c>
      <c r="F1158" s="7" t="n">
        <v>54.4</v>
      </c>
      <c r="G1158" t="n">
        <v>530495</v>
      </c>
      <c r="H1158" t="n">
        <v>519967</v>
      </c>
      <c r="I1158" t="n">
        <v>506147</v>
      </c>
      <c r="J1158" t="n">
        <v>455255</v>
      </c>
      <c r="K1158" s="27">
        <f>(H1158/D1158-1)</f>
        <v/>
      </c>
      <c r="L1158" s="27">
        <f>(I1158/D1158-1)</f>
        <v/>
      </c>
      <c r="M1158" s="27">
        <f>(J1158/D1158-1)</f>
        <v/>
      </c>
      <c r="N1158" t="n">
        <v>63.1</v>
      </c>
      <c r="O1158" s="28">
        <f>(N1158+F1158)/2</f>
        <v/>
      </c>
      <c r="P1158">
        <f>IF(O1158="計算不能","計算不能",IF(O1158&gt;=80,5,IF(O1158&gt;=60,4,IF(O1158&gt;=40,3,IF(O1158&gt;=28,2,1)))))</f>
        <v/>
      </c>
      <c r="Q1158" t="n">
        <v>71800</v>
      </c>
      <c r="R1158" t="n">
        <v>19550</v>
      </c>
      <c r="S1158" s="27">
        <f>R1158/Q1158</f>
        <v/>
      </c>
      <c r="T1158" t="inlineStr">
        <is>
          <t>姫路市は2045年までに人口が約12.4%減と緩やかな減少局面。若年層の都市部流出と高齢化が進むが、当面の賃貸稼働は一定程度維持される見通し。</t>
        </is>
      </c>
      <c r="U1158" t="inlineStr">
        <is>
          <t>姫路市は人口密度970人/km²で、主要道路沿いや中心市街地に一定の賃貸需要が局在。立地選別が稼働を左右する。 借家の空室率は約27%と供給過多気味で、空室長期化リスクに要警戒。</t>
        </is>
      </c>
      <c r="V1158" t="inlineStr">
        <is>
          <t>姫路市（兵庫県）：武庫川・加古川の氾濫、瀬戸内・日本海双方の災害特性、六甲山系の土砂災害、活断層地震に注意。</t>
        </is>
      </c>
    </row>
    <row r="1159">
      <c r="A1159" t="inlineStr">
        <is>
          <t>兵庫県</t>
        </is>
      </c>
      <c r="B1159" t="inlineStr">
        <is>
          <t>尼崎市</t>
        </is>
      </c>
      <c r="C1159" t="n">
        <v>223900</v>
      </c>
      <c r="D1159" t="n">
        <v>452808</v>
      </c>
      <c r="E1159" s="6" t="n">
        <v>9017</v>
      </c>
      <c r="F1159" s="7" t="n">
        <v>98</v>
      </c>
      <c r="G1159" t="n">
        <v>459593</v>
      </c>
      <c r="H1159" t="n">
        <v>452808</v>
      </c>
      <c r="I1159" t="n">
        <v>442958</v>
      </c>
      <c r="J1159" t="n">
        <v>406852</v>
      </c>
      <c r="K1159" s="27">
        <f>(H1159/D1159-1)</f>
        <v/>
      </c>
      <c r="L1159" s="27">
        <f>(I1159/D1159-1)</f>
        <v/>
      </c>
      <c r="M1159" s="27">
        <f>(J1159/D1159-1)</f>
        <v/>
      </c>
      <c r="N1159" t="n">
        <v>65.5</v>
      </c>
      <c r="O1159" s="28">
        <f>(N1159+F1159)/2</f>
        <v/>
      </c>
      <c r="P1159">
        <f>IF(O1159="計算不能","計算不能",IF(O1159&gt;=80,5,IF(O1159&gt;=60,4,IF(O1159&gt;=40,3,IF(O1159&gt;=28,2,1)))))</f>
        <v/>
      </c>
      <c r="Q1159" t="n">
        <v>70437</v>
      </c>
      <c r="R1159" t="n">
        <v>22640</v>
      </c>
      <c r="S1159" s="27">
        <f>R1159/Q1159</f>
        <v/>
      </c>
      <c r="T1159" t="inlineStr">
        <is>
          <t>尼崎市は2045年までに人口が約10.1%減と緩やかな減少局面。若年層の都市部流出と高齢化が進むが、当面の賃貸稼働は一定程度維持される見通し。</t>
        </is>
      </c>
      <c r="U1159" t="inlineStr">
        <is>
          <t>尼崎市は人口密度9,017人/km²の高密度市街地で、駅近ワンルームからファミリー向けまで極めて強い賃貸実需が存在。資産流動性・出口戦略の容易さも高い。 借家の空室率は約32%と供給過多気味で、空室長期化リスクに要警戒。</t>
        </is>
      </c>
      <c r="V1159" t="inlineStr">
        <is>
          <t>尼崎市（兵庫県）：武庫川・加古川の氾濫、瀬戸内・日本海双方の災害特性、六甲山系の土砂災害、活断層地震に注意。</t>
        </is>
      </c>
    </row>
    <row r="1160">
      <c r="A1160" t="inlineStr">
        <is>
          <t>兵庫県</t>
        </is>
      </c>
      <c r="B1160" t="inlineStr">
        <is>
          <t>明石市</t>
        </is>
      </c>
      <c r="C1160" t="n">
        <v>138210</v>
      </c>
      <c r="D1160" t="n">
        <v>305438</v>
      </c>
      <c r="E1160" s="6" t="n">
        <v>6214.2</v>
      </c>
      <c r="F1160" s="7" t="n">
        <v>92.40000000000001</v>
      </c>
      <c r="G1160" t="n">
        <v>303601</v>
      </c>
      <c r="H1160" t="n">
        <v>305438</v>
      </c>
      <c r="I1160" t="n">
        <v>300637</v>
      </c>
      <c r="J1160" t="n">
        <v>278846</v>
      </c>
      <c r="K1160" s="27">
        <f>(H1160/D1160-1)</f>
        <v/>
      </c>
      <c r="L1160" s="27">
        <f>(I1160/D1160-1)</f>
        <v/>
      </c>
      <c r="M1160" s="27">
        <f>(J1160/D1160-1)</f>
        <v/>
      </c>
      <c r="N1160" t="n">
        <v>70.7</v>
      </c>
      <c r="O1160" s="28">
        <f>(N1160+F1160)/2</f>
        <v/>
      </c>
      <c r="P1160">
        <f>IF(O1160="計算不能","計算不能",IF(O1160&gt;=80,5,IF(O1160&gt;=60,4,IF(O1160&gt;=40,3,IF(O1160&gt;=28,2,1)))))</f>
        <v/>
      </c>
      <c r="Q1160" t="n">
        <v>43480</v>
      </c>
      <c r="R1160" t="n">
        <v>9210</v>
      </c>
      <c r="S1160" s="27">
        <f>R1160/Q1160</f>
        <v/>
      </c>
      <c r="T1160" t="inlineStr">
        <is>
          <t>明石市は2045年までに人口が約8.7%減と緩やかな減少局面。若年層の都市部流出と高齢化が進むが、当面の賃貸稼働は一定程度維持される見通し。</t>
        </is>
      </c>
      <c r="U1160" t="inlineStr">
        <is>
          <t>明石市は人口密度6,214人/km²の高密度市街地で、駅近ワンルームからファミリー向けまで極めて強い賃貸実需が存在。資産流動性・出口戦略の容易さも高い。 借家の空室率は約21%とやや高めで、競合との差別化が必要。</t>
        </is>
      </c>
      <c r="V1160" t="inlineStr">
        <is>
          <t>明石市（兵庫県）：武庫川・加古川の氾濫、瀬戸内・日本海双方の災害特性、六甲山系の土砂災害、活断層地震に注意。</t>
        </is>
      </c>
    </row>
    <row r="1161">
      <c r="A1161" t="inlineStr">
        <is>
          <t>兵庫県</t>
        </is>
      </c>
      <c r="B1161" t="inlineStr">
        <is>
          <t>西宮市</t>
        </is>
      </c>
      <c r="C1161" t="n">
        <v>217070</v>
      </c>
      <c r="D1161" t="n">
        <v>484472</v>
      </c>
      <c r="E1161" s="6" t="n">
        <v>4830.8</v>
      </c>
      <c r="F1161" s="7" t="n">
        <v>80</v>
      </c>
      <c r="G1161" t="n">
        <v>485587</v>
      </c>
      <c r="H1161" t="n">
        <v>484472</v>
      </c>
      <c r="I1161" t="n">
        <v>478834</v>
      </c>
      <c r="J1161" t="n">
        <v>452587</v>
      </c>
      <c r="K1161" s="27">
        <f>(H1161/D1161-1)</f>
        <v/>
      </c>
      <c r="L1161" s="27">
        <f>(I1161/D1161-1)</f>
        <v/>
      </c>
      <c r="M1161" s="27">
        <f>(J1161/D1161-1)</f>
        <v/>
      </c>
      <c r="N1161" t="n">
        <v>70.40000000000001</v>
      </c>
      <c r="O1161" s="28">
        <f>(N1161+F1161)/2</f>
        <v/>
      </c>
      <c r="P1161">
        <f>IF(O1161="計算不能","計算不能",IF(O1161&gt;=80,5,IF(O1161&gt;=60,4,IF(O1161&gt;=40,3,IF(O1161&gt;=28,2,1)))))</f>
        <v/>
      </c>
      <c r="Q1161" t="n">
        <v>68289</v>
      </c>
      <c r="R1161" t="n">
        <v>10970</v>
      </c>
      <c r="S1161" s="27">
        <f>R1161/Q1161</f>
        <v/>
      </c>
      <c r="T1161" t="inlineStr">
        <is>
          <t>西宮市は2045年までに人口が約6.6%減と緩やかな減少局面。若年層の都市部流出と高齢化が進むが、当面の賃貸稼働は一定程度維持される見通し。</t>
        </is>
      </c>
      <c r="U1161" t="inlineStr">
        <is>
          <t>西宮市は人口密度4,831人/km²の都市部で、駅周辺や生活利便施設沿いに安定した賃貸需要がある。適切な家賃設定で高稼働を期待できる。 借家の空室率は約16%と需給は比較的引き締まっている。</t>
        </is>
      </c>
      <c r="V1161" t="inlineStr">
        <is>
          <t>西宮市（兵庫県）：武庫川・加古川の氾濫、瀬戸内・日本海双方の災害特性、六甲山系の土砂災害、活断層地震に注意。</t>
        </is>
      </c>
    </row>
    <row r="1162">
      <c r="A1162" t="inlineStr">
        <is>
          <t>兵庫県</t>
        </is>
      </c>
      <c r="B1162" t="inlineStr">
        <is>
          <t>洲本市</t>
        </is>
      </c>
      <c r="C1162" t="n">
        <v>17830</v>
      </c>
      <c r="D1162" t="n">
        <v>38270</v>
      </c>
      <c r="E1162" s="6" t="n">
        <v>211.8</v>
      </c>
      <c r="F1162" s="7" t="n">
        <v>30.6</v>
      </c>
      <c r="G1162" t="n">
        <v>41236</v>
      </c>
      <c r="H1162" t="n">
        <v>38270</v>
      </c>
      <c r="I1162" t="n">
        <v>35308</v>
      </c>
      <c r="J1162" t="n">
        <v>26550</v>
      </c>
      <c r="K1162" s="27">
        <f>(H1162/D1162-1)</f>
        <v/>
      </c>
      <c r="L1162" s="27">
        <f>(I1162/D1162-1)</f>
        <v/>
      </c>
      <c r="M1162" s="27">
        <f>(J1162/D1162-1)</f>
        <v/>
      </c>
      <c r="N1162" t="n">
        <v>43.2</v>
      </c>
      <c r="O1162" s="28">
        <f>(N1162+F1162)/2</f>
        <v/>
      </c>
      <c r="P1162">
        <f>IF(O1162="計算不能","計算不能",IF(O1162&gt;=80,5,IF(O1162&gt;=60,4,IF(O1162&gt;=40,3,IF(O1162&gt;=28,2,1)))))</f>
        <v/>
      </c>
      <c r="Q1162" t="n">
        <v>5609</v>
      </c>
      <c r="R1162" t="n">
        <v>1420</v>
      </c>
      <c r="S1162" s="27">
        <f>R1162/Q1162</f>
        <v/>
      </c>
      <c r="T1162" t="inlineStr">
        <is>
          <t>洲本市は2045年までに人口が約30.6%減と急激な過疎・超高齢化が進行。若年労働世代の流出と自然減が重なり、賃貸事業としての持続性は極めて限定的。</t>
        </is>
      </c>
      <c r="U1162" t="inlineStr">
        <is>
          <t>洲本市は人口密度212人/km²と低密度で、賃貸需要は限定的。持ち家比率が高く、駐車場完備の戸建て賃貸が有利。 借家の空室率は約25%と供給過多気味で、空室長期化リスクに要警戒。</t>
        </is>
      </c>
      <c r="V1162" t="inlineStr">
        <is>
          <t>洲本市（兵庫県）：武庫川・加古川の氾濫、瀬戸内・日本海双方の災害特性、六甲山系の土砂災害、活断層地震に注意。</t>
        </is>
      </c>
    </row>
    <row r="1163">
      <c r="A1163" t="inlineStr">
        <is>
          <t>兵庫県</t>
        </is>
      </c>
      <c r="B1163" t="inlineStr">
        <is>
          <t>芦屋市</t>
        </is>
      </c>
      <c r="C1163" t="n">
        <v>43100</v>
      </c>
      <c r="D1163" t="n">
        <v>92900</v>
      </c>
      <c r="E1163" s="6" t="n">
        <v>4965</v>
      </c>
      <c r="F1163" s="7" t="n">
        <v>80</v>
      </c>
      <c r="G1163" t="n">
        <v>93922</v>
      </c>
      <c r="H1163" t="n">
        <v>92900</v>
      </c>
      <c r="I1163" t="n">
        <v>91013</v>
      </c>
      <c r="J1163" t="n">
        <v>84738</v>
      </c>
      <c r="K1163" s="27">
        <f>(H1163/D1163-1)</f>
        <v/>
      </c>
      <c r="L1163" s="27">
        <f>(I1163/D1163-1)</f>
        <v/>
      </c>
      <c r="M1163" s="27">
        <f>(J1163/D1163-1)</f>
        <v/>
      </c>
      <c r="N1163" t="n">
        <v>67.09999999999999</v>
      </c>
      <c r="O1163" s="28">
        <f>(N1163+F1163)/2</f>
        <v/>
      </c>
      <c r="P1163">
        <f>IF(O1163="計算不能","計算不能",IF(O1163&gt;=80,5,IF(O1163&gt;=60,4,IF(O1163&gt;=40,3,IF(O1163&gt;=28,2,1)))))</f>
        <v/>
      </c>
      <c r="Q1163" t="n">
        <v>13559</v>
      </c>
      <c r="R1163" t="n">
        <v>3380</v>
      </c>
      <c r="S1163" s="27">
        <f>R1163/Q1163</f>
        <v/>
      </c>
      <c r="T1163" t="inlineStr">
        <is>
          <t>芦屋市は2045年までに人口が約8.8%減と緩やかな減少局面。若年層の都市部流出と高齢化が進むが、当面の賃貸稼働は一定程度維持される見通し。</t>
        </is>
      </c>
      <c r="U1163" t="inlineStr">
        <is>
          <t>芦屋市は人口密度4,965人/km²の都市部で、駅周辺や生活利便施設沿いに安定した賃貸需要がある。適切な家賃設定で高稼働を期待できる。 借家の空室率は約25%とやや高めで、競合との差別化が必要。</t>
        </is>
      </c>
      <c r="V1163" t="inlineStr">
        <is>
          <t>芦屋市（兵庫県）：武庫川・加古川の氾濫、瀬戸内・日本海双方の災害特性、六甲山系の土砂災害、活断層地震に注意。</t>
        </is>
      </c>
    </row>
    <row r="1164">
      <c r="A1164" t="inlineStr">
        <is>
          <t>兵庫県</t>
        </is>
      </c>
      <c r="B1164" t="inlineStr">
        <is>
          <t>伊丹市</t>
        </is>
      </c>
      <c r="C1164" t="n">
        <v>82900</v>
      </c>
      <c r="D1164" t="n">
        <v>195314</v>
      </c>
      <c r="E1164" s="6" t="n">
        <v>7806.1</v>
      </c>
      <c r="F1164" s="7" t="n">
        <v>95.59999999999999</v>
      </c>
      <c r="G1164" t="n">
        <v>198138</v>
      </c>
      <c r="H1164" t="n">
        <v>195314</v>
      </c>
      <c r="I1164" t="n">
        <v>192611</v>
      </c>
      <c r="J1164" t="n">
        <v>180103</v>
      </c>
      <c r="K1164" s="27">
        <f>(H1164/D1164-1)</f>
        <v/>
      </c>
      <c r="L1164" s="27">
        <f>(I1164/D1164-1)</f>
        <v/>
      </c>
      <c r="M1164" s="27">
        <f>(J1164/D1164-1)</f>
        <v/>
      </c>
      <c r="N1164" t="n">
        <v>67.40000000000001</v>
      </c>
      <c r="O1164" s="28">
        <f>(N1164+F1164)/2</f>
        <v/>
      </c>
      <c r="P1164">
        <f>IF(O1164="計算不能","計算不能",IF(O1164&gt;=80,5,IF(O1164&gt;=60,4,IF(O1164&gt;=40,3,IF(O1164&gt;=28,2,1)))))</f>
        <v/>
      </c>
      <c r="Q1164" t="n">
        <v>26079</v>
      </c>
      <c r="R1164" t="n">
        <v>3960</v>
      </c>
      <c r="S1164" s="27">
        <f>R1164/Q1164</f>
        <v/>
      </c>
      <c r="T1164" t="inlineStr">
        <is>
          <t>伊丹市は2045年までに人口が約7.8%減と緩やかな減少局面。若年層の都市部流出と高齢化が進むが、当面の賃貸稼働は一定程度維持される見通し。</t>
        </is>
      </c>
      <c r="U1164" t="inlineStr">
        <is>
          <t>伊丹市は人口密度7,806人/km²の高密度市街地で、駅近ワンルームからファミリー向けまで極めて強い賃貸実需が存在。資産流動性・出口戦略の容易さも高い。 借家の空室率は約15%と需給は比較的引き締まっている。</t>
        </is>
      </c>
      <c r="V1164" t="inlineStr">
        <is>
          <t>伊丹市（兵庫県）：武庫川・加古川の氾濫、瀬戸内・日本海双方の災害特性、六甲山系の土砂災害、活断層地震に注意。</t>
        </is>
      </c>
    </row>
    <row r="1165">
      <c r="A1165" t="inlineStr">
        <is>
          <t>兵庫県</t>
        </is>
      </c>
      <c r="B1165" t="inlineStr">
        <is>
          <t>相生市</t>
        </is>
      </c>
      <c r="C1165" t="n">
        <v>11470</v>
      </c>
      <c r="D1165" t="n">
        <v>25821</v>
      </c>
      <c r="E1165" s="6" t="n">
        <v>288</v>
      </c>
      <c r="F1165" s="7" t="n">
        <v>34.4</v>
      </c>
      <c r="G1165" t="n">
        <v>28355</v>
      </c>
      <c r="H1165" t="n">
        <v>25821</v>
      </c>
      <c r="I1165" t="n">
        <v>24047</v>
      </c>
      <c r="J1165" t="n">
        <v>18863</v>
      </c>
      <c r="K1165" s="27">
        <f>(H1165/D1165-1)</f>
        <v/>
      </c>
      <c r="L1165" s="27">
        <f>(I1165/D1165-1)</f>
        <v/>
      </c>
      <c r="M1165" s="27">
        <f>(J1165/D1165-1)</f>
        <v/>
      </c>
      <c r="N1165" t="n">
        <v>42.7</v>
      </c>
      <c r="O1165" s="28">
        <f>(N1165+F1165)/2</f>
        <v/>
      </c>
      <c r="P1165">
        <f>IF(O1165="計算不能","計算不能",IF(O1165&gt;=80,5,IF(O1165&gt;=60,4,IF(O1165&gt;=40,3,IF(O1165&gt;=28,2,1)))))</f>
        <v/>
      </c>
      <c r="Q1165" t="n">
        <v>3608</v>
      </c>
      <c r="R1165" t="n">
        <v>1640</v>
      </c>
      <c r="S1165" s="27">
        <f>R1165/Q1165</f>
        <v/>
      </c>
      <c r="T1165" t="inlineStr">
        <is>
          <t>相生市は2045年までに人口が約26.9%減と明確な減少トレンド。高齢化の進行と世帯数の縮小により、中長期では賃貸需要の構造的縮小に警戒が必要。</t>
        </is>
      </c>
      <c r="U1165" t="inlineStr">
        <is>
          <t>相生市は人口密度288人/km²と低密度で、賃貸需要は限定的。持ち家比率が高く、駐車場完備の戸建て賃貸が有利。 借家の空室率は約45%と供給過多気味で、空室長期化リスクに要警戒。</t>
        </is>
      </c>
      <c r="V1165" t="inlineStr">
        <is>
          <t>相生市（兵庫県）：武庫川・加古川の氾濫、瀬戸内・日本海双方の災害特性、六甲山系の土砂災害、活断層地震に注意。</t>
        </is>
      </c>
    </row>
    <row r="1166">
      <c r="A1166" t="inlineStr">
        <is>
          <t>兵庫県</t>
        </is>
      </c>
      <c r="B1166" t="inlineStr">
        <is>
          <t>豊岡市</t>
        </is>
      </c>
      <c r="C1166" t="n">
        <v>29330</v>
      </c>
      <c r="D1166" t="n">
        <v>71692</v>
      </c>
      <c r="E1166" s="6" t="n">
        <v>103</v>
      </c>
      <c r="F1166" s="7" t="n">
        <v>20.3</v>
      </c>
      <c r="G1166" t="n">
        <v>77489</v>
      </c>
      <c r="H1166" t="n">
        <v>71692</v>
      </c>
      <c r="I1166" t="n">
        <v>66909</v>
      </c>
      <c r="J1166" t="n">
        <v>53399</v>
      </c>
      <c r="K1166" s="27">
        <f>(H1166/D1166-1)</f>
        <v/>
      </c>
      <c r="L1166" s="27">
        <f>(I1166/D1166-1)</f>
        <v/>
      </c>
      <c r="M1166" s="27">
        <f>(J1166/D1166-1)</f>
        <v/>
      </c>
      <c r="N1166" t="n">
        <v>44.5</v>
      </c>
      <c r="O1166" s="28">
        <f>(N1166+F1166)/2</f>
        <v/>
      </c>
      <c r="P1166">
        <f>IF(O1166="計算不能","計算不能",IF(O1166&gt;=80,5,IF(O1166&gt;=60,4,IF(O1166&gt;=40,3,IF(O1166&gt;=28,2,1)))))</f>
        <v/>
      </c>
      <c r="Q1166" t="n">
        <v>9227</v>
      </c>
      <c r="R1166" t="n">
        <v>1830</v>
      </c>
      <c r="S1166" s="27">
        <f>R1166/Q1166</f>
        <v/>
      </c>
      <c r="T1166" t="inlineStr">
        <is>
          <t>豊岡市は2045年までに人口が約25.5%減と明確な減少トレンド。高齢化の進行と世帯数の縮小により、中長期では賃貸需要の構造的縮小に警戒が必要。</t>
        </is>
      </c>
      <c r="U1166" t="inlineStr">
        <is>
          <t>豊岡市は人口密度103人/km²と過疎的水準で、民間賃貸の新規需要は薄い。実需に裏付けられた格安戸建ての指値取得のみが現実的。 借家の空室率は約20%とやや高めで、競合との差別化が必要。</t>
        </is>
      </c>
      <c r="V1166" t="inlineStr">
        <is>
          <t>豊岡市（兵庫県）：武庫川・加古川の氾濫、瀬戸内・日本海双方の災害特性、六甲山系の土砂災害、活断層地震に注意。</t>
        </is>
      </c>
    </row>
    <row r="1167">
      <c r="A1167" t="inlineStr">
        <is>
          <t>兵庫県</t>
        </is>
      </c>
      <c r="B1167" t="inlineStr">
        <is>
          <t>加古川市</t>
        </is>
      </c>
      <c r="C1167" t="n">
        <v>107830</v>
      </c>
      <c r="D1167" t="n">
        <v>253960</v>
      </c>
      <c r="E1167" s="6" t="n">
        <v>1828.6</v>
      </c>
      <c r="F1167" s="7" t="n">
        <v>68.3</v>
      </c>
      <c r="G1167" t="n">
        <v>260878</v>
      </c>
      <c r="H1167" t="n">
        <v>253960</v>
      </c>
      <c r="I1167" t="n">
        <v>245287</v>
      </c>
      <c r="J1167" t="n">
        <v>212789</v>
      </c>
      <c r="K1167" s="27">
        <f>(H1167/D1167-1)</f>
        <v/>
      </c>
      <c r="L1167" s="27">
        <f>(I1167/D1167-1)</f>
        <v/>
      </c>
      <c r="M1167" s="27">
        <f>(J1167/D1167-1)</f>
        <v/>
      </c>
      <c r="N1167" t="n">
        <v>59.5</v>
      </c>
      <c r="O1167" s="28">
        <f>(N1167+F1167)/2</f>
        <v/>
      </c>
      <c r="P1167">
        <f>IF(O1167="計算不能","計算不能",IF(O1167&gt;=80,5,IF(O1167&gt;=60,4,IF(O1167&gt;=40,3,IF(O1167&gt;=28,2,1)))))</f>
        <v/>
      </c>
      <c r="Q1167" t="n">
        <v>33922</v>
      </c>
      <c r="R1167" t="n">
        <v>6110</v>
      </c>
      <c r="S1167" s="27">
        <f>R1167/Q1167</f>
        <v/>
      </c>
      <c r="T1167" t="inlineStr">
        <is>
          <t>加古川市は2045年までに人口が約16.2%減と明確な減少トレンド。高齢化の進行と世帯数の縮小により、中長期では賃貸需要の構造的縮小に警戒が必要。</t>
        </is>
      </c>
      <c r="U1167" t="inlineStr">
        <is>
          <t>加古川市は人口密度1,829人/km²の都市部で、駅周辺や生活利便施設沿いに安定した賃貸需要がある。適切な家賃設定で高稼働を期待できる。 借家の空室率は約18%とやや高めで、競合との差別化が必要。</t>
        </is>
      </c>
      <c r="V1167" t="inlineStr">
        <is>
          <t>加古川市（兵庫県）：武庫川・加古川の氾濫、瀬戸内・日本海双方の災害特性、六甲山系の土砂災害、活断層地震に注意。</t>
        </is>
      </c>
    </row>
    <row r="1168">
      <c r="A1168" t="inlineStr">
        <is>
          <t>兵庫県</t>
        </is>
      </c>
      <c r="B1168" t="inlineStr">
        <is>
          <t>赤穂市</t>
        </is>
      </c>
      <c r="C1168" t="n">
        <v>17920</v>
      </c>
      <c r="D1168" t="n">
        <v>42637</v>
      </c>
      <c r="E1168" s="6" t="n">
        <v>336.7</v>
      </c>
      <c r="F1168" s="7" t="n">
        <v>36.8</v>
      </c>
      <c r="G1168" t="n">
        <v>45892</v>
      </c>
      <c r="H1168" t="n">
        <v>42637</v>
      </c>
      <c r="I1168" t="n">
        <v>39897</v>
      </c>
      <c r="J1168" t="n">
        <v>31509</v>
      </c>
      <c r="K1168" s="27">
        <f>(H1168/D1168-1)</f>
        <v/>
      </c>
      <c r="L1168" s="27">
        <f>(I1168/D1168-1)</f>
        <v/>
      </c>
      <c r="M1168" s="27">
        <f>(J1168/D1168-1)</f>
        <v/>
      </c>
      <c r="N1168" t="n">
        <v>44.8</v>
      </c>
      <c r="O1168" s="28">
        <f>(N1168+F1168)/2</f>
        <v/>
      </c>
      <c r="P1168">
        <f>IF(O1168="計算不能","計算不能",IF(O1168&gt;=80,5,IF(O1168&gt;=60,4,IF(O1168&gt;=40,3,IF(O1168&gt;=28,2,1)))))</f>
        <v/>
      </c>
      <c r="Q1168" t="n">
        <v>5637</v>
      </c>
      <c r="R1168" t="n">
        <v>1820</v>
      </c>
      <c r="S1168" s="27">
        <f>R1168/Q1168</f>
        <v/>
      </c>
      <c r="T1168" t="inlineStr">
        <is>
          <t>赤穂市は2045年までに人口が約26.1%減と明確な減少トレンド。高齢化の進行と世帯数の縮小により、中長期では賃貸需要の構造的縮小に警戒が必要。</t>
        </is>
      </c>
      <c r="U1168" t="inlineStr">
        <is>
          <t>赤穂市は人口密度337人/km²と低密度で、賃貸需要は限定的。持ち家比率が高く、駐車場完備の戸建て賃貸が有利。 借家の空室率は約32%と供給過多気味で、空室長期化リスクに要警戒。</t>
        </is>
      </c>
      <c r="V1168" t="inlineStr">
        <is>
          <t>赤穂市（兵庫県）：武庫川・加古川の氾濫、瀬戸内・日本海双方の災害特性、六甲山系の土砂災害、活断層地震に注意。</t>
        </is>
      </c>
    </row>
    <row r="1169">
      <c r="A1169" t="inlineStr">
        <is>
          <t>兵庫県</t>
        </is>
      </c>
      <c r="B1169" t="inlineStr">
        <is>
          <t>西脇市</t>
        </is>
      </c>
      <c r="C1169" t="n">
        <v>14460</v>
      </c>
      <c r="D1169" t="n">
        <v>35626</v>
      </c>
      <c r="E1169" s="6" t="n">
        <v>270.3</v>
      </c>
      <c r="F1169" s="7" t="n">
        <v>33.5</v>
      </c>
      <c r="G1169" t="n">
        <v>38673</v>
      </c>
      <c r="H1169" t="n">
        <v>35626</v>
      </c>
      <c r="I1169" t="n">
        <v>33200</v>
      </c>
      <c r="J1169" t="n">
        <v>26193</v>
      </c>
      <c r="K1169" s="27">
        <f>(H1169/D1169-1)</f>
        <v/>
      </c>
      <c r="L1169" s="27">
        <f>(I1169/D1169-1)</f>
        <v/>
      </c>
      <c r="M1169" s="27">
        <f>(J1169/D1169-1)</f>
        <v/>
      </c>
      <c r="N1169" t="n">
        <v>43.8</v>
      </c>
      <c r="O1169" s="28">
        <f>(N1169+F1169)/2</f>
        <v/>
      </c>
      <c r="P1169">
        <f>IF(O1169="計算不能","計算不能",IF(O1169&gt;=80,5,IF(O1169&gt;=60,4,IF(O1169&gt;=40,3,IF(O1169&gt;=28,2,1)))))</f>
        <v/>
      </c>
      <c r="Q1169" t="n">
        <v>4549</v>
      </c>
      <c r="R1169" t="n">
        <v>1280</v>
      </c>
      <c r="S1169" s="27">
        <f>R1169/Q1169</f>
        <v/>
      </c>
      <c r="T1169" t="inlineStr">
        <is>
          <t>西脇市は2045年までに人口が約26.5%減と明確な減少トレンド。高齢化の進行と世帯数の縮小により、中長期では賃貸需要の構造的縮小に警戒が必要。</t>
        </is>
      </c>
      <c r="U1169" t="inlineStr">
        <is>
          <t>西脇市は人口密度270人/km²と低密度で、賃貸需要は限定的。持ち家比率が高く、駐車場完備の戸建て賃貸が有利。 借家の空室率は約28%と供給過多気味で、空室長期化リスクに要警戒。</t>
        </is>
      </c>
      <c r="V1169" t="inlineStr">
        <is>
          <t>西脇市（兵庫県）：武庫川・加古川の氾濫、瀬戸内・日本海双方の災害特性、六甲山系の土砂災害、活断層地震に注意。</t>
        </is>
      </c>
    </row>
    <row r="1170">
      <c r="A1170" t="inlineStr">
        <is>
          <t>兵庫県</t>
        </is>
      </c>
      <c r="B1170" t="inlineStr">
        <is>
          <t>宝塚市</t>
        </is>
      </c>
      <c r="C1170" t="n">
        <v>94050</v>
      </c>
      <c r="D1170" t="n">
        <v>220748</v>
      </c>
      <c r="E1170" s="6" t="n">
        <v>2133.2</v>
      </c>
      <c r="F1170" s="7" t="n">
        <v>71.3</v>
      </c>
      <c r="G1170" t="n">
        <v>226432</v>
      </c>
      <c r="H1170" t="n">
        <v>220748</v>
      </c>
      <c r="I1170" t="n">
        <v>217093</v>
      </c>
      <c r="J1170" t="n">
        <v>202523</v>
      </c>
      <c r="K1170" s="27">
        <f>(H1170/D1170-1)</f>
        <v/>
      </c>
      <c r="L1170" s="27">
        <f>(I1170/D1170-1)</f>
        <v/>
      </c>
      <c r="M1170" s="27">
        <f>(J1170/D1170-1)</f>
        <v/>
      </c>
      <c r="N1170" t="n">
        <v>64.8</v>
      </c>
      <c r="O1170" s="28">
        <f>(N1170+F1170)/2</f>
        <v/>
      </c>
      <c r="P1170">
        <f>IF(O1170="計算不能","計算不能",IF(O1170&gt;=80,5,IF(O1170&gt;=60,4,IF(O1170&gt;=40,3,IF(O1170&gt;=28,2,1)))))</f>
        <v/>
      </c>
      <c r="Q1170" t="n">
        <v>29587</v>
      </c>
      <c r="R1170" t="n">
        <v>4950</v>
      </c>
      <c r="S1170" s="27">
        <f>R1170/Q1170</f>
        <v/>
      </c>
      <c r="T1170" t="inlineStr">
        <is>
          <t>宝塚市は2045年までに人口が約8.3%減と緩やかな減少局面。若年層の都市部流出と高齢化が進むが、当面の賃貸稼働は一定程度維持される見通し。</t>
        </is>
      </c>
      <c r="U1170" t="inlineStr">
        <is>
          <t>宝塚市は人口密度2,133人/km²の都市部で、駅周辺や生活利便施設沿いに安定した賃貸需要がある。適切な家賃設定で高稼働を期待できる。 借家の空室率は約17%と需給は比較的引き締まっている。</t>
        </is>
      </c>
      <c r="V1170" t="inlineStr">
        <is>
          <t>宝塚市（兵庫県）：武庫川・加古川の氾濫、瀬戸内・日本海双方の災害特性、六甲山系の土砂災害、活断層地震に注意。</t>
        </is>
      </c>
    </row>
    <row r="1171">
      <c r="A1171" t="inlineStr">
        <is>
          <t>兵庫県</t>
        </is>
      </c>
      <c r="B1171" t="inlineStr">
        <is>
          <t>三木市</t>
        </is>
      </c>
      <c r="C1171" t="n">
        <v>31070</v>
      </c>
      <c r="D1171" t="n">
        <v>71547</v>
      </c>
      <c r="E1171" s="6" t="n">
        <v>403.6</v>
      </c>
      <c r="F1171" s="7" t="n">
        <v>40.2</v>
      </c>
      <c r="G1171" t="n">
        <v>75294</v>
      </c>
      <c r="H1171" t="n">
        <v>71547</v>
      </c>
      <c r="I1171" t="n">
        <v>67214</v>
      </c>
      <c r="J1171" t="n">
        <v>53067</v>
      </c>
      <c r="K1171" s="27">
        <f>(H1171/D1171-1)</f>
        <v/>
      </c>
      <c r="L1171" s="27">
        <f>(I1171/D1171-1)</f>
        <v/>
      </c>
      <c r="M1171" s="27">
        <f>(J1171/D1171-1)</f>
        <v/>
      </c>
      <c r="N1171" t="n">
        <v>48.7</v>
      </c>
      <c r="O1171" s="28">
        <f>(N1171+F1171)/2</f>
        <v/>
      </c>
      <c r="P1171">
        <f>IF(O1171="計算不能","計算不能",IF(O1171&gt;=80,5,IF(O1171&gt;=60,4,IF(O1171&gt;=40,3,IF(O1171&gt;=28,2,1)))))</f>
        <v/>
      </c>
      <c r="Q1171" t="n">
        <v>9774</v>
      </c>
      <c r="R1171" t="n">
        <v>2190</v>
      </c>
      <c r="S1171" s="27">
        <f>R1171/Q1171</f>
        <v/>
      </c>
      <c r="T1171" t="inlineStr">
        <is>
          <t>三木市は2045年までに人口が約25.8%減と明確な減少トレンド。高齢化の進行と世帯数の縮小により、中長期では賃貸需要の構造的縮小に警戒が必要。</t>
        </is>
      </c>
      <c r="U1171" t="inlineStr">
        <is>
          <t>三木市は人口密度404人/km²と低密度で、賃貸需要は限定的。持ち家比率が高く、駐車場完備の戸建て賃貸が有利。 借家の空室率は約22%とやや高めで、競合との差別化が必要。</t>
        </is>
      </c>
      <c r="V1171" t="inlineStr">
        <is>
          <t>三木市（兵庫県）：武庫川・加古川の氾濫、瀬戸内・日本海双方の災害特性、六甲山系の土砂災害、活断層地震に注意。</t>
        </is>
      </c>
    </row>
    <row r="1172">
      <c r="A1172" t="inlineStr">
        <is>
          <t>兵庫県</t>
        </is>
      </c>
      <c r="B1172" t="inlineStr">
        <is>
          <t>高砂市</t>
        </is>
      </c>
      <c r="C1172" t="n">
        <v>36270</v>
      </c>
      <c r="D1172" t="n">
        <v>84290</v>
      </c>
      <c r="E1172" s="6" t="n">
        <v>2425.3</v>
      </c>
      <c r="F1172" s="7" t="n">
        <v>74.3</v>
      </c>
      <c r="G1172" t="n">
        <v>87722</v>
      </c>
      <c r="H1172" t="n">
        <v>84290</v>
      </c>
      <c r="I1172" t="n">
        <v>80306</v>
      </c>
      <c r="J1172" t="n">
        <v>66453</v>
      </c>
      <c r="K1172" s="27">
        <f>(H1172/D1172-1)</f>
        <v/>
      </c>
      <c r="L1172" s="27">
        <f>(I1172/D1172-1)</f>
        <v/>
      </c>
      <c r="M1172" s="27">
        <f>(J1172/D1172-1)</f>
        <v/>
      </c>
      <c r="N1172" t="n">
        <v>53.8</v>
      </c>
      <c r="O1172" s="28">
        <f>(N1172+F1172)/2</f>
        <v/>
      </c>
      <c r="P1172">
        <f>IF(O1172="計算不能","計算不能",IF(O1172&gt;=80,5,IF(O1172&gt;=60,4,IF(O1172&gt;=40,3,IF(O1172&gt;=28,2,1)))))</f>
        <v/>
      </c>
      <c r="Q1172" t="n">
        <v>11410</v>
      </c>
      <c r="R1172" t="n">
        <v>2820</v>
      </c>
      <c r="S1172" s="27">
        <f>R1172/Q1172</f>
        <v/>
      </c>
      <c r="T1172" t="inlineStr">
        <is>
          <t>高砂市は2045年までに人口が約21.2%減と明確な減少トレンド。高齢化の進行と世帯数の縮小により、中長期では賃貸需要の構造的縮小に警戒が必要。</t>
        </is>
      </c>
      <c r="U1172" t="inlineStr">
        <is>
          <t>高砂市は人口密度2,425人/km²の都市部で、駅周辺や生活利便施設沿いに安定した賃貸需要がある。適切な家賃設定で高稼働を期待できる。 借家の空室率は約25%とやや高めで、競合との差別化が必要。</t>
        </is>
      </c>
      <c r="V1172" t="inlineStr">
        <is>
          <t>高砂市（兵庫県）：武庫川・加古川の氾濫、瀬戸内・日本海双方の災害特性、六甲山系の土砂災害、活断層地震に注意。</t>
        </is>
      </c>
    </row>
    <row r="1173">
      <c r="A1173" t="inlineStr">
        <is>
          <t>兵庫県</t>
        </is>
      </c>
      <c r="B1173" t="inlineStr">
        <is>
          <t>川西市</t>
        </is>
      </c>
      <c r="C1173" t="n">
        <v>64180</v>
      </c>
      <c r="D1173" t="n">
        <v>147445</v>
      </c>
      <c r="E1173" s="6" t="n">
        <v>2801.2</v>
      </c>
      <c r="F1173" s="7" t="n">
        <v>78</v>
      </c>
      <c r="G1173" t="n">
        <v>152321</v>
      </c>
      <c r="H1173" t="n">
        <v>147445</v>
      </c>
      <c r="I1173" t="n">
        <v>141496</v>
      </c>
      <c r="J1173" t="n">
        <v>124755</v>
      </c>
      <c r="K1173" s="27">
        <f>(H1173/D1173-1)</f>
        <v/>
      </c>
      <c r="L1173" s="27">
        <f>(I1173/D1173-1)</f>
        <v/>
      </c>
      <c r="M1173" s="27">
        <f>(J1173/D1173-1)</f>
        <v/>
      </c>
      <c r="N1173" t="n">
        <v>58.4</v>
      </c>
      <c r="O1173" s="28">
        <f>(N1173+F1173)/2</f>
        <v/>
      </c>
      <c r="P1173">
        <f>IF(O1173="計算不能","計算不能",IF(O1173&gt;=80,5,IF(O1173&gt;=60,4,IF(O1173&gt;=40,3,IF(O1173&gt;=28,2,1)))))</f>
        <v/>
      </c>
      <c r="Q1173" t="n">
        <v>20190</v>
      </c>
      <c r="R1173" t="n">
        <v>1720</v>
      </c>
      <c r="S1173" s="27">
        <f>R1173/Q1173</f>
        <v/>
      </c>
      <c r="T1173" t="inlineStr">
        <is>
          <t>川西市は2045年までに人口が約15.4%減と明確な減少トレンド。高齢化の進行と世帯数の縮小により、中長期では賃貸需要の構造的縮小に警戒が必要。</t>
        </is>
      </c>
      <c r="U1173" t="inlineStr">
        <is>
          <t>川西市は人口密度2,801人/km²の都市部で、駅周辺や生活利便施設沿いに安定した賃貸需要がある。適切な家賃設定で高稼働を期待できる。 借家の空室率は約9%と需給は比較的引き締まっている。</t>
        </is>
      </c>
      <c r="V1173" t="inlineStr">
        <is>
          <t>川西市（兵庫県）：武庫川・加古川の氾濫、瀬戸内・日本海双方の災害特性、六甲山系の土砂災害、活断層地震に注意。</t>
        </is>
      </c>
    </row>
    <row r="1174">
      <c r="A1174" t="inlineStr">
        <is>
          <t>兵庫県</t>
        </is>
      </c>
      <c r="B1174" t="inlineStr">
        <is>
          <t>小野市</t>
        </is>
      </c>
      <c r="C1174" t="n">
        <v>18030</v>
      </c>
      <c r="D1174" t="n">
        <v>46001</v>
      </c>
      <c r="E1174" s="6" t="n">
        <v>496.8</v>
      </c>
      <c r="F1174" s="7" t="n">
        <v>44.8</v>
      </c>
      <c r="G1174" t="n">
        <v>47562</v>
      </c>
      <c r="H1174" t="n">
        <v>46001</v>
      </c>
      <c r="I1174" t="n">
        <v>44275</v>
      </c>
      <c r="J1174" t="n">
        <v>38160</v>
      </c>
      <c r="K1174" s="27">
        <f>(H1174/D1174-1)</f>
        <v/>
      </c>
      <c r="L1174" s="27">
        <f>(I1174/D1174-1)</f>
        <v/>
      </c>
      <c r="M1174" s="27">
        <f>(J1174/D1174-1)</f>
        <v/>
      </c>
      <c r="N1174" t="n">
        <v>57.7</v>
      </c>
      <c r="O1174" s="28">
        <f>(N1174+F1174)/2</f>
        <v/>
      </c>
      <c r="P1174">
        <f>IF(O1174="計算不能","計算不能",IF(O1174&gt;=80,5,IF(O1174&gt;=60,4,IF(O1174&gt;=40,3,IF(O1174&gt;=28,2,1)))))</f>
        <v/>
      </c>
      <c r="Q1174" t="n">
        <v>5672</v>
      </c>
      <c r="R1174" t="n">
        <v>1330</v>
      </c>
      <c r="S1174" s="27">
        <f>R1174/Q1174</f>
        <v/>
      </c>
      <c r="T1174" t="inlineStr">
        <is>
          <t>小野市は2045年までに人口が約17.0%減と明確な減少トレンド。高齢化の進行と世帯数の縮小により、中長期では賃貸需要の構造的縮小に警戒が必要。</t>
        </is>
      </c>
      <c r="U1174" t="inlineStr">
        <is>
          <t>小野市は人口密度497人/km²と低密度で、賃貸需要は限定的。持ち家比率が高く、駐車場完備の戸建て賃貸が有利。 借家の空室率は約23%とやや高めで、競合との差別化が必要。</t>
        </is>
      </c>
      <c r="V1174" t="inlineStr">
        <is>
          <t>小野市（兵庫県）：武庫川・加古川の氾濫、瀬戸内・日本海双方の災害特性、六甲山系の土砂災害、活断層地震に注意。</t>
        </is>
      </c>
    </row>
    <row r="1175">
      <c r="A1175" t="inlineStr">
        <is>
          <t>兵庫県</t>
        </is>
      </c>
      <c r="B1175" t="inlineStr">
        <is>
          <t>三田市</t>
        </is>
      </c>
      <c r="C1175" t="n">
        <v>43410</v>
      </c>
      <c r="D1175" t="n">
        <v>102569</v>
      </c>
      <c r="E1175" s="6" t="n">
        <v>499.8</v>
      </c>
      <c r="F1175" s="7" t="n">
        <v>45</v>
      </c>
      <c r="G1175" t="n">
        <v>109238</v>
      </c>
      <c r="H1175" t="n">
        <v>102569</v>
      </c>
      <c r="I1175" t="n">
        <v>98629</v>
      </c>
      <c r="J1175" t="n">
        <v>82378</v>
      </c>
      <c r="K1175" s="27">
        <f>(H1175/D1175-1)</f>
        <v/>
      </c>
      <c r="L1175" s="27">
        <f>(I1175/D1175-1)</f>
        <v/>
      </c>
      <c r="M1175" s="27">
        <f>(J1175/D1175-1)</f>
        <v/>
      </c>
      <c r="N1175" t="n">
        <v>51</v>
      </c>
      <c r="O1175" s="28">
        <f>(N1175+F1175)/2</f>
        <v/>
      </c>
      <c r="P1175">
        <f>IF(O1175="計算不能","計算不能",IF(O1175&gt;=80,5,IF(O1175&gt;=60,4,IF(O1175&gt;=40,3,IF(O1175&gt;=28,2,1)))))</f>
        <v/>
      </c>
      <c r="Q1175" t="n">
        <v>13656</v>
      </c>
      <c r="R1175" t="n">
        <v>1040</v>
      </c>
      <c r="S1175" s="27">
        <f>R1175/Q1175</f>
        <v/>
      </c>
      <c r="T1175" t="inlineStr">
        <is>
          <t>三田市は2045年までに人口が約19.7%減と明確な減少トレンド。高齢化の進行と世帯数の縮小により、中長期では賃貸需要の構造的縮小に警戒が必要。</t>
        </is>
      </c>
      <c r="U1175" t="inlineStr">
        <is>
          <t>三田市は人口密度500人/km²と低密度で、賃貸需要は限定的。持ち家比率が高く、駐車場完備の戸建て賃貸が有利。 借家の空室率は約8%と需給は比較的引き締まっている。</t>
        </is>
      </c>
      <c r="V1175" t="inlineStr">
        <is>
          <t>三田市（兵庫県）：武庫川・加古川の氾濫、瀬戸内・日本海双方の災害特性、六甲山系の土砂災害、活断層地震に注意。</t>
        </is>
      </c>
    </row>
    <row r="1176">
      <c r="A1176" t="inlineStr">
        <is>
          <t>兵庫県</t>
        </is>
      </c>
      <c r="B1176" t="inlineStr">
        <is>
          <t>加西市</t>
        </is>
      </c>
      <c r="C1176" t="n">
        <v>17490</v>
      </c>
      <c r="D1176" t="n">
        <v>40210</v>
      </c>
      <c r="E1176" s="6" t="n">
        <v>266.8</v>
      </c>
      <c r="F1176" s="7" t="n">
        <v>33.3</v>
      </c>
      <c r="G1176" t="n">
        <v>42700</v>
      </c>
      <c r="H1176" t="n">
        <v>40210</v>
      </c>
      <c r="I1176" t="n">
        <v>37701</v>
      </c>
      <c r="J1176" t="n">
        <v>29521</v>
      </c>
      <c r="K1176" s="27">
        <f>(H1176/D1176-1)</f>
        <v/>
      </c>
      <c r="L1176" s="27">
        <f>(I1176/D1176-1)</f>
        <v/>
      </c>
      <c r="M1176" s="27">
        <f>(J1176/D1176-1)</f>
        <v/>
      </c>
      <c r="N1176" t="n">
        <v>46.7</v>
      </c>
      <c r="O1176" s="28">
        <f>(N1176+F1176)/2</f>
        <v/>
      </c>
      <c r="P1176">
        <f>IF(O1176="計算不能","計算不能",IF(O1176&gt;=80,5,IF(O1176&gt;=60,4,IF(O1176&gt;=40,3,IF(O1176&gt;=28,2,1)))))</f>
        <v/>
      </c>
      <c r="Q1176" t="n">
        <v>5502</v>
      </c>
      <c r="R1176" t="n">
        <v>850</v>
      </c>
      <c r="S1176" s="27">
        <f>R1176/Q1176</f>
        <v/>
      </c>
      <c r="T1176" t="inlineStr">
        <is>
          <t>加西市は2045年までに人口が約26.6%減と明確な減少トレンド。高齢化の進行と世帯数の縮小により、中長期では賃貸需要の構造的縮小に警戒が必要。</t>
        </is>
      </c>
      <c r="U1176" t="inlineStr">
        <is>
          <t>加西市は人口密度267人/km²と低密度で、賃貸需要は限定的。持ち家比率が高く、駐車場完備の戸建て賃貸が有利。 借家の空室率は約15%と需給は比較的引き締まっている。</t>
        </is>
      </c>
      <c r="V1176" t="inlineStr">
        <is>
          <t>加西市（兵庫県）：武庫川・加古川の氾濫、瀬戸内・日本海双方の災害特性、六甲山系の土砂災害、活断層地震に注意。</t>
        </is>
      </c>
    </row>
    <row r="1177">
      <c r="A1177" t="inlineStr">
        <is>
          <t>兵庫県</t>
        </is>
      </c>
      <c r="B1177" t="inlineStr">
        <is>
          <t>丹波篠山市</t>
        </is>
      </c>
      <c r="C1177" t="n">
        <v>16040</v>
      </c>
      <c r="D1177" t="n">
        <v>37554</v>
      </c>
      <c r="E1177" s="6" t="n">
        <v>98.09999999999999</v>
      </c>
      <c r="F1177" s="7" t="n">
        <v>19.8</v>
      </c>
      <c r="G1177" t="n">
        <v>39611</v>
      </c>
      <c r="H1177" t="n">
        <v>37554</v>
      </c>
      <c r="I1177" t="n">
        <v>35392</v>
      </c>
      <c r="J1177" t="n">
        <v>28610</v>
      </c>
      <c r="K1177" s="27">
        <f>(H1177/D1177-1)</f>
        <v/>
      </c>
      <c r="L1177" s="27">
        <f>(I1177/D1177-1)</f>
        <v/>
      </c>
      <c r="M1177" s="27">
        <f>(J1177/D1177-1)</f>
        <v/>
      </c>
      <c r="N1177" t="n">
        <v>49.5</v>
      </c>
      <c r="O1177" s="28">
        <f>(N1177+F1177)/2</f>
        <v/>
      </c>
      <c r="P1177">
        <f>IF(O1177="計算不能","計算不能",IF(O1177&gt;=80,5,IF(O1177&gt;=60,4,IF(O1177&gt;=40,3,IF(O1177&gt;=28,2,1)))))</f>
        <v/>
      </c>
      <c r="Q1177" t="n">
        <v>5046</v>
      </c>
      <c r="R1177" t="n">
        <v>690</v>
      </c>
      <c r="S1177" s="27">
        <f>R1177/Q1177</f>
        <v/>
      </c>
      <c r="T1177" t="inlineStr">
        <is>
          <t>丹波篠山市は2045年までに人口が約23.8%減と明確な減少トレンド。高齢化の進行と世帯数の縮小により、中長期では賃貸需要の構造的縮小に警戒が必要。</t>
        </is>
      </c>
      <c r="U1177" t="inlineStr">
        <is>
          <t>丹波篠山市は人口密度98人/km²と過疎的水準で、民間賃貸の新規需要は薄い。実需に裏付けられた格安戸建ての指値取得のみが現実的。 借家の空室率は約14%と需給は比較的引き締まっている。</t>
        </is>
      </c>
      <c r="V1177" t="inlineStr">
        <is>
          <t>丹波篠山市（兵庫県）：武庫川・加古川の氾濫、瀬戸内・日本海双方の災害特性、六甲山系の土砂災害、活断層地震に注意。</t>
        </is>
      </c>
    </row>
    <row r="1178">
      <c r="A1178" t="inlineStr">
        <is>
          <t>兵庫県</t>
        </is>
      </c>
      <c r="B1178" t="inlineStr">
        <is>
          <t>養父市</t>
        </is>
      </c>
      <c r="C1178" t="n">
        <v>7960</v>
      </c>
      <c r="D1178" t="n">
        <v>19999</v>
      </c>
      <c r="E1178" s="6" t="n">
        <v>46.7</v>
      </c>
      <c r="F1178" s="7" t="n">
        <v>14.7</v>
      </c>
      <c r="G1178" t="n">
        <v>22129</v>
      </c>
      <c r="H1178" t="n">
        <v>19999</v>
      </c>
      <c r="I1178" t="n">
        <v>18187</v>
      </c>
      <c r="J1178" t="n">
        <v>13191</v>
      </c>
      <c r="K1178" s="27">
        <f>(H1178/D1178-1)</f>
        <v/>
      </c>
      <c r="L1178" s="27">
        <f>(I1178/D1178-1)</f>
        <v/>
      </c>
      <c r="M1178" s="27">
        <f>(J1178/D1178-1)</f>
        <v/>
      </c>
      <c r="N1178" t="n">
        <v>39.8</v>
      </c>
      <c r="O1178" s="28">
        <f>(N1178+F1178)/2</f>
        <v/>
      </c>
      <c r="P1178">
        <f>IF(O1178="計算不能","計算不能",IF(O1178&gt;=80,5,IF(O1178&gt;=60,4,IF(O1178&gt;=40,3,IF(O1178&gt;=28,2,1)))))</f>
        <v/>
      </c>
      <c r="Q1178" t="n">
        <v>2504</v>
      </c>
      <c r="R1178" t="n">
        <v>310</v>
      </c>
      <c r="S1178" s="27">
        <f>R1178/Q1178</f>
        <v/>
      </c>
      <c r="T1178" t="inlineStr">
        <is>
          <t>養父市は2045年までに人口が約34.0%減と急激な過疎・超高齢化が進行。若年労働世代の流出と自然減が重なり、賃貸事業としての持続性は極めて限定的。</t>
        </is>
      </c>
      <c r="U1178" t="inlineStr">
        <is>
          <t>養父市は人口密度47人/km²と過疎的水準で、民間賃貸の新規需要は薄い。実需に裏付けられた格安戸建ての指値取得のみが現実的。 借家の空室率は約12%と需給は比較的引き締まっている。</t>
        </is>
      </c>
      <c r="V1178" t="inlineStr">
        <is>
          <t>養父市（兵庫県）：武庫川・加古川の氾濫、瀬戸内・日本海双方の災害特性、六甲山系の土砂災害、活断層地震に注意。</t>
        </is>
      </c>
    </row>
    <row r="1179">
      <c r="A1179" t="inlineStr">
        <is>
          <t>兵庫県</t>
        </is>
      </c>
      <c r="B1179" t="inlineStr">
        <is>
          <t>丹波市</t>
        </is>
      </c>
      <c r="C1179" t="n">
        <v>23320</v>
      </c>
      <c r="D1179" t="n">
        <v>58014</v>
      </c>
      <c r="E1179" s="6" t="n">
        <v>116.7</v>
      </c>
      <c r="F1179" s="7" t="n">
        <v>21.7</v>
      </c>
      <c r="G1179" t="n">
        <v>61471</v>
      </c>
      <c r="H1179" t="n">
        <v>58014</v>
      </c>
      <c r="I1179" t="n">
        <v>54512</v>
      </c>
      <c r="J1179" t="n">
        <v>43834</v>
      </c>
      <c r="K1179" s="27">
        <f>(H1179/D1179-1)</f>
        <v/>
      </c>
      <c r="L1179" s="27">
        <f>(I1179/D1179-1)</f>
        <v/>
      </c>
      <c r="M1179" s="27">
        <f>(J1179/D1179-1)</f>
        <v/>
      </c>
      <c r="N1179" t="n">
        <v>48.2</v>
      </c>
      <c r="O1179" s="28">
        <f>(N1179+F1179)/2</f>
        <v/>
      </c>
      <c r="P1179">
        <f>IF(O1179="計算不能","計算不能",IF(O1179&gt;=80,5,IF(O1179&gt;=60,4,IF(O1179&gt;=40,3,IF(O1179&gt;=28,2,1)))))</f>
        <v/>
      </c>
      <c r="Q1179" t="n">
        <v>7336</v>
      </c>
      <c r="R1179" t="n">
        <v>1270</v>
      </c>
      <c r="S1179" s="27">
        <f>R1179/Q1179</f>
        <v/>
      </c>
      <c r="T1179" t="inlineStr">
        <is>
          <t>丹波市は2045年までに人口が約24.4%減と明確な減少トレンド。高齢化の進行と世帯数の縮小により、中長期では賃貸需要の構造的縮小に警戒が必要。</t>
        </is>
      </c>
      <c r="U1179" t="inlineStr">
        <is>
          <t>丹波市は人口密度117人/km²と過疎的水準で、民間賃貸の新規需要は薄い。実需に裏付けられた格安戸建ての指値取得のみが現実的。 借家の空室率は約17%と需給は比較的引き締まっている。</t>
        </is>
      </c>
      <c r="V1179" t="inlineStr">
        <is>
          <t>丹波市（兵庫県）：武庫川・加古川の氾濫、瀬戸内・日本海双方の災害特性、六甲山系の土砂災害、活断層地震に注意。</t>
        </is>
      </c>
    </row>
    <row r="1180">
      <c r="A1180" t="inlineStr">
        <is>
          <t>兵庫県</t>
        </is>
      </c>
      <c r="B1180" t="inlineStr">
        <is>
          <t>南あわじ市</t>
        </is>
      </c>
      <c r="C1180" t="n">
        <v>17030</v>
      </c>
      <c r="D1180" t="n">
        <v>41142</v>
      </c>
      <c r="E1180" s="6" t="n">
        <v>179.5</v>
      </c>
      <c r="F1180" s="7" t="n">
        <v>27.9</v>
      </c>
      <c r="G1180" t="n">
        <v>44137</v>
      </c>
      <c r="H1180" t="n">
        <v>41142</v>
      </c>
      <c r="I1180" t="n">
        <v>38235</v>
      </c>
      <c r="J1180" t="n">
        <v>29665</v>
      </c>
      <c r="K1180" s="27">
        <f>(H1180/D1180-1)</f>
        <v/>
      </c>
      <c r="L1180" s="27">
        <f>(I1180/D1180-1)</f>
        <v/>
      </c>
      <c r="M1180" s="27">
        <f>(J1180/D1180-1)</f>
        <v/>
      </c>
      <c r="N1180" t="n">
        <v>44.4</v>
      </c>
      <c r="O1180" s="28">
        <f>(N1180+F1180)/2</f>
        <v/>
      </c>
      <c r="P1180">
        <f>IF(O1180="計算不能","計算不能",IF(O1180&gt;=80,5,IF(O1180&gt;=60,4,IF(O1180&gt;=40,3,IF(O1180&gt;=28,2,1)))))</f>
        <v/>
      </c>
      <c r="Q1180" t="n">
        <v>5357</v>
      </c>
      <c r="R1180" t="n">
        <v>790</v>
      </c>
      <c r="S1180" s="27">
        <f>R1180/Q1180</f>
        <v/>
      </c>
      <c r="T1180" t="inlineStr">
        <is>
          <t>南あわじ市は2045年までに人口が約27.9%減と明確な減少トレンド。高齢化の進行と世帯数の縮小により、中長期では賃貸需要の構造的縮小に警戒が必要。</t>
        </is>
      </c>
      <c r="U1180" t="inlineStr">
        <is>
          <t>南あわじ市は人口密度180人/km²と過疎的水準で、民間賃貸の新規需要は薄い。実需に裏付けられた格安戸建ての指値取得のみが現実的。 借家の空室率は約15%と需給は比較的引き締まっている。</t>
        </is>
      </c>
      <c r="V1180" t="inlineStr">
        <is>
          <t>南あわじ市（兵庫県）：武庫川・加古川の氾濫、瀬戸内・日本海双方の災害特性、六甲山系の土砂災害、活断層地震に注意。</t>
        </is>
      </c>
    </row>
    <row r="1181">
      <c r="A1181" t="inlineStr">
        <is>
          <t>兵庫県</t>
        </is>
      </c>
      <c r="B1181" t="inlineStr">
        <is>
          <t>朝来市</t>
        </is>
      </c>
      <c r="C1181" t="n">
        <v>11110</v>
      </c>
      <c r="D1181" t="n">
        <v>26646</v>
      </c>
      <c r="E1181" s="6" t="n">
        <v>65.8</v>
      </c>
      <c r="F1181" s="7" t="n">
        <v>16.6</v>
      </c>
      <c r="G1181" t="n">
        <v>28989</v>
      </c>
      <c r="H1181" t="n">
        <v>26646</v>
      </c>
      <c r="I1181" t="n">
        <v>24733</v>
      </c>
      <c r="J1181" t="n">
        <v>19187</v>
      </c>
      <c r="K1181" s="27">
        <f>(H1181/D1181-1)</f>
        <v/>
      </c>
      <c r="L1181" s="27">
        <f>(I1181/D1181-1)</f>
        <v/>
      </c>
      <c r="M1181" s="27">
        <f>(J1181/D1181-1)</f>
        <v/>
      </c>
      <c r="N1181" t="n">
        <v>43.2</v>
      </c>
      <c r="O1181" s="28">
        <f>(N1181+F1181)/2</f>
        <v/>
      </c>
      <c r="P1181">
        <f>IF(O1181="計算不能","計算不能",IF(O1181&gt;=80,5,IF(O1181&gt;=60,4,IF(O1181&gt;=40,3,IF(O1181&gt;=28,2,1)))))</f>
        <v/>
      </c>
      <c r="Q1181" t="n">
        <v>3495</v>
      </c>
      <c r="R1181" t="n">
        <v>770</v>
      </c>
      <c r="S1181" s="27">
        <f>R1181/Q1181</f>
        <v/>
      </c>
      <c r="T1181" t="inlineStr">
        <is>
          <t>朝来市は2045年までに人口が約28.0%減と明確な減少トレンド。高齢化の進行と世帯数の縮小により、中長期では賃貸需要の構造的縮小に警戒が必要。</t>
        </is>
      </c>
      <c r="U1181" t="inlineStr">
        <is>
          <t>朝来市は人口密度66人/km²と過疎的水準で、民間賃貸の新規需要は薄い。実需に裏付けられた格安戸建ての指値取得のみが現実的。 借家の空室率は約22%とやや高めで、競合との差別化が必要。</t>
        </is>
      </c>
      <c r="V1181" t="inlineStr">
        <is>
          <t>朝来市（兵庫県）：武庫川・加古川の氾濫、瀬戸内・日本海双方の災害特性、六甲山系の土砂災害、活断層地震に注意。</t>
        </is>
      </c>
    </row>
    <row r="1182">
      <c r="A1182" t="inlineStr">
        <is>
          <t>兵庫県</t>
        </is>
      </c>
      <c r="B1182" t="inlineStr">
        <is>
          <t>淡路市</t>
        </is>
      </c>
      <c r="C1182" t="n">
        <v>16270</v>
      </c>
      <c r="D1182" t="n">
        <v>39878</v>
      </c>
      <c r="E1182" s="6" t="n">
        <v>214.2</v>
      </c>
      <c r="F1182" s="7" t="n">
        <v>30.7</v>
      </c>
      <c r="G1182" t="n">
        <v>41967</v>
      </c>
      <c r="H1182" t="n">
        <v>39878</v>
      </c>
      <c r="I1182" t="n">
        <v>37356</v>
      </c>
      <c r="J1182" t="n">
        <v>30104</v>
      </c>
      <c r="K1182" s="27">
        <f>(H1182/D1182-1)</f>
        <v/>
      </c>
      <c r="L1182" s="27">
        <f>(I1182/D1182-1)</f>
        <v/>
      </c>
      <c r="M1182" s="27">
        <f>(J1182/D1182-1)</f>
        <v/>
      </c>
      <c r="N1182" t="n">
        <v>49.2</v>
      </c>
      <c r="O1182" s="28">
        <f>(N1182+F1182)/2</f>
        <v/>
      </c>
      <c r="P1182">
        <f>IF(O1182="計算不能","計算不能",IF(O1182&gt;=80,5,IF(O1182&gt;=60,4,IF(O1182&gt;=40,3,IF(O1182&gt;=28,2,1)))))</f>
        <v/>
      </c>
      <c r="Q1182" t="n">
        <v>5118</v>
      </c>
      <c r="R1182" t="n">
        <v>1760</v>
      </c>
      <c r="S1182" s="27">
        <f>R1182/Q1182</f>
        <v/>
      </c>
      <c r="T1182" t="inlineStr">
        <is>
          <t>淡路市は2045年までに人口が約24.5%減と明確な減少トレンド。高齢化の進行と世帯数の縮小により、中長期では賃貸需要の構造的縮小に警戒が必要。</t>
        </is>
      </c>
      <c r="U1182" t="inlineStr">
        <is>
          <t>淡路市は人口密度214人/km²と低密度で、賃貸需要は限定的。持ち家比率が高く、駐車場完備の戸建て賃貸が有利。 借家の空室率は約34%と供給過多気味で、空室長期化リスクに要警戒。</t>
        </is>
      </c>
      <c r="V1182" t="inlineStr">
        <is>
          <t>淡路市（兵庫県）：武庫川・加古川の氾濫、瀬戸内・日本海双方の災害特性、六甲山系の土砂災害、活断層地震に注意。</t>
        </is>
      </c>
    </row>
    <row r="1183">
      <c r="A1183" t="inlineStr">
        <is>
          <t>兵庫県</t>
        </is>
      </c>
      <c r="B1183" t="inlineStr">
        <is>
          <t>宍粟市</t>
        </is>
      </c>
      <c r="C1183" t="n">
        <v>12660</v>
      </c>
      <c r="D1183" t="n">
        <v>31628</v>
      </c>
      <c r="E1183" s="6" t="n">
        <v>47.5</v>
      </c>
      <c r="F1183" s="7" t="n">
        <v>14.8</v>
      </c>
      <c r="G1183" t="n">
        <v>34819</v>
      </c>
      <c r="H1183" t="n">
        <v>31628</v>
      </c>
      <c r="I1183" t="n">
        <v>28763</v>
      </c>
      <c r="J1183" t="n">
        <v>20720</v>
      </c>
      <c r="K1183" s="27">
        <f>(H1183/D1183-1)</f>
        <v/>
      </c>
      <c r="L1183" s="27">
        <f>(I1183/D1183-1)</f>
        <v/>
      </c>
      <c r="M1183" s="27">
        <f>(J1183/D1183-1)</f>
        <v/>
      </c>
      <c r="N1183" t="n">
        <v>40.1</v>
      </c>
      <c r="O1183" s="28">
        <f>(N1183+F1183)/2</f>
        <v/>
      </c>
      <c r="P1183">
        <f>IF(O1183="計算不能","計算不能",IF(O1183&gt;=80,5,IF(O1183&gt;=60,4,IF(O1183&gt;=40,3,IF(O1183&gt;=28,2,1)))))</f>
        <v/>
      </c>
      <c r="Q1183" t="n">
        <v>3982</v>
      </c>
      <c r="R1183" t="n">
        <v>490</v>
      </c>
      <c r="S1183" s="27">
        <f>R1183/Q1183</f>
        <v/>
      </c>
      <c r="T1183" t="inlineStr">
        <is>
          <t>宍粟市は2045年までに人口が約34.5%減と急激な過疎・超高齢化が進行。若年労働世代の流出と自然減が重なり、賃貸事業としての持続性は極めて限定的。</t>
        </is>
      </c>
      <c r="U1183" t="inlineStr">
        <is>
          <t>宍粟市は人口密度48人/km²と過疎的水準で、民間賃貸の新規需要は薄い。実需に裏付けられた格安戸建ての指値取得のみが現実的。 借家の空室率は約12%と需給は比較的引き締まっている。</t>
        </is>
      </c>
      <c r="V1183" t="inlineStr">
        <is>
          <t>宍粟市（兵庫県）：武庫川・加古川の氾濫、瀬戸内・日本海双方の災害特性、六甲山系の土砂災害、活断層地震に注意。</t>
        </is>
      </c>
    </row>
    <row r="1184">
      <c r="A1184" t="inlineStr">
        <is>
          <t>兵庫県</t>
        </is>
      </c>
      <c r="B1184" t="inlineStr">
        <is>
          <t>加東市</t>
        </is>
      </c>
      <c r="C1184" t="n">
        <v>15650</v>
      </c>
      <c r="D1184" t="n">
        <v>40048</v>
      </c>
      <c r="E1184" s="6" t="n">
        <v>250.7</v>
      </c>
      <c r="F1184" s="7" t="n">
        <v>32.5</v>
      </c>
      <c r="G1184" t="n">
        <v>40645</v>
      </c>
      <c r="H1184" t="n">
        <v>40048</v>
      </c>
      <c r="I1184" t="n">
        <v>39158</v>
      </c>
      <c r="J1184" t="n">
        <v>35596</v>
      </c>
      <c r="K1184" s="27">
        <f>(H1184/D1184-1)</f>
        <v/>
      </c>
      <c r="L1184" s="27">
        <f>(I1184/D1184-1)</f>
        <v/>
      </c>
      <c r="M1184" s="27">
        <f>(J1184/D1184-1)</f>
        <v/>
      </c>
      <c r="N1184" t="n">
        <v>65.09999999999999</v>
      </c>
      <c r="O1184" s="28">
        <f>(N1184+F1184)/2</f>
        <v/>
      </c>
      <c r="P1184">
        <f>IF(O1184="計算不能","計算不能",IF(O1184&gt;=80,5,IF(O1184&gt;=60,4,IF(O1184&gt;=40,3,IF(O1184&gt;=28,2,1)))))</f>
        <v/>
      </c>
      <c r="Q1184" t="n">
        <v>4923</v>
      </c>
      <c r="R1184" t="n">
        <v>2540</v>
      </c>
      <c r="S1184" s="27">
        <f>R1184/Q1184</f>
        <v/>
      </c>
      <c r="T1184" t="inlineStr">
        <is>
          <t>加東市は2045年までに人口が約11.1%減と緩やかな減少局面。若年層の都市部流出と高齢化が進むが、当面の賃貸稼働は一定程度維持される見通し。</t>
        </is>
      </c>
      <c r="U1184" t="inlineStr">
        <is>
          <t>加東市は人口密度251人/km²と低密度で、賃貸需要は限定的。持ち家比率が高く、駐車場完備の戸建て賃貸が有利。 借家の空室率は約52%と供給過多気味で、空室長期化リスクに要警戒。</t>
        </is>
      </c>
      <c r="V1184" t="inlineStr">
        <is>
          <t>加東市（兵庫県）：武庫川・加古川の氾濫、瀬戸内・日本海双方の災害特性、六甲山系の土砂災害、活断層地震に注意。</t>
        </is>
      </c>
    </row>
    <row r="1185">
      <c r="A1185" t="inlineStr">
        <is>
          <t>兵庫県</t>
        </is>
      </c>
      <c r="B1185" t="inlineStr">
        <is>
          <t>たつの市</t>
        </is>
      </c>
      <c r="C1185" t="n">
        <v>28180</v>
      </c>
      <c r="D1185" t="n">
        <v>70414</v>
      </c>
      <c r="E1185" s="6" t="n">
        <v>330.4</v>
      </c>
      <c r="F1185" s="7" t="n">
        <v>36.5</v>
      </c>
      <c r="G1185" t="n">
        <v>74316</v>
      </c>
      <c r="H1185" t="n">
        <v>70414</v>
      </c>
      <c r="I1185" t="n">
        <v>66902</v>
      </c>
      <c r="J1185" t="n">
        <v>54744</v>
      </c>
      <c r="K1185" s="27">
        <f>(H1185/D1185-1)</f>
        <v/>
      </c>
      <c r="L1185" s="27">
        <f>(I1185/D1185-1)</f>
        <v/>
      </c>
      <c r="M1185" s="27">
        <f>(J1185/D1185-1)</f>
        <v/>
      </c>
      <c r="N1185" t="n">
        <v>50.6</v>
      </c>
      <c r="O1185" s="28">
        <f>(N1185+F1185)/2</f>
        <v/>
      </c>
      <c r="P1185">
        <f>IF(O1185="計算不能","計算不能",IF(O1185&gt;=80,5,IF(O1185&gt;=60,4,IF(O1185&gt;=40,3,IF(O1185&gt;=28,2,1)))))</f>
        <v/>
      </c>
      <c r="Q1185" t="n">
        <v>8865</v>
      </c>
      <c r="R1185" t="n">
        <v>1180</v>
      </c>
      <c r="S1185" s="27">
        <f>R1185/Q1185</f>
        <v/>
      </c>
      <c r="T1185" t="inlineStr">
        <is>
          <t>たつの市は2045年までに人口が約22.3%減と明確な減少トレンド。高齢化の進行と世帯数の縮小により、中長期では賃貸需要の構造的縮小に警戒が必要。</t>
        </is>
      </c>
      <c r="U1185" t="inlineStr">
        <is>
          <t>たつの市は人口密度330人/km²と低密度で、賃貸需要は限定的。持ち家比率が高く、駐車場完備の戸建て賃貸が有利。 借家の空室率は約13%と需給は比較的引き締まっている。</t>
        </is>
      </c>
      <c r="V1185" t="inlineStr">
        <is>
          <t>たつの市（兵庫県）：武庫川・加古川の氾濫、瀬戸内・日本海双方の災害特性、六甲山系の土砂災害、活断層地震に注意。</t>
        </is>
      </c>
    </row>
    <row r="1186">
      <c r="A1186" t="inlineStr">
        <is>
          <t>兵庫県</t>
        </is>
      </c>
      <c r="B1186" t="inlineStr">
        <is>
          <t>猪名川町</t>
        </is>
      </c>
      <c r="C1186" t="n">
        <v>11200</v>
      </c>
      <c r="D1186" t="n">
        <v>28669</v>
      </c>
      <c r="E1186" s="6" t="n">
        <v>303.7</v>
      </c>
      <c r="F1186" s="7" t="n">
        <v>35.2</v>
      </c>
      <c r="G1186" t="n">
        <v>29680</v>
      </c>
      <c r="H1186" t="n">
        <v>28669</v>
      </c>
      <c r="I1186" t="n">
        <v>27465</v>
      </c>
      <c r="J1186" t="n">
        <v>23530</v>
      </c>
      <c r="K1186" s="27">
        <f>(H1186/D1186-1)</f>
        <v/>
      </c>
      <c r="L1186" s="27">
        <f>(I1186/D1186-1)</f>
        <v/>
      </c>
      <c r="M1186" s="27">
        <f>(J1186/D1186-1)</f>
        <v/>
      </c>
      <c r="N1186" t="n">
        <v>56.7</v>
      </c>
      <c r="O1186" s="28">
        <f>(N1186+F1186)/2</f>
        <v/>
      </c>
      <c r="P1186">
        <f>IF(O1186="計算不能","計算不能",IF(O1186&gt;=80,5,IF(O1186&gt;=60,4,IF(O1186&gt;=40,3,IF(O1186&gt;=28,2,1)))))</f>
        <v/>
      </c>
      <c r="Q1186" t="n">
        <v>3523</v>
      </c>
      <c r="R1186" t="n">
        <v>10</v>
      </c>
      <c r="S1186" s="27">
        <f>R1186/Q1186</f>
        <v/>
      </c>
      <c r="T1186" t="inlineStr">
        <is>
          <t>猪名川町は2045年までに人口が約17.9%減と明確な減少トレンド。高齢化の進行と世帯数の縮小により、中長期では賃貸需要の構造的縮小に警戒が必要。</t>
        </is>
      </c>
      <c r="U1186" t="inlineStr">
        <is>
          <t>猪名川町は人口密度304人/km²と低密度で、賃貸需要は限定的。持ち家比率が高く、駐車場完備の戸建て賃貸が有利。 借家の空室率は約0%と需給は比較的引き締まっている。</t>
        </is>
      </c>
      <c r="V1186" t="inlineStr">
        <is>
          <t>猪名川町（兵庫県）：武庫川・加古川の氾濫、瀬戸内・日本海双方の災害特性、六甲山系の土砂災害、活断層地震に注意。</t>
        </is>
      </c>
    </row>
    <row r="1187">
      <c r="A1187" t="inlineStr">
        <is>
          <t>兵庫県</t>
        </is>
      </c>
      <c r="B1187" t="inlineStr">
        <is>
          <t>多可町</t>
        </is>
      </c>
      <c r="C1187" t="n">
        <v>5930</v>
      </c>
      <c r="D1187" t="n">
        <v>17085</v>
      </c>
      <c r="E1187" s="6" t="n">
        <v>93.7</v>
      </c>
      <c r="F1187" s="7" t="n">
        <v>19.4</v>
      </c>
      <c r="G1187" t="n">
        <v>19261</v>
      </c>
      <c r="H1187" t="n">
        <v>17085</v>
      </c>
      <c r="I1187" t="n">
        <v>15357</v>
      </c>
      <c r="J1187" t="n">
        <v>10617</v>
      </c>
      <c r="K1187" s="27">
        <f>(H1187/D1187-1)</f>
        <v/>
      </c>
      <c r="L1187" s="27">
        <f>(I1187/D1187-1)</f>
        <v/>
      </c>
      <c r="M1187" s="27">
        <f>(J1187/D1187-1)</f>
        <v/>
      </c>
      <c r="N1187" t="n">
        <v>37.2</v>
      </c>
      <c r="O1187" s="28">
        <f>(N1187+F1187)/2</f>
        <v/>
      </c>
      <c r="P1187">
        <f>IF(O1187="計算不能","計算不能",IF(O1187&gt;=80,5,IF(O1187&gt;=60,4,IF(O1187&gt;=40,3,IF(O1187&gt;=28,2,1)))))</f>
        <v/>
      </c>
      <c r="Q1187" t="n">
        <v>1865</v>
      </c>
      <c r="R1187" t="n">
        <v>70</v>
      </c>
      <c r="S1187" s="27">
        <f>R1187/Q1187</f>
        <v/>
      </c>
      <c r="T1187" t="inlineStr">
        <is>
          <t>多可町は2045年までに人口が約37.9%減と急激な過疎・超高齢化が進行。若年労働世代の流出と自然減が重なり、賃貸事業としての持続性は極めて限定的。</t>
        </is>
      </c>
      <c r="U1187" t="inlineStr">
        <is>
          <t>多可町は人口密度94人/km²と過疎的水準で、民間賃貸の新規需要は薄い。実需に裏付けられた格安戸建ての指値取得のみが現実的。 借家の空室率は約4%と需給は比較的引き締まっている。</t>
        </is>
      </c>
      <c r="V1187" t="inlineStr">
        <is>
          <t>多可町（兵庫県）：武庫川・加古川の氾濫、瀬戸内・日本海双方の災害特性、六甲山系の土砂災害、活断層地震に注意。</t>
        </is>
      </c>
    </row>
    <row r="1188">
      <c r="A1188" t="inlineStr">
        <is>
          <t>兵庫県</t>
        </is>
      </c>
      <c r="B1188" t="inlineStr">
        <is>
          <t>稲美町</t>
        </is>
      </c>
      <c r="C1188" t="n">
        <v>11450</v>
      </c>
      <c r="D1188" t="n">
        <v>29284</v>
      </c>
      <c r="E1188" s="6" t="n">
        <v>841.6</v>
      </c>
      <c r="F1188" s="7" t="n">
        <v>51.8</v>
      </c>
      <c r="G1188" t="n">
        <v>30268</v>
      </c>
      <c r="H1188" t="n">
        <v>29284</v>
      </c>
      <c r="I1188" t="n">
        <v>27936</v>
      </c>
      <c r="J1188" t="n">
        <v>23026</v>
      </c>
      <c r="K1188" s="27">
        <f>(H1188/D1188-1)</f>
        <v/>
      </c>
      <c r="L1188" s="27">
        <f>(I1188/D1188-1)</f>
        <v/>
      </c>
      <c r="M1188" s="27">
        <f>(J1188/D1188-1)</f>
        <v/>
      </c>
      <c r="N1188" t="n">
        <v>55</v>
      </c>
      <c r="O1188" s="28">
        <f>(N1188+F1188)/2</f>
        <v/>
      </c>
      <c r="P1188">
        <f>IF(O1188="計算不能","計算不能",IF(O1188&gt;=80,5,IF(O1188&gt;=60,4,IF(O1188&gt;=40,3,IF(O1188&gt;=28,2,1)))))</f>
        <v/>
      </c>
      <c r="Q1188" t="n">
        <v>3602</v>
      </c>
      <c r="R1188" t="n">
        <v>150</v>
      </c>
      <c r="S1188" s="27">
        <f>R1188/Q1188</f>
        <v/>
      </c>
      <c r="T1188" t="inlineStr">
        <is>
          <t>稲美町は2045年までに人口が約21.4%減と明確な減少トレンド。高齢化の進行と世帯数の縮小により、中長期では賃貸需要の構造的縮小に警戒が必要。</t>
        </is>
      </c>
      <c r="U1188" t="inlineStr">
        <is>
          <t>稲美町は人口密度842人/km²で、主要道路沿いや中心市街地に一定の賃貸需要が局在。立地選別が稼働を左右する。 借家の空室率は約4%と需給は比較的引き締まっている。</t>
        </is>
      </c>
      <c r="V1188" t="inlineStr">
        <is>
          <t>稲美町（兵庫県）：武庫川・加古川の氾濫、瀬戸内・日本海双方の災害特性、六甲山系の土砂災害、活断層地震に注意。</t>
        </is>
      </c>
    </row>
    <row r="1189">
      <c r="A1189" t="inlineStr">
        <is>
          <t>兵庫県</t>
        </is>
      </c>
      <c r="B1189" t="inlineStr">
        <is>
          <t>播磨町</t>
        </is>
      </c>
      <c r="C1189" t="n">
        <v>14290</v>
      </c>
      <c r="D1189" t="n">
        <v>33294</v>
      </c>
      <c r="E1189" s="6" t="n">
        <v>3641.8</v>
      </c>
      <c r="F1189" s="7" t="n">
        <v>80</v>
      </c>
      <c r="G1189" t="n">
        <v>33604</v>
      </c>
      <c r="H1189" t="n">
        <v>33294</v>
      </c>
      <c r="I1189" t="n">
        <v>32353</v>
      </c>
      <c r="J1189" t="n">
        <v>28699</v>
      </c>
      <c r="K1189" s="27">
        <f>(H1189/D1189-1)</f>
        <v/>
      </c>
      <c r="L1189" s="27">
        <f>(I1189/D1189-1)</f>
        <v/>
      </c>
      <c r="M1189" s="27">
        <f>(J1189/D1189-1)</f>
        <v/>
      </c>
      <c r="N1189" t="n">
        <v>64.40000000000001</v>
      </c>
      <c r="O1189" s="28">
        <f>(N1189+F1189)/2</f>
        <v/>
      </c>
      <c r="P1189">
        <f>IF(O1189="計算不能","計算不能",IF(O1189&gt;=80,5,IF(O1189&gt;=60,4,IF(O1189&gt;=40,3,IF(O1189&gt;=28,2,1)))))</f>
        <v/>
      </c>
      <c r="Q1189" t="n">
        <v>4495</v>
      </c>
      <c r="R1189" t="n">
        <v>380</v>
      </c>
      <c r="S1189" s="27">
        <f>R1189/Q1189</f>
        <v/>
      </c>
      <c r="T1189" t="inlineStr">
        <is>
          <t>播磨町は2045年までに人口が約13.8%減と緩やかな減少局面。若年層の都市部流出と高齢化が進むが、当面の賃貸稼働は一定程度維持される見通し。</t>
        </is>
      </c>
      <c r="U1189" t="inlineStr">
        <is>
          <t>播磨町は人口密度3,642人/km²の都市部で、駅周辺や生活利便施設沿いに安定した賃貸需要がある。適切な家賃設定で高稼働を期待できる。 借家の空室率は約8%と需給は比較的引き締まっている。</t>
        </is>
      </c>
      <c r="V1189" t="inlineStr">
        <is>
          <t>播磨町（兵庫県）：武庫川・加古川の氾濫、瀬戸内・日本海双方の災害特性、六甲山系の土砂災害、活断層地震に注意。</t>
        </is>
      </c>
    </row>
    <row r="1190">
      <c r="A1190" t="inlineStr">
        <is>
          <t>兵庫県</t>
        </is>
      </c>
      <c r="B1190" t="inlineStr">
        <is>
          <t>市川町</t>
        </is>
      </c>
      <c r="C1190" t="n">
        <v>4862</v>
      </c>
      <c r="D1190" t="n">
        <v>10267</v>
      </c>
      <c r="E1190" s="6" t="n">
        <v>119.9</v>
      </c>
      <c r="F1190" s="7" t="n">
        <v>22</v>
      </c>
      <c r="G1190" t="n">
        <v>11231</v>
      </c>
      <c r="H1190" t="n">
        <v>10267</v>
      </c>
      <c r="I1190" t="n">
        <v>9333</v>
      </c>
      <c r="J1190" t="n">
        <v>6558</v>
      </c>
      <c r="K1190" s="27">
        <f>(H1190/D1190-1)</f>
        <v/>
      </c>
      <c r="L1190" s="27">
        <f>(I1190/D1190-1)</f>
        <v/>
      </c>
      <c r="M1190" s="27">
        <f>(J1190/D1190-1)</f>
        <v/>
      </c>
      <c r="N1190" t="n">
        <v>40.2</v>
      </c>
      <c r="O1190" s="28">
        <f>(N1190+F1190)/2</f>
        <v/>
      </c>
      <c r="P1190">
        <f>IF(O1190="計算不能","計算不能",IF(O1190&gt;=80,5,IF(O1190&gt;=60,4,IF(O1190&gt;=40,3,IF(O1190&gt;=28,2,1)))))</f>
        <v/>
      </c>
      <c r="Q1190" t="n">
        <v>1529</v>
      </c>
      <c r="R1190" t="n">
        <v>0</v>
      </c>
      <c r="S1190" s="27">
        <f>R1190/Q1190</f>
        <v/>
      </c>
      <c r="T1190" t="inlineStr">
        <is>
          <t>市川町は2045年までに人口が約36.1%減と急激な過疎・超高齢化が進行。若年労働世代の流出と自然減が重なり、賃貸事業としての持続性は極めて限定的。</t>
        </is>
      </c>
      <c r="U1190" t="inlineStr">
        <is>
          <t>市川町は人口密度120人/km²と過疎的水準で、民間賃貸の新規需要は薄い。実需に裏付けられた格安戸建ての指値取得のみが現実的。 借家の空室率は約0%と需給は比較的引き締まっている。</t>
        </is>
      </c>
      <c r="V1190" t="inlineStr">
        <is>
          <t>市川町（兵庫県）：武庫川・加古川の氾濫、瀬戸内・日本海双方の災害特性、六甲山系の土砂災害、活断層地震に注意。</t>
        </is>
      </c>
    </row>
    <row r="1191">
      <c r="A1191" t="inlineStr">
        <is>
          <t>兵庫県</t>
        </is>
      </c>
      <c r="B1191" t="inlineStr">
        <is>
          <t>福崎町</t>
        </is>
      </c>
      <c r="C1191" t="n">
        <v>7830</v>
      </c>
      <c r="D1191" t="n">
        <v>18877</v>
      </c>
      <c r="E1191" s="6" t="n">
        <v>400.3</v>
      </c>
      <c r="F1191" s="7" t="n">
        <v>40</v>
      </c>
      <c r="G1191" t="n">
        <v>19377</v>
      </c>
      <c r="H1191" t="n">
        <v>18877</v>
      </c>
      <c r="I1191" t="n">
        <v>18262</v>
      </c>
      <c r="J1191" t="n">
        <v>15826</v>
      </c>
      <c r="K1191" s="27">
        <f>(H1191/D1191-1)</f>
        <v/>
      </c>
      <c r="L1191" s="27">
        <f>(I1191/D1191-1)</f>
        <v/>
      </c>
      <c r="M1191" s="27">
        <f>(J1191/D1191-1)</f>
        <v/>
      </c>
      <c r="N1191" t="n">
        <v>59.7</v>
      </c>
      <c r="O1191" s="28">
        <f>(N1191+F1191)/2</f>
        <v/>
      </c>
      <c r="P1191">
        <f>IF(O1191="計算不能","計算不能",IF(O1191&gt;=80,5,IF(O1191&gt;=60,4,IF(O1191&gt;=40,3,IF(O1191&gt;=28,2,1)))))</f>
        <v/>
      </c>
      <c r="Q1191" t="n">
        <v>2463</v>
      </c>
      <c r="R1191" t="n">
        <v>220</v>
      </c>
      <c r="S1191" s="27">
        <f>R1191/Q1191</f>
        <v/>
      </c>
      <c r="T1191" t="inlineStr">
        <is>
          <t>福崎町は2045年までに人口が約16.2%減と明確な減少トレンド。高齢化の進行と世帯数の縮小により、中長期では賃貸需要の構造的縮小に警戒が必要。</t>
        </is>
      </c>
      <c r="U1191" t="inlineStr">
        <is>
          <t>福崎町は人口密度400人/km²と低密度で、賃貸需要は限定的。持ち家比率が高く、駐車場完備の戸建て賃貸が有利。 借家の空室率は約9%と需給は比較的引き締まっている。</t>
        </is>
      </c>
      <c r="V1191" t="inlineStr">
        <is>
          <t>福崎町（兵庫県）：武庫川・加古川の氾濫、瀬戸内・日本海双方の災害特性、六甲山系の土砂災害、活断層地震に注意。</t>
        </is>
      </c>
    </row>
    <row r="1192">
      <c r="A1192" t="inlineStr">
        <is>
          <t>兵庫県</t>
        </is>
      </c>
      <c r="B1192" t="inlineStr">
        <is>
          <t>神河町</t>
        </is>
      </c>
      <c r="C1192" t="n">
        <v>4216</v>
      </c>
      <c r="D1192" t="n">
        <v>9576</v>
      </c>
      <c r="E1192" s="6" t="n">
        <v>46.9</v>
      </c>
      <c r="F1192" s="7" t="n">
        <v>14.7</v>
      </c>
      <c r="G1192" t="n">
        <v>10616</v>
      </c>
      <c r="H1192" t="n">
        <v>9576</v>
      </c>
      <c r="I1192" t="n">
        <v>8760</v>
      </c>
      <c r="J1192" t="n">
        <v>6392</v>
      </c>
      <c r="K1192" s="27">
        <f>(H1192/D1192-1)</f>
        <v/>
      </c>
      <c r="L1192" s="27">
        <f>(I1192/D1192-1)</f>
        <v/>
      </c>
      <c r="M1192" s="27">
        <f>(J1192/D1192-1)</f>
        <v/>
      </c>
      <c r="N1192" t="n">
        <v>40</v>
      </c>
      <c r="O1192" s="28">
        <f>(N1192+F1192)/2</f>
        <v/>
      </c>
      <c r="P1192">
        <f>IF(O1192="計算不能","計算不能",IF(O1192&gt;=80,5,IF(O1192&gt;=60,4,IF(O1192&gt;=40,3,IF(O1192&gt;=28,2,1)))))</f>
        <v/>
      </c>
      <c r="Q1192" t="n">
        <v>1326</v>
      </c>
      <c r="R1192" t="n">
        <v>0</v>
      </c>
      <c r="S1192" s="27">
        <f>R1192/Q1192</f>
        <v/>
      </c>
      <c r="T1192" t="inlineStr">
        <is>
          <t>神河町は2045年までに人口が約33.2%減と急激な過疎・超高齢化が進行。若年労働世代の流出と自然減が重なり、賃貸事業としての持続性は極めて限定的。</t>
        </is>
      </c>
      <c r="U1192" t="inlineStr">
        <is>
          <t>神河町は人口密度47人/km²と過疎的水準で、民間賃貸の新規需要は薄い。実需に裏付けられた格安戸建ての指値取得のみが現実的。 借家の空室率は約0%と需給は比較的引き締まっている。</t>
        </is>
      </c>
      <c r="V1192" t="inlineStr">
        <is>
          <t>神河町（兵庫県）：武庫川・加古川の氾濫、瀬戸内・日本海双方の災害特性、六甲山系の土砂災害、活断層地震に注意。</t>
        </is>
      </c>
    </row>
    <row r="1193">
      <c r="A1193" t="inlineStr">
        <is>
          <t>兵庫県</t>
        </is>
      </c>
      <c r="B1193" t="inlineStr">
        <is>
          <t>太子町</t>
        </is>
      </c>
      <c r="C1193" t="n">
        <v>13120</v>
      </c>
      <c r="D1193" t="n">
        <v>32753</v>
      </c>
      <c r="E1193" s="6" t="n">
        <v>1442.4</v>
      </c>
      <c r="F1193" s="7" t="n">
        <v>63.8</v>
      </c>
      <c r="G1193" t="n">
        <v>33477</v>
      </c>
      <c r="H1193" t="n">
        <v>32753</v>
      </c>
      <c r="I1193" t="n">
        <v>31699</v>
      </c>
      <c r="J1193" t="n">
        <v>28098</v>
      </c>
      <c r="K1193" s="27">
        <f>(H1193/D1193-1)</f>
        <v/>
      </c>
      <c r="L1193" s="27">
        <f>(I1193/D1193-1)</f>
        <v/>
      </c>
      <c r="M1193" s="27">
        <f>(J1193/D1193-1)</f>
        <v/>
      </c>
      <c r="N1193" t="n">
        <v>61.5</v>
      </c>
      <c r="O1193" s="28">
        <f>(N1193+F1193)/2</f>
        <v/>
      </c>
      <c r="P1193">
        <f>IF(O1193="計算不能","計算不能",IF(O1193&gt;=80,5,IF(O1193&gt;=60,4,IF(O1193&gt;=40,3,IF(O1193&gt;=28,2,1)))))</f>
        <v/>
      </c>
      <c r="Q1193" t="n">
        <v>4127</v>
      </c>
      <c r="R1193" t="n">
        <v>380</v>
      </c>
      <c r="S1193" s="27">
        <f>R1193/Q1193</f>
        <v/>
      </c>
      <c r="T1193" t="inlineStr">
        <is>
          <t>太子町は2045年までに人口が約14.2%減と緩やかな減少局面。若年層の都市部流出と高齢化が進むが、当面の賃貸稼働は一定程度維持される見通し。</t>
        </is>
      </c>
      <c r="U1193" t="inlineStr">
        <is>
          <t>太子町は人口密度1,442人/km²で、主要道路沿いや中心市街地に一定の賃貸需要が局在。立地選別が稼働を左右する。 借家の空室率は約9%と需給は比較的引き締まっている。</t>
        </is>
      </c>
      <c r="V1193" t="inlineStr">
        <is>
          <t>太子町（兵庫県）：武庫川・加古川の氾濫、瀬戸内・日本海双方の災害特性、六甲山系の土砂災害、活断層地震に注意。</t>
        </is>
      </c>
    </row>
    <row r="1194">
      <c r="A1194" t="inlineStr">
        <is>
          <t>兵庫県</t>
        </is>
      </c>
      <c r="B1194" t="inlineStr">
        <is>
          <t>上郡町</t>
        </is>
      </c>
      <c r="C1194" t="n">
        <v>6354</v>
      </c>
      <c r="D1194" t="n">
        <v>12603</v>
      </c>
      <c r="E1194" s="6" t="n">
        <v>85.3</v>
      </c>
      <c r="F1194" s="7" t="n">
        <v>18.5</v>
      </c>
      <c r="G1194" t="n">
        <v>13879</v>
      </c>
      <c r="H1194" t="n">
        <v>12603</v>
      </c>
      <c r="I1194" t="n">
        <v>11319</v>
      </c>
      <c r="J1194" t="n">
        <v>7684</v>
      </c>
      <c r="K1194" s="27">
        <f>(H1194/D1194-1)</f>
        <v/>
      </c>
      <c r="L1194" s="27">
        <f>(I1194/D1194-1)</f>
        <v/>
      </c>
      <c r="M1194" s="27">
        <f>(J1194/D1194-1)</f>
        <v/>
      </c>
      <c r="N1194" t="n">
        <v>38.7</v>
      </c>
      <c r="O1194" s="28">
        <f>(N1194+F1194)/2</f>
        <v/>
      </c>
      <c r="P1194">
        <f>IF(O1194="計算不能","計算不能",IF(O1194&gt;=80,5,IF(O1194&gt;=60,4,IF(O1194&gt;=40,3,IF(O1194&gt;=28,2,1)))))</f>
        <v/>
      </c>
      <c r="Q1194" t="n">
        <v>1998</v>
      </c>
      <c r="R1194" t="n">
        <v>0</v>
      </c>
      <c r="S1194" s="27">
        <f>R1194/Q1194</f>
        <v/>
      </c>
      <c r="T1194" t="inlineStr">
        <is>
          <t>上郡町は2045年までに人口が約39.0%減と急激な過疎・超高齢化が進行。若年労働世代の流出と自然減が重なり、賃貸事業としての持続性は極めて限定的。</t>
        </is>
      </c>
      <c r="U1194" t="inlineStr">
        <is>
          <t>上郡町は人口密度85人/km²と過疎的水準で、民間賃貸の新規需要は薄い。実需に裏付けられた格安戸建ての指値取得のみが現実的。 借家の空室率は約0%と需給は比較的引き締まっている。</t>
        </is>
      </c>
      <c r="V1194" t="inlineStr">
        <is>
          <t>上郡町（兵庫県）：武庫川・加古川の氾濫、瀬戸内・日本海双方の災害特性、六甲山系の土砂災害、活断層地震に注意。</t>
        </is>
      </c>
    </row>
    <row r="1195">
      <c r="A1195" t="inlineStr">
        <is>
          <t>兵庫県</t>
        </is>
      </c>
      <c r="B1195" t="inlineStr">
        <is>
          <t>佐用町</t>
        </is>
      </c>
      <c r="C1195" t="n">
        <v>5930</v>
      </c>
      <c r="D1195" t="n">
        <v>14015</v>
      </c>
      <c r="E1195" s="6" t="n">
        <v>46</v>
      </c>
      <c r="F1195" s="7" t="n">
        <v>14.6</v>
      </c>
      <c r="G1195" t="n">
        <v>15863</v>
      </c>
      <c r="H1195" t="n">
        <v>14015</v>
      </c>
      <c r="I1195" t="n">
        <v>12491</v>
      </c>
      <c r="J1195" t="n">
        <v>8476</v>
      </c>
      <c r="K1195" s="27">
        <f>(H1195/D1195-1)</f>
        <v/>
      </c>
      <c r="L1195" s="27">
        <f>(I1195/D1195-1)</f>
        <v/>
      </c>
      <c r="M1195" s="27">
        <f>(J1195/D1195-1)</f>
        <v/>
      </c>
      <c r="N1195" t="n">
        <v>36.3</v>
      </c>
      <c r="O1195" s="28">
        <f>(N1195+F1195)/2</f>
        <v/>
      </c>
      <c r="P1195">
        <f>IF(O1195="計算不能","計算不能",IF(O1195&gt;=80,5,IF(O1195&gt;=60,4,IF(O1195&gt;=40,3,IF(O1195&gt;=28,2,1)))))</f>
        <v/>
      </c>
      <c r="Q1195" t="n">
        <v>1865</v>
      </c>
      <c r="R1195" t="n">
        <v>50</v>
      </c>
      <c r="S1195" s="27">
        <f>R1195/Q1195</f>
        <v/>
      </c>
      <c r="T1195" t="inlineStr">
        <is>
          <t>佐用町は2045年までに人口が約39.5%減と急激な過疎・超高齢化が進行。若年労働世代の流出と自然減が重なり、賃貸事業としての持続性は極めて限定的。</t>
        </is>
      </c>
      <c r="U1195" t="inlineStr">
        <is>
          <t>佐用町は人口密度46人/km²と過疎的水準で、民間賃貸の新規需要は薄い。実需に裏付けられた格安戸建ての指値取得のみが現実的。 借家の空室率は約3%と需給は比較的引き締まっている。</t>
        </is>
      </c>
      <c r="V1195" t="inlineStr">
        <is>
          <t>佐用町（兵庫県）：武庫川・加古川の氾濫、瀬戸内・日本海双方の災害特性、六甲山系の土砂災害、活断層地震に注意。</t>
        </is>
      </c>
    </row>
    <row r="1196">
      <c r="A1196" t="inlineStr">
        <is>
          <t>兵庫県</t>
        </is>
      </c>
      <c r="B1196" t="inlineStr">
        <is>
          <t>香美町</t>
        </is>
      </c>
      <c r="C1196" t="n">
        <v>5650</v>
      </c>
      <c r="D1196" t="n">
        <v>14027</v>
      </c>
      <c r="E1196" s="6" t="n">
        <v>38</v>
      </c>
      <c r="F1196" s="7" t="n">
        <v>13.8</v>
      </c>
      <c r="G1196" t="n">
        <v>16064</v>
      </c>
      <c r="H1196" t="n">
        <v>14027</v>
      </c>
      <c r="I1196" t="n">
        <v>12375</v>
      </c>
      <c r="J1196" t="n">
        <v>8228</v>
      </c>
      <c r="K1196" s="27">
        <f>(H1196/D1196-1)</f>
        <v/>
      </c>
      <c r="L1196" s="27">
        <f>(I1196/D1196-1)</f>
        <v/>
      </c>
      <c r="M1196" s="27">
        <f>(J1196/D1196-1)</f>
        <v/>
      </c>
      <c r="N1196" t="n">
        <v>34.7</v>
      </c>
      <c r="O1196" s="28">
        <f>(N1196+F1196)/2</f>
        <v/>
      </c>
      <c r="P1196">
        <f>IF(O1196="計算不能","計算不能",IF(O1196&gt;=80,5,IF(O1196&gt;=60,4,IF(O1196&gt;=40,3,IF(O1196&gt;=28,2,1)))))</f>
        <v/>
      </c>
      <c r="Q1196" t="n">
        <v>1777</v>
      </c>
      <c r="R1196" t="n">
        <v>80</v>
      </c>
      <c r="S1196" s="27">
        <f>R1196/Q1196</f>
        <v/>
      </c>
      <c r="T1196" t="inlineStr">
        <is>
          <t>香美町は2045年までに人口が約41.3%減と急激な過疎・超高齢化が進行。若年労働世代の流出と自然減が重なり、賃貸事業としての持続性は極めて限定的。</t>
        </is>
      </c>
      <c r="U1196" t="inlineStr">
        <is>
          <t>香美町は人口密度38人/km²と過疎的水準で、民間賃貸の新規需要は薄い。実需に裏付けられた格安戸建ての指値取得のみが現実的。 借家の空室率は約5%と需給は比較的引き締まっている。</t>
        </is>
      </c>
      <c r="V1196" t="inlineStr">
        <is>
          <t>香美町（兵庫県）：武庫川・加古川の氾濫、瀬戸内・日本海双方の災害特性、六甲山系の土砂災害、活断層地震に注意。</t>
        </is>
      </c>
    </row>
    <row r="1197">
      <c r="A1197" t="inlineStr">
        <is>
          <t>兵庫県</t>
        </is>
      </c>
      <c r="B1197" t="inlineStr">
        <is>
          <t>新温泉町</t>
        </is>
      </c>
      <c r="C1197" t="n">
        <v>5582</v>
      </c>
      <c r="D1197" t="n">
        <v>11944</v>
      </c>
      <c r="E1197" s="6" t="n">
        <v>50</v>
      </c>
      <c r="F1197" s="7" t="n">
        <v>15</v>
      </c>
      <c r="G1197" t="n">
        <v>13318</v>
      </c>
      <c r="H1197" t="n">
        <v>11944</v>
      </c>
      <c r="I1197" t="n">
        <v>10646</v>
      </c>
      <c r="J1197" t="n">
        <v>7228</v>
      </c>
      <c r="K1197" s="27">
        <f>(H1197/D1197-1)</f>
        <v/>
      </c>
      <c r="L1197" s="27">
        <f>(I1197/D1197-1)</f>
        <v/>
      </c>
      <c r="M1197" s="27">
        <f>(J1197/D1197-1)</f>
        <v/>
      </c>
      <c r="N1197" t="n">
        <v>37.4</v>
      </c>
      <c r="O1197" s="28">
        <f>(N1197+F1197)/2</f>
        <v/>
      </c>
      <c r="P1197">
        <f>IF(O1197="計算不能","計算不能",IF(O1197&gt;=80,5,IF(O1197&gt;=60,4,IF(O1197&gt;=40,3,IF(O1197&gt;=28,2,1)))))</f>
        <v/>
      </c>
      <c r="Q1197" t="n">
        <v>1756</v>
      </c>
      <c r="R1197" t="n">
        <v>0</v>
      </c>
      <c r="S1197" s="27">
        <f>R1197/Q1197</f>
        <v/>
      </c>
      <c r="T1197" t="inlineStr">
        <is>
          <t>新温泉町は2045年までに人口が約39.5%減と急激な過疎・超高齢化が進行。若年労働世代の流出と自然減が重なり、賃貸事業としての持続性は極めて限定的。</t>
        </is>
      </c>
      <c r="U1197" t="inlineStr">
        <is>
          <t>新温泉町は人口密度50人/km²と過疎的水準で、民間賃貸の新規需要は薄い。実需に裏付けられた格安戸建ての指値取得のみが現実的。 借家の空室率は約0%と需給は比較的引き締まっている。</t>
        </is>
      </c>
      <c r="V1197" t="inlineStr">
        <is>
          <t>新温泉町（兵庫県）：武庫川・加古川の氾濫、瀬戸内・日本海双方の災害特性、六甲山系の土砂災害、活断層地震に注意。</t>
        </is>
      </c>
    </row>
    <row r="1198">
      <c r="A1198" t="inlineStr">
        <is>
          <t>奈良県</t>
        </is>
      </c>
      <c r="B1198" t="inlineStr">
        <is>
          <t>奈良市</t>
        </is>
      </c>
      <c r="C1198" t="n">
        <v>157410</v>
      </c>
      <c r="D1198" t="n">
        <v>344243</v>
      </c>
      <c r="E1198" s="6" t="n">
        <v>1222</v>
      </c>
      <c r="F1198" s="7" t="n">
        <v>59.4</v>
      </c>
      <c r="G1198" t="n">
        <v>354630</v>
      </c>
      <c r="H1198" t="n">
        <v>344243</v>
      </c>
      <c r="I1198" t="n">
        <v>332031</v>
      </c>
      <c r="J1198" t="n">
        <v>286346</v>
      </c>
      <c r="K1198" s="27">
        <f>(H1198/D1198-1)</f>
        <v/>
      </c>
      <c r="L1198" s="27">
        <f>(I1198/D1198-1)</f>
        <v/>
      </c>
      <c r="M1198" s="27">
        <f>(J1198/D1198-1)</f>
        <v/>
      </c>
      <c r="N1198" t="n">
        <v>58.6</v>
      </c>
      <c r="O1198" s="28">
        <f>(N1198+F1198)/2</f>
        <v/>
      </c>
      <c r="P1198">
        <f>IF(O1198="計算不能","計算不能",IF(O1198&gt;=80,5,IF(O1198&gt;=60,4,IF(O1198&gt;=40,3,IF(O1198&gt;=28,2,1)))))</f>
        <v/>
      </c>
      <c r="Q1198" t="n">
        <v>36495</v>
      </c>
      <c r="R1198" t="n">
        <v>15510</v>
      </c>
      <c r="S1198" s="27">
        <f>R1198/Q1198</f>
        <v/>
      </c>
      <c r="T1198" t="inlineStr">
        <is>
          <t>奈良市は2045年までに人口が約16.8%減と明確な減少トレンド。高齢化の進行と世帯数の縮小により、中長期では賃貸需要の構造的縮小に警戒が必要。</t>
        </is>
      </c>
      <c r="U1198" t="inlineStr">
        <is>
          <t>奈良市は人口密度1,222人/km²で、主要道路沿いや中心市街地に一定の賃貸需要が局在。立地選別が稼働を左右する。 借家の空室率は約42%と供給過多気味で、空室長期化リスクに要警戒。</t>
        </is>
      </c>
      <c r="V1198" t="inlineStr">
        <is>
          <t>奈良市（奈良県）：大和川水系の氾濫、紀伊山地の土砂災害（深層崩壊）、内陸地震に留意。</t>
        </is>
      </c>
    </row>
    <row r="1199">
      <c r="A1199" t="inlineStr">
        <is>
          <t>奈良県</t>
        </is>
      </c>
      <c r="B1199" t="inlineStr">
        <is>
          <t>大和高田市</t>
        </is>
      </c>
      <c r="C1199" t="n">
        <v>26340</v>
      </c>
      <c r="D1199" t="n">
        <v>58470</v>
      </c>
      <c r="E1199" s="6" t="n">
        <v>3611.8</v>
      </c>
      <c r="F1199" s="7" t="n">
        <v>80</v>
      </c>
      <c r="G1199" t="n">
        <v>61744</v>
      </c>
      <c r="H1199" t="n">
        <v>58470</v>
      </c>
      <c r="I1199" t="n">
        <v>54520</v>
      </c>
      <c r="J1199" t="n">
        <v>41445</v>
      </c>
      <c r="K1199" s="27">
        <f>(H1199/D1199-1)</f>
        <v/>
      </c>
      <c r="L1199" s="27">
        <f>(I1199/D1199-1)</f>
        <v/>
      </c>
      <c r="M1199" s="27">
        <f>(J1199/D1199-1)</f>
        <v/>
      </c>
      <c r="N1199" t="n">
        <v>46.1</v>
      </c>
      <c r="O1199" s="28">
        <f>(N1199+F1199)/2</f>
        <v/>
      </c>
      <c r="P1199">
        <f>IF(O1199="計算不能","計算不能",IF(O1199&gt;=80,5,IF(O1199&gt;=60,4,IF(O1199&gt;=40,3,IF(O1199&gt;=28,2,1)))))</f>
        <v/>
      </c>
      <c r="Q1199" t="n">
        <v>6106</v>
      </c>
      <c r="R1199" t="n">
        <v>1950</v>
      </c>
      <c r="S1199" s="27">
        <f>R1199/Q1199</f>
        <v/>
      </c>
      <c r="T1199" t="inlineStr">
        <is>
          <t>大和高田市は2045年までに人口が約29.1%減と明確な減少トレンド。高齢化の進行と世帯数の縮小により、中長期では賃貸需要の構造的縮小に警戒が必要。</t>
        </is>
      </c>
      <c r="U1199" t="inlineStr">
        <is>
          <t>大和高田市は人口密度3,612人/km²の都市部で、駅周辺や生活利便施設沿いに安定した賃貸需要がある。適切な家賃設定で高稼働を期待できる。 借家の空室率は約32%と供給過多気味で、空室長期化リスクに要警戒。</t>
        </is>
      </c>
      <c r="V1199" t="inlineStr">
        <is>
          <t>大和高田市（奈良県）：大和川水系の氾濫、紀伊山地の土砂災害（深層崩壊）、内陸地震に留意。</t>
        </is>
      </c>
    </row>
    <row r="1200">
      <c r="A1200" t="inlineStr">
        <is>
          <t>奈良県</t>
        </is>
      </c>
      <c r="B1200" t="inlineStr">
        <is>
          <t>大和郡山市</t>
        </is>
      </c>
      <c r="C1200" t="n">
        <v>34360</v>
      </c>
      <c r="D1200" t="n">
        <v>79240</v>
      </c>
      <c r="E1200" s="6" t="n">
        <v>1897.9</v>
      </c>
      <c r="F1200" s="7" t="n">
        <v>69</v>
      </c>
      <c r="G1200" t="n">
        <v>83285</v>
      </c>
      <c r="H1200" t="n">
        <v>79240</v>
      </c>
      <c r="I1200" t="n">
        <v>74510</v>
      </c>
      <c r="J1200" t="n">
        <v>59060</v>
      </c>
      <c r="K1200" s="27">
        <f>(H1200/D1200-1)</f>
        <v/>
      </c>
      <c r="L1200" s="27">
        <f>(I1200/D1200-1)</f>
        <v/>
      </c>
      <c r="M1200" s="27">
        <f>(J1200/D1200-1)</f>
        <v/>
      </c>
      <c r="N1200" t="n">
        <v>49.2</v>
      </c>
      <c r="O1200" s="28">
        <f>(N1200+F1200)/2</f>
        <v/>
      </c>
      <c r="P1200">
        <f>IF(O1200="計算不能","計算不能",IF(O1200&gt;=80,5,IF(O1200&gt;=60,4,IF(O1200&gt;=40,3,IF(O1200&gt;=28,2,1)))))</f>
        <v/>
      </c>
      <c r="Q1200" t="n">
        <v>7966</v>
      </c>
      <c r="R1200" t="n">
        <v>2110</v>
      </c>
      <c r="S1200" s="27">
        <f>R1200/Q1200</f>
        <v/>
      </c>
      <c r="T1200" t="inlineStr">
        <is>
          <t>大和郡山市は2045年までに人口が約25.5%減と明確な減少トレンド。高齢化の進行と世帯数の縮小により、中長期では賃貸需要の構造的縮小に警戒が必要。</t>
        </is>
      </c>
      <c r="U1200" t="inlineStr">
        <is>
          <t>大和郡山市は人口密度1,898人/km²の都市部で、駅周辺や生活利便施設沿いに安定した賃貸需要がある。適切な家賃設定で高稼働を期待できる。 借家の空室率は約26%と供給過多気味で、空室長期化リスクに要警戒。</t>
        </is>
      </c>
      <c r="V1200" t="inlineStr">
        <is>
          <t>大和郡山市（奈良県）：大和川水系の氾濫、紀伊山地の土砂災害（深層崩壊）、内陸地震に留意。</t>
        </is>
      </c>
    </row>
    <row r="1201">
      <c r="A1201" t="inlineStr">
        <is>
          <t>奈良県</t>
        </is>
      </c>
      <c r="B1201" t="inlineStr">
        <is>
          <t>天理市</t>
        </is>
      </c>
      <c r="C1201" t="n">
        <v>24930</v>
      </c>
      <c r="D1201" t="n">
        <v>58652</v>
      </c>
      <c r="E1201" s="6" t="n">
        <v>689.5</v>
      </c>
      <c r="F1201" s="7" t="n">
        <v>48.8</v>
      </c>
      <c r="G1201" t="n">
        <v>63889</v>
      </c>
      <c r="H1201" t="n">
        <v>58652</v>
      </c>
      <c r="I1201" t="n">
        <v>55881</v>
      </c>
      <c r="J1201" t="n">
        <v>45434</v>
      </c>
      <c r="K1201" s="27">
        <f>(H1201/D1201-1)</f>
        <v/>
      </c>
      <c r="L1201" s="27">
        <f>(I1201/D1201-1)</f>
        <v/>
      </c>
      <c r="M1201" s="27">
        <f>(J1201/D1201-1)</f>
        <v/>
      </c>
      <c r="N1201" t="n">
        <v>45.2</v>
      </c>
      <c r="O1201" s="28">
        <f>(N1201+F1201)/2</f>
        <v/>
      </c>
      <c r="P1201">
        <f>IF(O1201="計算不能","計算不能",IF(O1201&gt;=80,5,IF(O1201&gt;=60,4,IF(O1201&gt;=40,3,IF(O1201&gt;=28,2,1)))))</f>
        <v/>
      </c>
      <c r="Q1201" t="n">
        <v>5780</v>
      </c>
      <c r="R1201" t="n">
        <v>3460</v>
      </c>
      <c r="S1201" s="27">
        <f>R1201/Q1201</f>
        <v/>
      </c>
      <c r="T1201" t="inlineStr">
        <is>
          <t>天理市は2045年までに人口が約22.5%減と明確な減少トレンド。高齢化の進行と世帯数の縮小により、中長期では賃貸需要の構造的縮小に警戒が必要。</t>
        </is>
      </c>
      <c r="U1201" t="inlineStr">
        <is>
          <t>天理市は人口密度690人/km²で、主要道路沿いや中心市街地に一定の賃貸需要が局在。立地選別が稼働を左右する。 借家の空室率は約60%と供給過多気味で、空室長期化リスクに要警戒。</t>
        </is>
      </c>
      <c r="V1201" t="inlineStr">
        <is>
          <t>天理市（奈良県）：大和川水系の氾濫、紀伊山地の土砂災害（深層崩壊）、内陸地震に留意。</t>
        </is>
      </c>
    </row>
    <row r="1202">
      <c r="A1202" t="inlineStr">
        <is>
          <t>奈良県</t>
        </is>
      </c>
      <c r="B1202" t="inlineStr">
        <is>
          <t>橿原市</t>
        </is>
      </c>
      <c r="C1202" t="n">
        <v>51410</v>
      </c>
      <c r="D1202" t="n">
        <v>117615</v>
      </c>
      <c r="E1202" s="6" t="n">
        <v>2975.2</v>
      </c>
      <c r="F1202" s="7" t="n">
        <v>79.8</v>
      </c>
      <c r="G1202" t="n">
        <v>120922</v>
      </c>
      <c r="H1202" t="n">
        <v>117615</v>
      </c>
      <c r="I1202" t="n">
        <v>113278</v>
      </c>
      <c r="J1202" t="n">
        <v>96923</v>
      </c>
      <c r="K1202" s="27">
        <f>(H1202/D1202-1)</f>
        <v/>
      </c>
      <c r="L1202" s="27">
        <f>(I1202/D1202-1)</f>
        <v/>
      </c>
      <c r="M1202" s="27">
        <f>(J1202/D1202-1)</f>
        <v/>
      </c>
      <c r="N1202" t="n">
        <v>58.5</v>
      </c>
      <c r="O1202" s="28">
        <f>(N1202+F1202)/2</f>
        <v/>
      </c>
      <c r="P1202">
        <f>IF(O1202="計算不能","計算不能",IF(O1202&gt;=80,5,IF(O1202&gt;=60,4,IF(O1202&gt;=40,3,IF(O1202&gt;=28,2,1)))))</f>
        <v/>
      </c>
      <c r="Q1202" t="n">
        <v>11919</v>
      </c>
      <c r="R1202" t="n">
        <v>3870</v>
      </c>
      <c r="S1202" s="27">
        <f>R1202/Q1202</f>
        <v/>
      </c>
      <c r="T1202" t="inlineStr">
        <is>
          <t>橿原市は2045年までに人口が約17.6%減と明確な減少トレンド。高齢化の進行と世帯数の縮小により、中長期では賃貸需要の構造的縮小に警戒が必要。</t>
        </is>
      </c>
      <c r="U1202" t="inlineStr">
        <is>
          <t>橿原市は人口密度2,975人/km²の都市部で、駅周辺や生活利便施設沿いに安定した賃貸需要がある。適切な家賃設定で高稼働を期待できる。 借家の空室率は約32%と供給過多気味で、空室長期化リスクに要警戒。</t>
        </is>
      </c>
      <c r="V1202" t="inlineStr">
        <is>
          <t>橿原市（奈良県）：大和川水系の氾濫、紀伊山地の土砂災害（深層崩壊）、内陸地震に留意。</t>
        </is>
      </c>
    </row>
    <row r="1203">
      <c r="A1203" t="inlineStr">
        <is>
          <t>奈良県</t>
        </is>
      </c>
      <c r="B1203" t="inlineStr">
        <is>
          <t>桜井市</t>
        </is>
      </c>
      <c r="C1203" t="n">
        <v>22210</v>
      </c>
      <c r="D1203" t="n">
        <v>52105</v>
      </c>
      <c r="E1203" s="6" t="n">
        <v>530.1</v>
      </c>
      <c r="F1203" s="7" t="n">
        <v>45.6</v>
      </c>
      <c r="G1203" t="n">
        <v>54857</v>
      </c>
      <c r="H1203" t="n">
        <v>52105</v>
      </c>
      <c r="I1203" t="n">
        <v>49047</v>
      </c>
      <c r="J1203" t="n">
        <v>39014</v>
      </c>
      <c r="K1203" s="27">
        <f>(H1203/D1203-1)</f>
        <v/>
      </c>
      <c r="L1203" s="27">
        <f>(I1203/D1203-1)</f>
        <v/>
      </c>
      <c r="M1203" s="27">
        <f>(J1203/D1203-1)</f>
        <v/>
      </c>
      <c r="N1203" t="n">
        <v>49.1</v>
      </c>
      <c r="O1203" s="28">
        <f>(N1203+F1203)/2</f>
        <v/>
      </c>
      <c r="P1203">
        <f>IF(O1203="計算不能","計算不能",IF(O1203&gt;=80,5,IF(O1203&gt;=60,4,IF(O1203&gt;=40,3,IF(O1203&gt;=28,2,1)))))</f>
        <v/>
      </c>
      <c r="Q1203" t="n">
        <v>5149</v>
      </c>
      <c r="R1203" t="n">
        <v>1800</v>
      </c>
      <c r="S1203" s="27">
        <f>R1203/Q1203</f>
        <v/>
      </c>
      <c r="T1203" t="inlineStr">
        <is>
          <t>桜井市は2045年までに人口が約25.1%減と明確な減少トレンド。高齢化の進行と世帯数の縮小により、中長期では賃貸需要の構造的縮小に警戒が必要。</t>
        </is>
      </c>
      <c r="U1203" t="inlineStr">
        <is>
          <t>桜井市は人口密度530人/km²で、主要道路沿いや中心市街地に一定の賃貸需要が局在。立地選別が稼働を左右する。 借家の空室率は約35%と供給過多気味で、空室長期化リスクに要警戒。</t>
        </is>
      </c>
      <c r="V1203" t="inlineStr">
        <is>
          <t>桜井市（奈良県）：大和川水系の氾濫、紀伊山地の土砂災害（深層崩壊）、内陸地震に留意。</t>
        </is>
      </c>
    </row>
    <row r="1204">
      <c r="A1204" t="inlineStr">
        <is>
          <t>奈良県</t>
        </is>
      </c>
      <c r="B1204" t="inlineStr">
        <is>
          <t>五條市</t>
        </is>
      </c>
      <c r="C1204" t="n">
        <v>10570</v>
      </c>
      <c r="D1204" t="n">
        <v>24647</v>
      </c>
      <c r="E1204" s="6" t="n">
        <v>86.59999999999999</v>
      </c>
      <c r="F1204" s="7" t="n">
        <v>18.7</v>
      </c>
      <c r="G1204" t="n">
        <v>27927</v>
      </c>
      <c r="H1204" t="n">
        <v>24647</v>
      </c>
      <c r="I1204" t="n">
        <v>21851</v>
      </c>
      <c r="J1204" t="n">
        <v>14080</v>
      </c>
      <c r="K1204" s="27">
        <f>(H1204/D1204-1)</f>
        <v/>
      </c>
      <c r="L1204" s="27">
        <f>(I1204/D1204-1)</f>
        <v/>
      </c>
      <c r="M1204" s="27">
        <f>(J1204/D1204-1)</f>
        <v/>
      </c>
      <c r="N1204" t="n">
        <v>35.3</v>
      </c>
      <c r="O1204" s="28">
        <f>(N1204+F1204)/2</f>
        <v/>
      </c>
      <c r="P1204">
        <f>IF(O1204="計算不能","計算不能",IF(O1204&gt;=80,5,IF(O1204&gt;=60,4,IF(O1204&gt;=40,3,IF(O1204&gt;=28,2,1)))))</f>
        <v/>
      </c>
      <c r="Q1204" t="n">
        <v>2450</v>
      </c>
      <c r="R1204" t="n">
        <v>750</v>
      </c>
      <c r="S1204" s="27">
        <f>R1204/Q1204</f>
        <v/>
      </c>
      <c r="T1204" t="inlineStr">
        <is>
          <t>五條市は2045年までに人口が約42.9%減と急激な過疎・超高齢化が進行。若年労働世代の流出と自然減が重なり、賃貸事業としての持続性は極めて限定的。</t>
        </is>
      </c>
      <c r="U1204" t="inlineStr">
        <is>
          <t>五條市は人口密度87人/km²と過疎的水準で、民間賃貸の新規需要は薄い。実需に裏付けられた格安戸建ての指値取得のみが現実的。 借家の空室率は約31%と供給過多気味で、空室長期化リスクに要警戒。</t>
        </is>
      </c>
      <c r="V1204" t="inlineStr">
        <is>
          <t>五條市（奈良県）：大和川水系の氾濫、紀伊山地の土砂災害（深層崩壊）、内陸地震に留意。</t>
        </is>
      </c>
    </row>
    <row r="1205">
      <c r="A1205" t="inlineStr">
        <is>
          <t>奈良県</t>
        </is>
      </c>
      <c r="B1205" t="inlineStr">
        <is>
          <t>御所市</t>
        </is>
      </c>
      <c r="C1205" t="n">
        <v>9470</v>
      </c>
      <c r="D1205" t="n">
        <v>21672</v>
      </c>
      <c r="E1205" s="6" t="n">
        <v>355.6</v>
      </c>
      <c r="F1205" s="7" t="n">
        <v>37.8</v>
      </c>
      <c r="G1205" t="n">
        <v>24096</v>
      </c>
      <c r="H1205" t="n">
        <v>21672</v>
      </c>
      <c r="I1205" t="n">
        <v>19314</v>
      </c>
      <c r="J1205" t="n">
        <v>12642</v>
      </c>
      <c r="K1205" s="27">
        <f>(H1205/D1205-1)</f>
        <v/>
      </c>
      <c r="L1205" s="27">
        <f>(I1205/D1205-1)</f>
        <v/>
      </c>
      <c r="M1205" s="27">
        <f>(J1205/D1205-1)</f>
        <v/>
      </c>
      <c r="N1205" t="n">
        <v>37.1</v>
      </c>
      <c r="O1205" s="28">
        <f>(N1205+F1205)/2</f>
        <v/>
      </c>
      <c r="P1205">
        <f>IF(O1205="計算不能","計算不能",IF(O1205&gt;=80,5,IF(O1205&gt;=60,4,IF(O1205&gt;=40,3,IF(O1205&gt;=28,2,1)))))</f>
        <v/>
      </c>
      <c r="Q1205" t="n">
        <v>2195</v>
      </c>
      <c r="R1205" t="n">
        <v>800</v>
      </c>
      <c r="S1205" s="27">
        <f>R1205/Q1205</f>
        <v/>
      </c>
      <c r="T1205" t="inlineStr">
        <is>
          <t>御所市は2045年までに人口が約41.7%減と急激な過疎・超高齢化が進行。若年労働世代の流出と自然減が重なり、賃貸事業としての持続性は極めて限定的。</t>
        </is>
      </c>
      <c r="U1205" t="inlineStr">
        <is>
          <t>御所市は人口密度356人/km²と低密度で、賃貸需要は限定的。持ち家比率が高く、駐車場完備の戸建て賃貸が有利。 借家の空室率は約36%と供給過多気味で、空室長期化リスクに要警戒。</t>
        </is>
      </c>
      <c r="V1205" t="inlineStr">
        <is>
          <t>御所市（奈良県）：大和川水系の氾濫、紀伊山地の土砂災害（深層崩壊）、内陸地震に留意。</t>
        </is>
      </c>
    </row>
    <row r="1206">
      <c r="A1206" t="inlineStr">
        <is>
          <t>奈良県</t>
        </is>
      </c>
      <c r="B1206" t="inlineStr">
        <is>
          <t>生駒市</t>
        </is>
      </c>
      <c r="C1206" t="n">
        <v>46350</v>
      </c>
      <c r="D1206" t="n">
        <v>114892</v>
      </c>
      <c r="E1206" s="6" t="n">
        <v>2159.3</v>
      </c>
      <c r="F1206" s="7" t="n">
        <v>71.59999999999999</v>
      </c>
      <c r="G1206" t="n">
        <v>116675</v>
      </c>
      <c r="H1206" t="n">
        <v>114892</v>
      </c>
      <c r="I1206" t="n">
        <v>111660</v>
      </c>
      <c r="J1206" t="n">
        <v>100082</v>
      </c>
      <c r="K1206" s="27">
        <f>(H1206/D1206-1)</f>
        <v/>
      </c>
      <c r="L1206" s="27">
        <f>(I1206/D1206-1)</f>
        <v/>
      </c>
      <c r="M1206" s="27">
        <f>(J1206/D1206-1)</f>
        <v/>
      </c>
      <c r="N1206" t="n">
        <v>63.7</v>
      </c>
      <c r="O1206" s="28">
        <f>(N1206+F1206)/2</f>
        <v/>
      </c>
      <c r="P1206">
        <f>IF(O1206="計算不能","計算不能",IF(O1206&gt;=80,5,IF(O1206&gt;=60,4,IF(O1206&gt;=40,3,IF(O1206&gt;=28,2,1)))))</f>
        <v/>
      </c>
      <c r="Q1206" t="n">
        <v>10746</v>
      </c>
      <c r="R1206" t="n">
        <v>1690</v>
      </c>
      <c r="S1206" s="27">
        <f>R1206/Q1206</f>
        <v/>
      </c>
      <c r="T1206" t="inlineStr">
        <is>
          <t>生駒市は2045年までに人口が約12.9%減と緩やかな減少局面。若年層の都市部流出と高齢化が進むが、当面の賃貸稼働は一定程度維持される見通し。</t>
        </is>
      </c>
      <c r="U1206" t="inlineStr">
        <is>
          <t>生駒市は人口密度2,159人/km²の都市部で、駅周辺や生活利便施設沿いに安定した賃貸需要がある。適切な家賃設定で高稼働を期待できる。 借家の空室率は約16%と需給は比較的引き締まっている。</t>
        </is>
      </c>
      <c r="V1206" t="inlineStr">
        <is>
          <t>生駒市（奈良県）：大和川水系の氾濫、紀伊山地の土砂災害（深層崩壊）、内陸地震に留意。</t>
        </is>
      </c>
    </row>
    <row r="1207">
      <c r="A1207" t="inlineStr">
        <is>
          <t>奈良県</t>
        </is>
      </c>
      <c r="B1207" t="inlineStr">
        <is>
          <t>香芝市</t>
        </is>
      </c>
      <c r="C1207" t="n">
        <v>30320</v>
      </c>
      <c r="D1207" t="n">
        <v>78128</v>
      </c>
      <c r="E1207" s="6" t="n">
        <v>3192.2</v>
      </c>
      <c r="F1207" s="7" t="n">
        <v>80</v>
      </c>
      <c r="G1207" t="n">
        <v>78113</v>
      </c>
      <c r="H1207" t="n">
        <v>78128</v>
      </c>
      <c r="I1207" t="n">
        <v>77324</v>
      </c>
      <c r="J1207" t="n">
        <v>72354</v>
      </c>
      <c r="K1207" s="27">
        <f>(H1207/D1207-1)</f>
        <v/>
      </c>
      <c r="L1207" s="27">
        <f>(I1207/D1207-1)</f>
        <v/>
      </c>
      <c r="M1207" s="27">
        <f>(J1207/D1207-1)</f>
        <v/>
      </c>
      <c r="N1207" t="n">
        <v>70.59999999999999</v>
      </c>
      <c r="O1207" s="28">
        <f>(N1207+F1207)/2</f>
        <v/>
      </c>
      <c r="P1207">
        <f>IF(O1207="計算不能","計算不能",IF(O1207&gt;=80,5,IF(O1207&gt;=60,4,IF(O1207&gt;=40,3,IF(O1207&gt;=28,2,1)))))</f>
        <v/>
      </c>
      <c r="Q1207" t="n">
        <v>7029</v>
      </c>
      <c r="R1207" t="n">
        <v>810</v>
      </c>
      <c r="S1207" s="27">
        <f>R1207/Q1207</f>
        <v/>
      </c>
      <c r="T1207" t="inlineStr">
        <is>
          <t>香芝市は2045年までに人口が約7.4%減と緩やかな減少局面。若年層の都市部流出と高齢化が進むが、当面の賃貸稼働は一定程度維持される見通し。</t>
        </is>
      </c>
      <c r="U1207" t="inlineStr">
        <is>
          <t>香芝市は人口密度3,192人/km²の都市部で、駅周辺や生活利便施設沿いに安定した賃貸需要がある。適切な家賃設定で高稼働を期待できる。 借家の空室率は約12%と需給は比較的引き締まっている。</t>
        </is>
      </c>
      <c r="V1207" t="inlineStr">
        <is>
          <t>香芝市（奈良県）：大和川水系の氾濫、紀伊山地の土砂災害（深層崩壊）、内陸地震に留意。</t>
        </is>
      </c>
    </row>
    <row r="1208">
      <c r="A1208" t="inlineStr">
        <is>
          <t>奈良県</t>
        </is>
      </c>
      <c r="B1208" t="inlineStr">
        <is>
          <t>葛城市</t>
        </is>
      </c>
      <c r="C1208" t="n">
        <v>13800</v>
      </c>
      <c r="D1208" t="n">
        <v>36624</v>
      </c>
      <c r="E1208" s="6" t="n">
        <v>1092.6</v>
      </c>
      <c r="F1208" s="7" t="n">
        <v>56.9</v>
      </c>
      <c r="G1208" t="n">
        <v>36832</v>
      </c>
      <c r="H1208" t="n">
        <v>36624</v>
      </c>
      <c r="I1208" t="n">
        <v>36176</v>
      </c>
      <c r="J1208" t="n">
        <v>33203</v>
      </c>
      <c r="K1208" s="27">
        <f>(H1208/D1208-1)</f>
        <v/>
      </c>
      <c r="L1208" s="27">
        <f>(I1208/D1208-1)</f>
        <v/>
      </c>
      <c r="M1208" s="27">
        <f>(J1208/D1208-1)</f>
        <v/>
      </c>
      <c r="N1208" t="n">
        <v>68.40000000000001</v>
      </c>
      <c r="O1208" s="28">
        <f>(N1208+F1208)/2</f>
        <v/>
      </c>
      <c r="P1208">
        <f>IF(O1208="計算不能","計算不能",IF(O1208&gt;=80,5,IF(O1208&gt;=60,4,IF(O1208&gt;=40,3,IF(O1208&gt;=28,2,1)))))</f>
        <v/>
      </c>
      <c r="Q1208" t="n">
        <v>3199</v>
      </c>
      <c r="R1208" t="n">
        <v>860</v>
      </c>
      <c r="S1208" s="27">
        <f>R1208/Q1208</f>
        <v/>
      </c>
      <c r="T1208" t="inlineStr">
        <is>
          <t>葛城市は2045年までに人口が約9.3%減と緩やかな減少局面。若年層の都市部流出と高齢化が進むが、当面の賃貸稼働は一定程度維持される見通し。</t>
        </is>
      </c>
      <c r="U1208" t="inlineStr">
        <is>
          <t>葛城市は人口密度1,093人/km²で、主要道路沿いや中心市街地に一定の賃貸需要が局在。立地選別が稼働を左右する。 借家の空室率は約27%と供給過多気味で、空室長期化リスクに要警戒。</t>
        </is>
      </c>
      <c r="V1208" t="inlineStr">
        <is>
          <t>葛城市（奈良県）：大和川水系の氾濫、紀伊山地の土砂災害（深層崩壊）、内陸地震に留意。</t>
        </is>
      </c>
    </row>
    <row r="1209">
      <c r="A1209" t="inlineStr">
        <is>
          <t>奈良県</t>
        </is>
      </c>
      <c r="B1209" t="inlineStr">
        <is>
          <t>宇陀市</t>
        </is>
      </c>
      <c r="C1209" t="n">
        <v>10740</v>
      </c>
      <c r="D1209" t="n">
        <v>24993</v>
      </c>
      <c r="E1209" s="6" t="n">
        <v>102</v>
      </c>
      <c r="F1209" s="7" t="n">
        <v>20.2</v>
      </c>
      <c r="G1209" t="n">
        <v>28121</v>
      </c>
      <c r="H1209" t="n">
        <v>24993</v>
      </c>
      <c r="I1209" t="n">
        <v>22273</v>
      </c>
      <c r="J1209" t="n">
        <v>14291</v>
      </c>
      <c r="K1209" s="27">
        <f>(H1209/D1209-1)</f>
        <v/>
      </c>
      <c r="L1209" s="27">
        <f>(I1209/D1209-1)</f>
        <v/>
      </c>
      <c r="M1209" s="27">
        <f>(J1209/D1209-1)</f>
        <v/>
      </c>
      <c r="N1209" t="n">
        <v>36</v>
      </c>
      <c r="O1209" s="28">
        <f>(N1209+F1209)/2</f>
        <v/>
      </c>
      <c r="P1209">
        <f>IF(O1209="計算不能","計算不能",IF(O1209&gt;=80,5,IF(O1209&gt;=60,4,IF(O1209&gt;=40,3,IF(O1209&gt;=28,2,1)))))</f>
        <v/>
      </c>
      <c r="Q1209" t="n">
        <v>2490</v>
      </c>
      <c r="R1209" t="n">
        <v>350</v>
      </c>
      <c r="S1209" s="27">
        <f>R1209/Q1209</f>
        <v/>
      </c>
      <c r="T1209" t="inlineStr">
        <is>
          <t>宇陀市は2045年までに人口が約42.8%減と急激な過疎・超高齢化が進行。若年労働世代の流出と自然減が重なり、賃貸事業としての持続性は極めて限定的。</t>
        </is>
      </c>
      <c r="U1209" t="inlineStr">
        <is>
          <t>宇陀市は人口密度102人/km²と過疎的水準で、民間賃貸の新規需要は薄い。実需に裏付けられた格安戸建ての指値取得のみが現実的。 借家の空室率は約14%と需給は比較的引き締まっている。</t>
        </is>
      </c>
      <c r="V1209" t="inlineStr">
        <is>
          <t>宇陀市（奈良県）：大和川水系の氾濫、紀伊山地の土砂災害（深層崩壊）、内陸地震に留意。</t>
        </is>
      </c>
    </row>
    <row r="1210">
      <c r="A1210" t="inlineStr">
        <is>
          <t>奈良県</t>
        </is>
      </c>
      <c r="B1210" t="inlineStr">
        <is>
          <t>山添村</t>
        </is>
      </c>
      <c r="C1210" t="n">
        <v>1305</v>
      </c>
      <c r="D1210" t="n">
        <v>2871</v>
      </c>
      <c r="E1210" s="6" t="n">
        <v>42.5</v>
      </c>
      <c r="F1210" s="7" t="n">
        <v>14.2</v>
      </c>
      <c r="G1210" t="n">
        <v>3226</v>
      </c>
      <c r="H1210" t="n">
        <v>2871</v>
      </c>
      <c r="I1210" t="n">
        <v>2516</v>
      </c>
      <c r="J1210" t="n">
        <v>1564</v>
      </c>
      <c r="K1210" s="27">
        <f>(H1210/D1210-1)</f>
        <v/>
      </c>
      <c r="L1210" s="27">
        <f>(I1210/D1210-1)</f>
        <v/>
      </c>
      <c r="M1210" s="27">
        <f>(J1210/D1210-1)</f>
        <v/>
      </c>
      <c r="N1210" t="n">
        <v>35</v>
      </c>
      <c r="O1210" s="28">
        <f>(N1210+F1210)/2</f>
        <v/>
      </c>
      <c r="P1210">
        <f>IF(O1210="計算不能","計算不能",IF(O1210&gt;=80,5,IF(O1210&gt;=60,4,IF(O1210&gt;=40,3,IF(O1210&gt;=28,2,1)))))</f>
        <v/>
      </c>
      <c r="Q1210" t="n">
        <v>302</v>
      </c>
      <c r="R1210" t="n">
        <v>0</v>
      </c>
      <c r="S1210" s="27">
        <f>R1210/Q1210</f>
        <v/>
      </c>
      <c r="T1210" t="inlineStr">
        <is>
          <t>山添村は2045年までに人口が約45.5%減と急激な過疎・超高齢化が進行。若年労働世代の流出と自然減が重なり、賃貸事業としての持続性は極めて限定的。</t>
        </is>
      </c>
      <c r="U1210" t="inlineStr">
        <is>
          <t>山添村は人口密度42人/km²と過疎的水準で、民間賃貸の新規需要は薄い。実需に裏付けられた格安戸建ての指値取得のみが現実的。 借家の空室率は約0%と需給は比較的引き締まっている。</t>
        </is>
      </c>
      <c r="V1210" t="inlineStr">
        <is>
          <t>山添村（奈良県）：大和川水系の氾濫、紀伊山地の土砂災害（深層崩壊）、内陸地震に留意。</t>
        </is>
      </c>
    </row>
    <row r="1211">
      <c r="A1211" t="inlineStr">
        <is>
          <t>奈良県</t>
        </is>
      </c>
      <c r="B1211" t="inlineStr">
        <is>
          <t>平群町</t>
        </is>
      </c>
      <c r="C1211" t="n">
        <v>7390</v>
      </c>
      <c r="D1211" t="n">
        <v>17037</v>
      </c>
      <c r="E1211" s="6" t="n">
        <v>726.2</v>
      </c>
      <c r="F1211" s="7" t="n">
        <v>49.5</v>
      </c>
      <c r="G1211" t="n">
        <v>18009</v>
      </c>
      <c r="H1211" t="n">
        <v>17037</v>
      </c>
      <c r="I1211" t="n">
        <v>15845</v>
      </c>
      <c r="J1211" t="n">
        <v>12096</v>
      </c>
      <c r="K1211" s="27">
        <f>(H1211/D1211-1)</f>
        <v/>
      </c>
      <c r="L1211" s="27">
        <f>(I1211/D1211-1)</f>
        <v/>
      </c>
      <c r="M1211" s="27">
        <f>(J1211/D1211-1)</f>
        <v/>
      </c>
      <c r="N1211" t="n">
        <v>45.9</v>
      </c>
      <c r="O1211" s="28">
        <f>(N1211+F1211)/2</f>
        <v/>
      </c>
      <c r="P1211">
        <f>IF(O1211="計算不能","計算不能",IF(O1211&gt;=80,5,IF(O1211&gt;=60,4,IF(O1211&gt;=40,3,IF(O1211&gt;=28,2,1)))))</f>
        <v/>
      </c>
      <c r="Q1211" t="n">
        <v>1713</v>
      </c>
      <c r="R1211" t="n">
        <v>0</v>
      </c>
      <c r="S1211" s="27">
        <f>R1211/Q1211</f>
        <v/>
      </c>
      <c r="T1211" t="inlineStr">
        <is>
          <t>平群町は2045年までに人口が約29.0%減と明確な減少トレンド。高齢化の進行と世帯数の縮小により、中長期では賃貸需要の構造的縮小に警戒が必要。</t>
        </is>
      </c>
      <c r="U1211" t="inlineStr">
        <is>
          <t>平群町は人口密度726人/km²で、主要道路沿いや中心市街地に一定の賃貸需要が局在。立地選別が稼働を左右する。 借家の空室率は約0%と需給は比較的引き締まっている。</t>
        </is>
      </c>
      <c r="V1211" t="inlineStr">
        <is>
          <t>平群町（奈良県）：大和川水系の氾濫、紀伊山地の土砂災害（深層崩壊）、内陸地震に留意。</t>
        </is>
      </c>
    </row>
    <row r="1212">
      <c r="A1212" t="inlineStr">
        <is>
          <t>奈良県</t>
        </is>
      </c>
      <c r="B1212" t="inlineStr">
        <is>
          <t>三郷町</t>
        </is>
      </c>
      <c r="C1212" t="n">
        <v>10060</v>
      </c>
      <c r="D1212" t="n">
        <v>22859</v>
      </c>
      <c r="E1212" s="6" t="n">
        <v>2538.6</v>
      </c>
      <c r="F1212" s="7" t="n">
        <v>75.40000000000001</v>
      </c>
      <c r="G1212" t="n">
        <v>23219</v>
      </c>
      <c r="H1212" t="n">
        <v>22859</v>
      </c>
      <c r="I1212" t="n">
        <v>22276</v>
      </c>
      <c r="J1212" t="n">
        <v>19959</v>
      </c>
      <c r="K1212" s="27">
        <f>(H1212/D1212-1)</f>
        <v/>
      </c>
      <c r="L1212" s="27">
        <f>(I1212/D1212-1)</f>
        <v/>
      </c>
      <c r="M1212" s="27">
        <f>(J1212/D1212-1)</f>
        <v/>
      </c>
      <c r="N1212" t="n">
        <v>63.9</v>
      </c>
      <c r="O1212" s="28">
        <f>(N1212+F1212)/2</f>
        <v/>
      </c>
      <c r="P1212">
        <f>IF(O1212="計算不能","計算不能",IF(O1212&gt;=80,5,IF(O1212&gt;=60,4,IF(O1212&gt;=40,3,IF(O1212&gt;=28,2,1)))))</f>
        <v/>
      </c>
      <c r="Q1212" t="n">
        <v>2332</v>
      </c>
      <c r="R1212" t="n">
        <v>870</v>
      </c>
      <c r="S1212" s="27">
        <f>R1212/Q1212</f>
        <v/>
      </c>
      <c r="T1212" t="inlineStr">
        <is>
          <t>三郷町は2045年までに人口が約12.7%減と緩やかな減少局面。若年層の都市部流出と高齢化が進むが、当面の賃貸稼働は一定程度維持される見通し。</t>
        </is>
      </c>
      <c r="U1212" t="inlineStr">
        <is>
          <t>三郷町は人口密度2,539人/km²の都市部で、駅周辺や生活利便施設沿いに安定した賃貸需要がある。適切な家賃設定で高稼働を期待できる。 借家の空室率は約37%と供給過多気味で、空室長期化リスクに要警戒。</t>
        </is>
      </c>
      <c r="V1212" t="inlineStr">
        <is>
          <t>三郷町（奈良県）：大和川水系の氾濫、紀伊山地の土砂災害（深層崩壊）、内陸地震に留意。</t>
        </is>
      </c>
    </row>
    <row r="1213">
      <c r="A1213" t="inlineStr">
        <is>
          <t>奈良県</t>
        </is>
      </c>
      <c r="B1213" t="inlineStr">
        <is>
          <t>斑鳩町</t>
        </is>
      </c>
      <c r="C1213" t="n">
        <v>11160</v>
      </c>
      <c r="D1213" t="n">
        <v>27311</v>
      </c>
      <c r="E1213" s="6" t="n">
        <v>1892.4</v>
      </c>
      <c r="F1213" s="7" t="n">
        <v>68.90000000000001</v>
      </c>
      <c r="G1213" t="n">
        <v>27587</v>
      </c>
      <c r="H1213" t="n">
        <v>27311</v>
      </c>
      <c r="I1213" t="n">
        <v>26462</v>
      </c>
      <c r="J1213" t="n">
        <v>23423</v>
      </c>
      <c r="K1213" s="27">
        <f>(H1213/D1213-1)</f>
        <v/>
      </c>
      <c r="L1213" s="27">
        <f>(I1213/D1213-1)</f>
        <v/>
      </c>
      <c r="M1213" s="27">
        <f>(J1213/D1213-1)</f>
        <v/>
      </c>
      <c r="N1213" t="n">
        <v>63.8</v>
      </c>
      <c r="O1213" s="28">
        <f>(N1213+F1213)/2</f>
        <v/>
      </c>
      <c r="P1213">
        <f>IF(O1213="計算不能","計算不能",IF(O1213&gt;=80,5,IF(O1213&gt;=60,4,IF(O1213&gt;=40,3,IF(O1213&gt;=28,2,1)))))</f>
        <v/>
      </c>
      <c r="Q1213" t="n">
        <v>2587</v>
      </c>
      <c r="R1213" t="n">
        <v>250</v>
      </c>
      <c r="S1213" s="27">
        <f>R1213/Q1213</f>
        <v/>
      </c>
      <c r="T1213" t="inlineStr">
        <is>
          <t>斑鳩町は2045年までに人口が約14.2%減と緩やかな減少局面。若年層の都市部流出と高齢化が進むが、当面の賃貸稼働は一定程度維持される見通し。</t>
        </is>
      </c>
      <c r="U1213" t="inlineStr">
        <is>
          <t>斑鳩町は人口密度1,892人/km²の都市部で、駅周辺や生活利便施設沿いに安定した賃貸需要がある。適切な家賃設定で高稼働を期待できる。 借家の空室率は約10%と需給は比較的引き締まっている。</t>
        </is>
      </c>
      <c r="V1213" t="inlineStr">
        <is>
          <t>斑鳩町（奈良県）：大和川水系の氾濫、紀伊山地の土砂災害（深層崩壊）、内陸地震に留意。</t>
        </is>
      </c>
    </row>
    <row r="1214">
      <c r="A1214" t="inlineStr">
        <is>
          <t>奈良県</t>
        </is>
      </c>
      <c r="B1214" t="inlineStr">
        <is>
          <t>安堵町</t>
        </is>
      </c>
      <c r="C1214" t="n">
        <v>3604</v>
      </c>
      <c r="D1214" t="n">
        <v>6855</v>
      </c>
      <c r="E1214" s="6" t="n">
        <v>1574.5</v>
      </c>
      <c r="F1214" s="7" t="n">
        <v>65.7</v>
      </c>
      <c r="G1214" t="n">
        <v>7225</v>
      </c>
      <c r="H1214" t="n">
        <v>6855</v>
      </c>
      <c r="I1214" t="n">
        <v>6465</v>
      </c>
      <c r="J1214" t="n">
        <v>4980</v>
      </c>
      <c r="K1214" s="27">
        <f>(H1214/D1214-1)</f>
        <v/>
      </c>
      <c r="L1214" s="27">
        <f>(I1214/D1214-1)</f>
        <v/>
      </c>
      <c r="M1214" s="27">
        <f>(J1214/D1214-1)</f>
        <v/>
      </c>
      <c r="N1214" t="n">
        <v>48</v>
      </c>
      <c r="O1214" s="28">
        <f>(N1214+F1214)/2</f>
        <v/>
      </c>
      <c r="P1214">
        <f>IF(O1214="計算不能","計算不能",IF(O1214&gt;=80,5,IF(O1214&gt;=60,4,IF(O1214&gt;=40,3,IF(O1214&gt;=28,2,1)))))</f>
        <v/>
      </c>
      <c r="Q1214" t="n">
        <v>835</v>
      </c>
      <c r="R1214" t="n">
        <v>0</v>
      </c>
      <c r="S1214" s="27">
        <f>R1214/Q1214</f>
        <v/>
      </c>
      <c r="T1214" t="inlineStr">
        <is>
          <t>安堵町は2045年までに人口が約27.4%減と明確な減少トレンド。高齢化の進行と世帯数の縮小により、中長期では賃貸需要の構造的縮小に警戒が必要。</t>
        </is>
      </c>
      <c r="U1214" t="inlineStr">
        <is>
          <t>安堵町は人口密度1,574人/km²の都市部で、駅周辺や生活利便施設沿いに安定した賃貸需要がある。適切な家賃設定で高稼働を期待できる。 借家の空室率は約0%と需給は比較的引き締まっている。</t>
        </is>
      </c>
      <c r="V1214" t="inlineStr">
        <is>
          <t>安堵町（奈良県）：大和川水系の氾濫、紀伊山地の土砂災害（深層崩壊）、内陸地震に留意。</t>
        </is>
      </c>
    </row>
    <row r="1215">
      <c r="A1215" t="inlineStr">
        <is>
          <t>奈良県</t>
        </is>
      </c>
      <c r="B1215" t="inlineStr">
        <is>
          <t>川西町</t>
        </is>
      </c>
      <c r="C1215" t="n">
        <v>3595</v>
      </c>
      <c r="D1215" t="n">
        <v>7735</v>
      </c>
      <c r="E1215" s="6" t="n">
        <v>1283.3</v>
      </c>
      <c r="F1215" s="7" t="n">
        <v>60.7</v>
      </c>
      <c r="G1215" t="n">
        <v>8167</v>
      </c>
      <c r="H1215" t="n">
        <v>7735</v>
      </c>
      <c r="I1215" t="n">
        <v>7244</v>
      </c>
      <c r="J1215" t="n">
        <v>5707</v>
      </c>
      <c r="K1215" s="27">
        <f>(H1215/D1215-1)</f>
        <v/>
      </c>
      <c r="L1215" s="27">
        <f>(I1215/D1215-1)</f>
        <v/>
      </c>
      <c r="M1215" s="27">
        <f>(J1215/D1215-1)</f>
        <v/>
      </c>
      <c r="N1215" t="n">
        <v>47.8</v>
      </c>
      <c r="O1215" s="28">
        <f>(N1215+F1215)/2</f>
        <v/>
      </c>
      <c r="P1215">
        <f>IF(O1215="計算不能","計算不能",IF(O1215&gt;=80,5,IF(O1215&gt;=60,4,IF(O1215&gt;=40,3,IF(O1215&gt;=28,2,1)))))</f>
        <v/>
      </c>
      <c r="Q1215" t="n">
        <v>833</v>
      </c>
      <c r="R1215" t="n">
        <v>0</v>
      </c>
      <c r="S1215" s="27">
        <f>R1215/Q1215</f>
        <v/>
      </c>
      <c r="T1215" t="inlineStr">
        <is>
          <t>川西町は2045年までに人口が約26.2%減と明確な減少トレンド。高齢化の進行と世帯数の縮小により、中長期では賃貸需要の構造的縮小に警戒が必要。</t>
        </is>
      </c>
      <c r="U1215" t="inlineStr">
        <is>
          <t>川西町は人口密度1,283人/km²で、主要道路沿いや中心市街地に一定の賃貸需要が局在。立地選別が稼働を左右する。 借家の空室率は約0%と需給は比較的引き締まっている。</t>
        </is>
      </c>
      <c r="V1215" t="inlineStr">
        <is>
          <t>川西町（奈良県）：大和川水系の氾濫、紀伊山地の土砂災害（深層崩壊）、内陸地震に留意。</t>
        </is>
      </c>
    </row>
    <row r="1216">
      <c r="A1216" t="inlineStr">
        <is>
          <t>奈良県</t>
        </is>
      </c>
      <c r="B1216" t="inlineStr">
        <is>
          <t>三宅町</t>
        </is>
      </c>
      <c r="C1216" t="n">
        <v>3060</v>
      </c>
      <c r="D1216" t="n">
        <v>5948</v>
      </c>
      <c r="E1216" s="6" t="n">
        <v>1489.9</v>
      </c>
      <c r="F1216" s="7" t="n">
        <v>64.8</v>
      </c>
      <c r="G1216" t="n">
        <v>6439</v>
      </c>
      <c r="H1216" t="n">
        <v>5948</v>
      </c>
      <c r="I1216" t="n">
        <v>5440</v>
      </c>
      <c r="J1216" t="n">
        <v>3915</v>
      </c>
      <c r="K1216" s="27">
        <f>(H1216/D1216-1)</f>
        <v/>
      </c>
      <c r="L1216" s="27">
        <f>(I1216/D1216-1)</f>
        <v/>
      </c>
      <c r="M1216" s="27">
        <f>(J1216/D1216-1)</f>
        <v/>
      </c>
      <c r="N1216" t="n">
        <v>41.7</v>
      </c>
      <c r="O1216" s="28">
        <f>(N1216+F1216)/2</f>
        <v/>
      </c>
      <c r="P1216">
        <f>IF(O1216="計算不能","計算不能",IF(O1216&gt;=80,5,IF(O1216&gt;=60,4,IF(O1216&gt;=40,3,IF(O1216&gt;=28,2,1)))))</f>
        <v/>
      </c>
      <c r="Q1216" t="n">
        <v>709</v>
      </c>
      <c r="R1216" t="n">
        <v>0</v>
      </c>
      <c r="S1216" s="27">
        <f>R1216/Q1216</f>
        <v/>
      </c>
      <c r="T1216" t="inlineStr">
        <is>
          <t>三宅町は2045年までに人口が約34.2%減と急激な過疎・超高齢化が進行。若年労働世代の流出と自然減が重なり、賃貸事業としての持続性は極めて限定的。</t>
        </is>
      </c>
      <c r="U1216" t="inlineStr">
        <is>
          <t>三宅町は人口密度1,490人/km²で、主要道路沿いや中心市街地に一定の賃貸需要が局在。立地選別が稼働を左右する。 借家の空室率は約0%と需給は比較的引き締まっている。</t>
        </is>
      </c>
      <c r="V1216" t="inlineStr">
        <is>
          <t>三宅町（奈良県）：大和川水系の氾濫、紀伊山地の土砂災害（深層崩壊）、内陸地震に留意。</t>
        </is>
      </c>
    </row>
    <row r="1217">
      <c r="A1217" t="inlineStr">
        <is>
          <t>奈良県</t>
        </is>
      </c>
      <c r="B1217" t="inlineStr">
        <is>
          <t>田原本町</t>
        </is>
      </c>
      <c r="C1217" t="n">
        <v>11960</v>
      </c>
      <c r="D1217" t="n">
        <v>30332</v>
      </c>
      <c r="E1217" s="6" t="n">
        <v>1448.8</v>
      </c>
      <c r="F1217" s="7" t="n">
        <v>64</v>
      </c>
      <c r="G1217" t="n">
        <v>31177</v>
      </c>
      <c r="H1217" t="n">
        <v>30332</v>
      </c>
      <c r="I1217" t="n">
        <v>28906</v>
      </c>
      <c r="J1217" t="n">
        <v>23822</v>
      </c>
      <c r="K1217" s="27">
        <f>(H1217/D1217-1)</f>
        <v/>
      </c>
      <c r="L1217" s="27">
        <f>(I1217/D1217-1)</f>
        <v/>
      </c>
      <c r="M1217" s="27">
        <f>(J1217/D1217-1)</f>
        <v/>
      </c>
      <c r="N1217" t="n">
        <v>55.9</v>
      </c>
      <c r="O1217" s="28">
        <f>(N1217+F1217)/2</f>
        <v/>
      </c>
      <c r="P1217">
        <f>IF(O1217="計算不能","計算不能",IF(O1217&gt;=80,5,IF(O1217&gt;=60,4,IF(O1217&gt;=40,3,IF(O1217&gt;=28,2,1)))))</f>
        <v/>
      </c>
      <c r="Q1217" t="n">
        <v>2772</v>
      </c>
      <c r="R1217" t="n">
        <v>240</v>
      </c>
      <c r="S1217" s="27">
        <f>R1217/Q1217</f>
        <v/>
      </c>
      <c r="T1217" t="inlineStr">
        <is>
          <t>田原本町は2045年までに人口が約21.5%減と明確な減少トレンド。高齢化の進行と世帯数の縮小により、中長期では賃貸需要の構造的縮小に警戒が必要。</t>
        </is>
      </c>
      <c r="U1217" t="inlineStr">
        <is>
          <t>田原本町は人口密度1,449人/km²で、主要道路沿いや中心市街地に一定の賃貸需要が局在。立地選別が稼働を左右する。 借家の空室率は約9%と需給は比較的引き締まっている。</t>
        </is>
      </c>
      <c r="V1217" t="inlineStr">
        <is>
          <t>田原本町（奈良県）：大和川水系の氾濫、紀伊山地の土砂災害（深層崩壊）、内陸地震に留意。</t>
        </is>
      </c>
    </row>
    <row r="1218">
      <c r="A1218" t="inlineStr">
        <is>
          <t>奈良県</t>
        </is>
      </c>
      <c r="B1218" t="inlineStr">
        <is>
          <t>曽爾村</t>
        </is>
      </c>
      <c r="C1218" t="n">
        <v>643</v>
      </c>
      <c r="D1218" t="n">
        <v>1088</v>
      </c>
      <c r="E1218" s="6" t="n">
        <v>24</v>
      </c>
      <c r="F1218" s="7" t="n">
        <v>12.4</v>
      </c>
      <c r="G1218" t="n">
        <v>1295</v>
      </c>
      <c r="H1218" t="n">
        <v>1088</v>
      </c>
      <c r="I1218" t="n">
        <v>913</v>
      </c>
      <c r="J1218" t="n">
        <v>485</v>
      </c>
      <c r="K1218" s="27">
        <f>(H1218/D1218-1)</f>
        <v/>
      </c>
      <c r="L1218" s="27">
        <f>(I1218/D1218-1)</f>
        <v/>
      </c>
      <c r="M1218" s="27">
        <f>(J1218/D1218-1)</f>
        <v/>
      </c>
      <c r="N1218" t="n">
        <v>28.8</v>
      </c>
      <c r="O1218" s="28">
        <f>(N1218+F1218)/2</f>
        <v/>
      </c>
      <c r="P1218">
        <f>IF(O1218="計算不能","計算不能",IF(O1218&gt;=80,5,IF(O1218&gt;=60,4,IF(O1218&gt;=40,3,IF(O1218&gt;=28,2,1)))))</f>
        <v/>
      </c>
      <c r="Q1218" t="n">
        <v>149</v>
      </c>
      <c r="R1218" t="n">
        <v>0</v>
      </c>
      <c r="S1218" s="27">
        <f>R1218/Q1218</f>
        <v/>
      </c>
      <c r="T1218" t="inlineStr">
        <is>
          <t>曽爾村は2045年までに人口が約55.4%減と急激な過疎・超高齢化が進行。若年労働世代の流出と自然減が重なり、賃貸事業としての持続性は極めて限定的。</t>
        </is>
      </c>
      <c r="U1218" t="inlineStr">
        <is>
          <t>曽爾村は人口密度24人/km²と過疎的水準で、民間賃貸の新規需要は薄い。実需に裏付けられた格安戸建ての指値取得のみが現実的。 借家の空室率は約0%と需給は比較的引き締まっている。</t>
        </is>
      </c>
      <c r="V1218" t="inlineStr">
        <is>
          <t>曽爾村（奈良県）：大和川水系の氾濫、紀伊山地の土砂災害（深層崩壊）、内陸地震に留意。</t>
        </is>
      </c>
    </row>
    <row r="1219">
      <c r="A1219" t="inlineStr">
        <is>
          <t>奈良県</t>
        </is>
      </c>
      <c r="B1219" t="inlineStr">
        <is>
          <t>御杖村</t>
        </is>
      </c>
      <c r="C1219" t="n">
        <v>759</v>
      </c>
      <c r="D1219" t="n">
        <v>1229</v>
      </c>
      <c r="E1219" s="6" t="n">
        <v>15.4</v>
      </c>
      <c r="F1219" s="7" t="n">
        <v>11.5</v>
      </c>
      <c r="G1219" t="n">
        <v>1479</v>
      </c>
      <c r="H1219" t="n">
        <v>1229</v>
      </c>
      <c r="I1219" t="n">
        <v>1020</v>
      </c>
      <c r="J1219" t="n">
        <v>543</v>
      </c>
      <c r="K1219" s="27">
        <f>(H1219/D1219-1)</f>
        <v/>
      </c>
      <c r="L1219" s="27">
        <f>(I1219/D1219-1)</f>
        <v/>
      </c>
      <c r="M1219" s="27">
        <f>(J1219/D1219-1)</f>
        <v/>
      </c>
      <c r="N1219" t="n">
        <v>28.3</v>
      </c>
      <c r="O1219" s="28">
        <f>(N1219+F1219)/2</f>
        <v/>
      </c>
      <c r="P1219">
        <f>IF(O1219="計算不能","計算不能",IF(O1219&gt;=80,5,IF(O1219&gt;=60,4,IF(O1219&gt;=40,3,IF(O1219&gt;=28,2,1)))))</f>
        <v/>
      </c>
      <c r="Q1219" t="n">
        <v>175</v>
      </c>
      <c r="R1219" t="n">
        <v>0</v>
      </c>
      <c r="S1219" s="27">
        <f>R1219/Q1219</f>
        <v/>
      </c>
      <c r="T1219" t="inlineStr">
        <is>
          <t>御杖村は2045年までに人口が約55.8%減と急激な過疎・超高齢化が進行。若年労働世代の流出と自然減が重なり、賃貸事業としての持続性は極めて限定的。</t>
        </is>
      </c>
      <c r="U1219" t="inlineStr">
        <is>
          <t>御杖村は人口密度15人/km²と過疎的水準で、民間賃貸の新規需要は薄い。実需に裏付けられた格安戸建ての指値取得のみが現実的。 借家の空室率は約0%と需給は比較的引き締まっている。</t>
        </is>
      </c>
      <c r="V1219" t="inlineStr">
        <is>
          <t>御杖村（奈良県）：大和川水系の氾濫、紀伊山地の土砂災害（深層崩壊）、内陸地震に留意。</t>
        </is>
      </c>
    </row>
    <row r="1220">
      <c r="A1220" t="inlineStr">
        <is>
          <t>奈良県</t>
        </is>
      </c>
      <c r="B1220" t="inlineStr">
        <is>
          <t>高取町</t>
        </is>
      </c>
      <c r="C1220" t="n">
        <v>2819</v>
      </c>
      <c r="D1220" t="n">
        <v>6225</v>
      </c>
      <c r="E1220" s="6" t="n">
        <v>234.1</v>
      </c>
      <c r="F1220" s="7" t="n">
        <v>31.7</v>
      </c>
      <c r="G1220" t="n">
        <v>6729</v>
      </c>
      <c r="H1220" t="n">
        <v>6225</v>
      </c>
      <c r="I1220" t="n">
        <v>5693</v>
      </c>
      <c r="J1220" t="n">
        <v>4107</v>
      </c>
      <c r="K1220" s="27">
        <f>(H1220/D1220-1)</f>
        <v/>
      </c>
      <c r="L1220" s="27">
        <f>(I1220/D1220-1)</f>
        <v/>
      </c>
      <c r="M1220" s="27">
        <f>(J1220/D1220-1)</f>
        <v/>
      </c>
      <c r="N1220" t="n">
        <v>41.9</v>
      </c>
      <c r="O1220" s="28">
        <f>(N1220+F1220)/2</f>
        <v/>
      </c>
      <c r="P1220">
        <f>IF(O1220="計算不能","計算不能",IF(O1220&gt;=80,5,IF(O1220&gt;=60,4,IF(O1220&gt;=40,3,IF(O1220&gt;=28,2,1)))))</f>
        <v/>
      </c>
      <c r="Q1220" t="n">
        <v>653</v>
      </c>
      <c r="R1220" t="n">
        <v>0</v>
      </c>
      <c r="S1220" s="27">
        <f>R1220/Q1220</f>
        <v/>
      </c>
      <c r="T1220" t="inlineStr">
        <is>
          <t>高取町は2045年までに人口が約34.0%減と急激な過疎・超高齢化が進行。若年労働世代の流出と自然減が重なり、賃貸事業としての持続性は極めて限定的。</t>
        </is>
      </c>
      <c r="U1220" t="inlineStr">
        <is>
          <t>高取町は人口密度234人/km²と低密度で、賃貸需要は限定的。持ち家比率が高く、駐車場完備の戸建て賃貸が有利。 借家の空室率は約0%と需給は比較的引き締まっている。</t>
        </is>
      </c>
      <c r="V1220" t="inlineStr">
        <is>
          <t>高取町（奈良県）：大和川水系の氾濫、紀伊山地の土砂災害（深層崩壊）、内陸地震に留意。</t>
        </is>
      </c>
    </row>
    <row r="1221">
      <c r="A1221" t="inlineStr">
        <is>
          <t>奈良県</t>
        </is>
      </c>
      <c r="B1221" t="inlineStr">
        <is>
          <t>明日香村</t>
        </is>
      </c>
      <c r="C1221" t="n">
        <v>2189</v>
      </c>
      <c r="D1221" t="n">
        <v>4856</v>
      </c>
      <c r="E1221" s="6" t="n">
        <v>199.1</v>
      </c>
      <c r="F1221" s="7" t="n">
        <v>29.9</v>
      </c>
      <c r="G1221" t="n">
        <v>5179</v>
      </c>
      <c r="H1221" t="n">
        <v>4856</v>
      </c>
      <c r="I1221" t="n">
        <v>4524</v>
      </c>
      <c r="J1221" t="n">
        <v>3374</v>
      </c>
      <c r="K1221" s="27">
        <f>(H1221/D1221-1)</f>
        <v/>
      </c>
      <c r="L1221" s="27">
        <f>(I1221/D1221-1)</f>
        <v/>
      </c>
      <c r="M1221" s="27">
        <f>(J1221/D1221-1)</f>
        <v/>
      </c>
      <c r="N1221" t="n">
        <v>44.4</v>
      </c>
      <c r="O1221" s="28">
        <f>(N1221+F1221)/2</f>
        <v/>
      </c>
      <c r="P1221">
        <f>IF(O1221="計算不能","計算不能",IF(O1221&gt;=80,5,IF(O1221&gt;=60,4,IF(O1221&gt;=40,3,IF(O1221&gt;=28,2,1)))))</f>
        <v/>
      </c>
      <c r="Q1221" t="n">
        <v>507</v>
      </c>
      <c r="R1221" t="n">
        <v>0</v>
      </c>
      <c r="S1221" s="27">
        <f>R1221/Q1221</f>
        <v/>
      </c>
      <c r="T1221" t="inlineStr">
        <is>
          <t>明日香村は2045年までに人口が約30.5%減と急激な過疎・超高齢化が進行。若年労働世代の流出と自然減が重なり、賃貸事業としての持続性は極めて限定的。</t>
        </is>
      </c>
      <c r="U1221" t="inlineStr">
        <is>
          <t>明日香村は人口密度199人/km²と過疎的水準で、民間賃貸の新規需要は薄い。実需に裏付けられた格安戸建ての指値取得のみが現実的。 借家の空室率は約0%と需給は比較的引き締まっている。</t>
        </is>
      </c>
      <c r="V1221" t="inlineStr">
        <is>
          <t>明日香村（奈良県）：大和川水系の氾濫、紀伊山地の土砂災害（深層崩壊）、内陸地震に留意。</t>
        </is>
      </c>
    </row>
    <row r="1222">
      <c r="A1222" t="inlineStr">
        <is>
          <t>奈良県</t>
        </is>
      </c>
      <c r="B1222" t="inlineStr">
        <is>
          <t>上牧町</t>
        </is>
      </c>
      <c r="C1222" t="n">
        <v>9070</v>
      </c>
      <c r="D1222" t="n">
        <v>20546</v>
      </c>
      <c r="E1222" s="6" t="n">
        <v>3405.4</v>
      </c>
      <c r="F1222" s="7" t="n">
        <v>80</v>
      </c>
      <c r="G1222" t="n">
        <v>21714</v>
      </c>
      <c r="H1222" t="n">
        <v>20546</v>
      </c>
      <c r="I1222" t="n">
        <v>19279</v>
      </c>
      <c r="J1222" t="n">
        <v>14937</v>
      </c>
      <c r="K1222" s="27">
        <f>(H1222/D1222-1)</f>
        <v/>
      </c>
      <c r="L1222" s="27">
        <f>(I1222/D1222-1)</f>
        <v/>
      </c>
      <c r="M1222" s="27">
        <f>(J1222/D1222-1)</f>
        <v/>
      </c>
      <c r="N1222" t="n">
        <v>47.2</v>
      </c>
      <c r="O1222" s="28">
        <f>(N1222+F1222)/2</f>
        <v/>
      </c>
      <c r="P1222">
        <f>IF(O1222="計算不能","計算不能",IF(O1222&gt;=80,5,IF(O1222&gt;=60,4,IF(O1222&gt;=40,3,IF(O1222&gt;=28,2,1)))))</f>
        <v/>
      </c>
      <c r="Q1222" t="n">
        <v>2102</v>
      </c>
      <c r="R1222" t="n">
        <v>770</v>
      </c>
      <c r="S1222" s="27">
        <f>R1222/Q1222</f>
        <v/>
      </c>
      <c r="T1222" t="inlineStr">
        <is>
          <t>上牧町は2045年までに人口が約27.3%減と明確な減少トレンド。高齢化の進行と世帯数の縮小により、中長期では賃貸需要の構造的縮小に警戒が必要。</t>
        </is>
      </c>
      <c r="U1222" t="inlineStr">
        <is>
          <t>上牧町は人口密度3,405人/km²の都市部で、駅周辺や生活利便施設沿いに安定した賃貸需要がある。適切な家賃設定で高稼働を期待できる。 借家の空室率は約37%と供給過多気味で、空室長期化リスクに要警戒。</t>
        </is>
      </c>
      <c r="V1222" t="inlineStr">
        <is>
          <t>上牧町（奈良県）：大和川水系の氾濫、紀伊山地の土砂災害（深層崩壊）、内陸地震に留意。</t>
        </is>
      </c>
    </row>
    <row r="1223">
      <c r="A1223" t="inlineStr">
        <is>
          <t>奈良県</t>
        </is>
      </c>
      <c r="B1223" t="inlineStr">
        <is>
          <t>王寺町</t>
        </is>
      </c>
      <c r="C1223" t="n">
        <v>10200</v>
      </c>
      <c r="D1223" t="n">
        <v>23771</v>
      </c>
      <c r="E1223" s="6" t="n">
        <v>3341.2</v>
      </c>
      <c r="F1223" s="7" t="n">
        <v>80</v>
      </c>
      <c r="G1223" t="n">
        <v>24043</v>
      </c>
      <c r="H1223" t="n">
        <v>23771</v>
      </c>
      <c r="I1223" t="n">
        <v>23506</v>
      </c>
      <c r="J1223" t="n">
        <v>21887</v>
      </c>
      <c r="K1223" s="27">
        <f>(H1223/D1223-1)</f>
        <v/>
      </c>
      <c r="L1223" s="27">
        <f>(I1223/D1223-1)</f>
        <v/>
      </c>
      <c r="M1223" s="27">
        <f>(J1223/D1223-1)</f>
        <v/>
      </c>
      <c r="N1223" t="n">
        <v>68</v>
      </c>
      <c r="O1223" s="28">
        <f>(N1223+F1223)/2</f>
        <v/>
      </c>
      <c r="P1223">
        <f>IF(O1223="計算不能","計算不能",IF(O1223&gt;=80,5,IF(O1223&gt;=60,4,IF(O1223&gt;=40,3,IF(O1223&gt;=28,2,1)))))</f>
        <v/>
      </c>
      <c r="Q1223" t="n">
        <v>2364</v>
      </c>
      <c r="R1223" t="n">
        <v>930</v>
      </c>
      <c r="S1223" s="27">
        <f>R1223/Q1223</f>
        <v/>
      </c>
      <c r="T1223" t="inlineStr">
        <is>
          <t>王寺町は2045年までに人口が約7.9%減と緩やかな減少局面。若年層の都市部流出と高齢化が進むが、当面の賃貸稼働は一定程度維持される見通し。</t>
        </is>
      </c>
      <c r="U1223" t="inlineStr">
        <is>
          <t>王寺町は人口密度3,341人/km²の都市部で、駅周辺や生活利便施設沿いに安定した賃貸需要がある。適切な家賃設定で高稼働を期待できる。 借家の空室率は約39%と供給過多気味で、空室長期化リスクに要警戒。</t>
        </is>
      </c>
      <c r="V1223" t="inlineStr">
        <is>
          <t>王寺町（奈良県）：大和川水系の氾濫、紀伊山地の土砂災害（深層崩壊）、内陸地震に留意。</t>
        </is>
      </c>
    </row>
    <row r="1224">
      <c r="A1224" t="inlineStr">
        <is>
          <t>奈良県</t>
        </is>
      </c>
      <c r="B1224" t="inlineStr">
        <is>
          <t>広陵町</t>
        </is>
      </c>
      <c r="C1224" t="n">
        <v>12530</v>
      </c>
      <c r="D1224" t="n">
        <v>33611</v>
      </c>
      <c r="E1224" s="6" t="n">
        <v>2053.9</v>
      </c>
      <c r="F1224" s="7" t="n">
        <v>70.5</v>
      </c>
      <c r="G1224" t="n">
        <v>33810</v>
      </c>
      <c r="H1224" t="n">
        <v>33611</v>
      </c>
      <c r="I1224" t="n">
        <v>32994</v>
      </c>
      <c r="J1224" t="n">
        <v>29694</v>
      </c>
      <c r="K1224" s="27">
        <f>(H1224/D1224-1)</f>
        <v/>
      </c>
      <c r="L1224" s="27">
        <f>(I1224/D1224-1)</f>
        <v/>
      </c>
      <c r="M1224" s="27">
        <f>(J1224/D1224-1)</f>
        <v/>
      </c>
      <c r="N1224" t="n">
        <v>66.8</v>
      </c>
      <c r="O1224" s="28">
        <f>(N1224+F1224)/2</f>
        <v/>
      </c>
      <c r="P1224">
        <f>IF(O1224="計算不能","計算不能",IF(O1224&gt;=80,5,IF(O1224&gt;=60,4,IF(O1224&gt;=40,3,IF(O1224&gt;=28,2,1)))))</f>
        <v/>
      </c>
      <c r="Q1224" t="n">
        <v>2905</v>
      </c>
      <c r="R1224" t="n">
        <v>490</v>
      </c>
      <c r="S1224" s="27">
        <f>R1224/Q1224</f>
        <v/>
      </c>
      <c r="T1224" t="inlineStr">
        <is>
          <t>広陵町は2045年までに人口が約11.7%減と緩やかな減少局面。若年層の都市部流出と高齢化が進むが、当面の賃貸稼働は一定程度維持される見通し。</t>
        </is>
      </c>
      <c r="U1224" t="inlineStr">
        <is>
          <t>広陵町は人口密度2,054人/km²の都市部で、駅周辺や生活利便施設沿いに安定した賃貸需要がある。適切な家賃設定で高稼働を期待できる。 借家の空室率は約17%と需給は比較的引き締まっている。</t>
        </is>
      </c>
      <c r="V1224" t="inlineStr">
        <is>
          <t>広陵町（奈良県）：大和川水系の氾濫、紀伊山地の土砂災害（深層崩壊）、内陸地震に留意。</t>
        </is>
      </c>
    </row>
    <row r="1225">
      <c r="A1225" t="inlineStr">
        <is>
          <t>奈良県</t>
        </is>
      </c>
      <c r="B1225" t="inlineStr">
        <is>
          <t>河合町</t>
        </is>
      </c>
      <c r="C1225" t="n">
        <v>6210</v>
      </c>
      <c r="D1225" t="n">
        <v>15982</v>
      </c>
      <c r="E1225" s="6" t="n">
        <v>1908.3</v>
      </c>
      <c r="F1225" s="7" t="n">
        <v>69.09999999999999</v>
      </c>
      <c r="G1225" t="n">
        <v>17018</v>
      </c>
      <c r="H1225" t="n">
        <v>15982</v>
      </c>
      <c r="I1225" t="n">
        <v>14731</v>
      </c>
      <c r="J1225" t="n">
        <v>10928</v>
      </c>
      <c r="K1225" s="27">
        <f>(H1225/D1225-1)</f>
        <v/>
      </c>
      <c r="L1225" s="27">
        <f>(I1225/D1225-1)</f>
        <v/>
      </c>
      <c r="M1225" s="27">
        <f>(J1225/D1225-1)</f>
        <v/>
      </c>
      <c r="N1225" t="n">
        <v>43.9</v>
      </c>
      <c r="O1225" s="28">
        <f>(N1225+F1225)/2</f>
        <v/>
      </c>
      <c r="P1225">
        <f>IF(O1225="計算不能","計算不能",IF(O1225&gt;=80,5,IF(O1225&gt;=60,4,IF(O1225&gt;=40,3,IF(O1225&gt;=28,2,1)))))</f>
        <v/>
      </c>
      <c r="Q1225" t="n">
        <v>1439</v>
      </c>
      <c r="R1225" t="n">
        <v>360</v>
      </c>
      <c r="S1225" s="27">
        <f>R1225/Q1225</f>
        <v/>
      </c>
      <c r="T1225" t="inlineStr">
        <is>
          <t>河合町は2045年までに人口が約31.6%減と急激な過疎・超高齢化が進行。若年労働世代の流出と自然減が重なり、賃貸事業としての持続性は極めて限定的。</t>
        </is>
      </c>
      <c r="U1225" t="inlineStr">
        <is>
          <t>河合町は人口密度1,908人/km²の都市部で、駅周辺や生活利便施設沿いに安定した賃貸需要がある。適切な家賃設定で高稼働を期待できる。 借家の空室率は約25%と供給過多気味で、空室長期化リスクに要警戒。</t>
        </is>
      </c>
      <c r="V1225" t="inlineStr">
        <is>
          <t>河合町（奈良県）：大和川水系の氾濫、紀伊山地の土砂災害（深層崩壊）、内陸地震に留意。</t>
        </is>
      </c>
    </row>
    <row r="1226">
      <c r="A1226" t="inlineStr">
        <is>
          <t>奈良県</t>
        </is>
      </c>
      <c r="B1226" t="inlineStr">
        <is>
          <t>吉野町</t>
        </is>
      </c>
      <c r="C1226" t="n">
        <v>2993</v>
      </c>
      <c r="D1226" t="n">
        <v>5316</v>
      </c>
      <c r="E1226" s="6" t="n">
        <v>54.8</v>
      </c>
      <c r="F1226" s="7" t="n">
        <v>15.5</v>
      </c>
      <c r="G1226" t="n">
        <v>6229</v>
      </c>
      <c r="H1226" t="n">
        <v>5316</v>
      </c>
      <c r="I1226" t="n">
        <v>4507</v>
      </c>
      <c r="J1226" t="n">
        <v>2473</v>
      </c>
      <c r="K1226" s="27">
        <f>(H1226/D1226-1)</f>
        <v/>
      </c>
      <c r="L1226" s="27">
        <f>(I1226/D1226-1)</f>
        <v/>
      </c>
      <c r="M1226" s="27">
        <f>(J1226/D1226-1)</f>
        <v/>
      </c>
      <c r="N1226" t="n">
        <v>29.7</v>
      </c>
      <c r="O1226" s="28">
        <f>(N1226+F1226)/2</f>
        <v/>
      </c>
      <c r="P1226">
        <f>IF(O1226="計算不能","計算不能",IF(O1226&gt;=80,5,IF(O1226&gt;=60,4,IF(O1226&gt;=40,3,IF(O1226&gt;=28,2,1)))))</f>
        <v/>
      </c>
      <c r="Q1226" t="n">
        <v>693</v>
      </c>
      <c r="R1226" t="n">
        <v>0</v>
      </c>
      <c r="S1226" s="27">
        <f>R1226/Q1226</f>
        <v/>
      </c>
      <c r="T1226" t="inlineStr">
        <is>
          <t>吉野町は2045年までに人口が約53.5%減と急激な過疎・超高齢化が進行。若年労働世代の流出と自然減が重なり、賃貸事業としての持続性は極めて限定的。</t>
        </is>
      </c>
      <c r="U1226" t="inlineStr">
        <is>
          <t>吉野町は人口密度55人/km²と過疎的水準で、民間賃貸の新規需要は薄い。実需に裏付けられた格安戸建ての指値取得のみが現実的。 借家の空室率は約0%と需給は比較的引き締まっている。</t>
        </is>
      </c>
      <c r="V1226" t="inlineStr">
        <is>
          <t>吉野町（奈良県）：大和川水系の氾濫、紀伊山地の土砂災害（深層崩壊）、内陸地震に留意。</t>
        </is>
      </c>
    </row>
    <row r="1227">
      <c r="A1227" t="inlineStr">
        <is>
          <t>奈良県</t>
        </is>
      </c>
      <c r="B1227" t="inlineStr">
        <is>
          <t>大淀町</t>
        </is>
      </c>
      <c r="C1227" t="n">
        <v>6370</v>
      </c>
      <c r="D1227" t="n">
        <v>15157</v>
      </c>
      <c r="E1227" s="6" t="n">
        <v>395.6</v>
      </c>
      <c r="F1227" s="7" t="n">
        <v>39.8</v>
      </c>
      <c r="G1227" t="n">
        <v>16728</v>
      </c>
      <c r="H1227" t="n">
        <v>15157</v>
      </c>
      <c r="I1227" t="n">
        <v>13941</v>
      </c>
      <c r="J1227" t="n">
        <v>10117</v>
      </c>
      <c r="K1227" s="27">
        <f>(H1227/D1227-1)</f>
        <v/>
      </c>
      <c r="L1227" s="27">
        <f>(I1227/D1227-1)</f>
        <v/>
      </c>
      <c r="M1227" s="27">
        <f>(J1227/D1227-1)</f>
        <v/>
      </c>
      <c r="N1227" t="n">
        <v>40.5</v>
      </c>
      <c r="O1227" s="28">
        <f>(N1227+F1227)/2</f>
        <v/>
      </c>
      <c r="P1227">
        <f>IF(O1227="計算不能","計算不能",IF(O1227&gt;=80,5,IF(O1227&gt;=60,4,IF(O1227&gt;=40,3,IF(O1227&gt;=28,2,1)))))</f>
        <v/>
      </c>
      <c r="Q1227" t="n">
        <v>1476</v>
      </c>
      <c r="R1227" t="n">
        <v>480</v>
      </c>
      <c r="S1227" s="27">
        <f>R1227/Q1227</f>
        <v/>
      </c>
      <c r="T1227" t="inlineStr">
        <is>
          <t>大淀町は2045年までに人口が約33.3%減と急激な過疎・超高齢化が進行。若年労働世代の流出と自然減が重なり、賃貸事業としての持続性は極めて限定的。</t>
        </is>
      </c>
      <c r="U1227" t="inlineStr">
        <is>
          <t>大淀町は人口密度396人/km²と低密度で、賃貸需要は限定的。持ち家比率が高く、駐車場完備の戸建て賃貸が有利。 借家の空室率は約33%と供給過多気味で、空室長期化リスクに要警戒。</t>
        </is>
      </c>
      <c r="V1227" t="inlineStr">
        <is>
          <t>大淀町（奈良県）：大和川水系の氾濫、紀伊山地の土砂災害（深層崩壊）、内陸地震に留意。</t>
        </is>
      </c>
    </row>
    <row r="1228">
      <c r="A1228" t="inlineStr">
        <is>
          <t>奈良県</t>
        </is>
      </c>
      <c r="B1228" t="inlineStr">
        <is>
          <t>下市町</t>
        </is>
      </c>
      <c r="C1228" t="n">
        <v>2229</v>
      </c>
      <c r="D1228" t="n">
        <v>4313</v>
      </c>
      <c r="E1228" s="6" t="n">
        <v>66.3</v>
      </c>
      <c r="F1228" s="7" t="n">
        <v>16.6</v>
      </c>
      <c r="G1228" t="n">
        <v>5037</v>
      </c>
      <c r="H1228" t="n">
        <v>4313</v>
      </c>
      <c r="I1228" t="n">
        <v>3678</v>
      </c>
      <c r="J1228" t="n">
        <v>2145</v>
      </c>
      <c r="K1228" s="27">
        <f>(H1228/D1228-1)</f>
        <v/>
      </c>
      <c r="L1228" s="27">
        <f>(I1228/D1228-1)</f>
        <v/>
      </c>
      <c r="M1228" s="27">
        <f>(J1228/D1228-1)</f>
        <v/>
      </c>
      <c r="N1228" t="n">
        <v>30.5</v>
      </c>
      <c r="O1228" s="28">
        <f>(N1228+F1228)/2</f>
        <v/>
      </c>
      <c r="P1228">
        <f>IF(O1228="計算不能","計算不能",IF(O1228&gt;=80,5,IF(O1228&gt;=60,4,IF(O1228&gt;=40,3,IF(O1228&gt;=28,2,1)))))</f>
        <v/>
      </c>
      <c r="Q1228" t="n">
        <v>516</v>
      </c>
      <c r="R1228" t="n">
        <v>0</v>
      </c>
      <c r="S1228" s="27">
        <f>R1228/Q1228</f>
        <v/>
      </c>
      <c r="T1228" t="inlineStr">
        <is>
          <t>下市町は2045年までに人口が約50.3%減と急激な過疎・超高齢化が進行。若年労働世代の流出と自然減が重なり、賃貸事業としての持続性は極めて限定的。</t>
        </is>
      </c>
      <c r="U1228" t="inlineStr">
        <is>
          <t>下市町は人口密度66人/km²と過疎的水準で、民間賃貸の新規需要は薄い。実需に裏付けられた格安戸建ての指値取得のみが現実的。 借家の空室率は約0%と需給は比較的引き締まっている。</t>
        </is>
      </c>
      <c r="V1228" t="inlineStr">
        <is>
          <t>下市町（奈良県）：大和川水系の氾濫、紀伊山地の土砂災害（深層崩壊）、内陸地震に留意。</t>
        </is>
      </c>
    </row>
    <row r="1229">
      <c r="A1229" t="inlineStr">
        <is>
          <t>奈良県</t>
        </is>
      </c>
      <c r="B1229" t="inlineStr">
        <is>
          <t>黒滝村</t>
        </is>
      </c>
      <c r="C1229" t="n">
        <v>327</v>
      </c>
      <c r="D1229" t="n">
        <v>508</v>
      </c>
      <c r="E1229" s="6" t="n">
        <v>10.8</v>
      </c>
      <c r="F1229" s="7" t="n">
        <v>11.1</v>
      </c>
      <c r="G1229" t="n">
        <v>623</v>
      </c>
      <c r="H1229" t="n">
        <v>508</v>
      </c>
      <c r="I1229" t="n">
        <v>430</v>
      </c>
      <c r="J1229" t="n">
        <v>231</v>
      </c>
      <c r="K1229" s="27">
        <f>(H1229/D1229-1)</f>
        <v/>
      </c>
      <c r="L1229" s="27">
        <f>(I1229/D1229-1)</f>
        <v/>
      </c>
      <c r="M1229" s="27">
        <f>(J1229/D1229-1)</f>
        <v/>
      </c>
      <c r="N1229" t="n">
        <v>28</v>
      </c>
      <c r="O1229" s="28">
        <f>(N1229+F1229)/2</f>
        <v/>
      </c>
      <c r="P1229">
        <f>IF(O1229="計算不能","計算不能",IF(O1229&gt;=80,5,IF(O1229&gt;=60,4,IF(O1229&gt;=40,3,IF(O1229&gt;=28,2,1)))))</f>
        <v/>
      </c>
      <c r="Q1229" t="n">
        <v>75</v>
      </c>
      <c r="R1229" t="n">
        <v>0</v>
      </c>
      <c r="S1229" s="27">
        <f>R1229/Q1229</f>
        <v/>
      </c>
      <c r="T1229" t="inlineStr">
        <is>
          <t>黒滝村は2045年までに人口が約54.5%減と急激な過疎・超高齢化が進行。若年労働世代の流出と自然減が重なり、賃貸事業としての持続性は極めて限定的。</t>
        </is>
      </c>
      <c r="U1229" t="inlineStr">
        <is>
          <t>黒滝村は人口密度11人/km²と過疎的水準で、民間賃貸の新規需要は薄い。実需に裏付けられた格安戸建ての指値取得のみが現実的。 借家の空室率は約0%と需給は比較的引き締まっている。</t>
        </is>
      </c>
      <c r="V1229" t="inlineStr">
        <is>
          <t>黒滝村（奈良県）：大和川水系の氾濫、紀伊山地の土砂災害（深層崩壊）、内陸地震に留意。</t>
        </is>
      </c>
    </row>
    <row r="1230">
      <c r="A1230" t="inlineStr">
        <is>
          <t>奈良県</t>
        </is>
      </c>
      <c r="B1230" t="inlineStr">
        <is>
          <t>天川村</t>
        </is>
      </c>
      <c r="C1230" t="n">
        <v>637</v>
      </c>
      <c r="D1230" t="n">
        <v>1018</v>
      </c>
      <c r="E1230" s="6" t="n">
        <v>5.8</v>
      </c>
      <c r="F1230" s="7" t="n">
        <v>10.6</v>
      </c>
      <c r="G1230" t="n">
        <v>1176</v>
      </c>
      <c r="H1230" t="n">
        <v>1018</v>
      </c>
      <c r="I1230" t="n">
        <v>894</v>
      </c>
      <c r="J1230" t="n">
        <v>596</v>
      </c>
      <c r="K1230" s="27">
        <f>(H1230/D1230-1)</f>
        <v/>
      </c>
      <c r="L1230" s="27">
        <f>(I1230/D1230-1)</f>
        <v/>
      </c>
      <c r="M1230" s="27">
        <f>(J1230/D1230-1)</f>
        <v/>
      </c>
      <c r="N1230" t="n">
        <v>33.9</v>
      </c>
      <c r="O1230" s="28">
        <f>(N1230+F1230)/2</f>
        <v/>
      </c>
      <c r="P1230">
        <f>IF(O1230="計算不能","計算不能",IF(O1230&gt;=80,5,IF(O1230&gt;=60,4,IF(O1230&gt;=40,3,IF(O1230&gt;=28,2,1)))))</f>
        <v/>
      </c>
      <c r="Q1230" t="n">
        <v>147</v>
      </c>
      <c r="R1230" t="n">
        <v>0</v>
      </c>
      <c r="S1230" s="27">
        <f>R1230/Q1230</f>
        <v/>
      </c>
      <c r="T1230" t="inlineStr">
        <is>
          <t>天川村は2045年までに人口が約41.5%減と急激な過疎・超高齢化が進行。若年労働世代の流出と自然減が重なり、賃貸事業としての持続性は極めて限定的。</t>
        </is>
      </c>
      <c r="U1230" t="inlineStr">
        <is>
          <t>天川村は人口密度6人/km²と過疎的水準で、民間賃貸の新規需要は薄い。実需に裏付けられた格安戸建ての指値取得のみが現実的。 借家の空室率は約0%と需給は比較的引き締まっている。</t>
        </is>
      </c>
      <c r="V1230" t="inlineStr">
        <is>
          <t>天川村（奈良県）：大和川水系の氾濫、紀伊山地の土砂災害（深層崩壊）、内陸地震に留意。</t>
        </is>
      </c>
    </row>
    <row r="1231">
      <c r="A1231" t="inlineStr">
        <is>
          <t>奈良県</t>
        </is>
      </c>
      <c r="B1231" t="inlineStr">
        <is>
          <t>野迫川村</t>
        </is>
      </c>
      <c r="C1231" t="n">
        <v>205</v>
      </c>
      <c r="D1231" t="n">
        <v>288</v>
      </c>
      <c r="E1231" s="6" t="n">
        <v>1.9</v>
      </c>
      <c r="F1231" s="7" t="n">
        <v>10.2</v>
      </c>
      <c r="G1231" t="n">
        <v>357</v>
      </c>
      <c r="H1231" t="n">
        <v>288</v>
      </c>
      <c r="I1231" t="n">
        <v>224</v>
      </c>
      <c r="J1231" t="n">
        <v>120</v>
      </c>
      <c r="K1231" s="27">
        <f>(H1231/D1231-1)</f>
        <v/>
      </c>
      <c r="L1231" s="27">
        <f>(I1231/D1231-1)</f>
        <v/>
      </c>
      <c r="M1231" s="27">
        <f>(J1231/D1231-1)</f>
        <v/>
      </c>
      <c r="N1231" t="n">
        <v>26.3</v>
      </c>
      <c r="O1231" s="28">
        <f>(N1231+F1231)/2</f>
        <v/>
      </c>
      <c r="P1231">
        <f>IF(O1231="計算不能","計算不能",IF(O1231&gt;=80,5,IF(O1231&gt;=60,4,IF(O1231&gt;=40,3,IF(O1231&gt;=28,2,1)))))</f>
        <v/>
      </c>
      <c r="Q1231" t="n">
        <v>47</v>
      </c>
      <c r="R1231" t="n">
        <v>0</v>
      </c>
      <c r="S1231" s="27">
        <f>R1231/Q1231</f>
        <v/>
      </c>
      <c r="T1231" t="inlineStr">
        <is>
          <t>野迫川村は2045年までに人口が約58.3%減と急激な過疎・超高齢化が進行。若年労働世代の流出と自然減が重なり、賃貸事業としての持続性は極めて限定的。</t>
        </is>
      </c>
      <c r="U1231" t="inlineStr">
        <is>
          <t>野迫川村は人口密度2人/km²と過疎的水準で、民間賃貸の新規需要は薄い。実需に裏付けられた格安戸建ての指値取得のみが現実的。 借家の空室率は約0%と需給は比較的引き締まっている。</t>
        </is>
      </c>
      <c r="V1231" t="inlineStr">
        <is>
          <t>野迫川村（奈良県）：大和川水系の氾濫、紀伊山地の土砂災害（深層崩壊）、内陸地震に留意。</t>
        </is>
      </c>
    </row>
    <row r="1232">
      <c r="A1232" t="inlineStr">
        <is>
          <t>奈良県</t>
        </is>
      </c>
      <c r="B1232" t="inlineStr">
        <is>
          <t>十津川村</t>
        </is>
      </c>
      <c r="C1232" t="n">
        <v>1610</v>
      </c>
      <c r="D1232" t="n">
        <v>2706</v>
      </c>
      <c r="E1232" s="6" t="n">
        <v>3.9</v>
      </c>
      <c r="F1232" s="7" t="n">
        <v>10.4</v>
      </c>
      <c r="G1232" t="n">
        <v>3061</v>
      </c>
      <c r="H1232" t="n">
        <v>2706</v>
      </c>
      <c r="I1232" t="n">
        <v>2412</v>
      </c>
      <c r="J1232" t="n">
        <v>1677</v>
      </c>
      <c r="K1232" s="27">
        <f>(H1232/D1232-1)</f>
        <v/>
      </c>
      <c r="L1232" s="27">
        <f>(I1232/D1232-1)</f>
        <v/>
      </c>
      <c r="M1232" s="27">
        <f>(J1232/D1232-1)</f>
        <v/>
      </c>
      <c r="N1232" t="n">
        <v>36.6</v>
      </c>
      <c r="O1232" s="28">
        <f>(N1232+F1232)/2</f>
        <v/>
      </c>
      <c r="P1232">
        <f>IF(O1232="計算不能","計算不能",IF(O1232&gt;=80,5,IF(O1232&gt;=60,4,IF(O1232&gt;=40,3,IF(O1232&gt;=28,2,1)))))</f>
        <v/>
      </c>
      <c r="Q1232" t="n">
        <v>373</v>
      </c>
      <c r="R1232" t="n">
        <v>0</v>
      </c>
      <c r="S1232" s="27">
        <f>R1232/Q1232</f>
        <v/>
      </c>
      <c r="T1232" t="inlineStr">
        <is>
          <t>十津川村は2045年までに人口が約38.0%減と急激な過疎・超高齢化が進行。若年労働世代の流出と自然減が重なり、賃貸事業としての持続性は極めて限定的。</t>
        </is>
      </c>
      <c r="U1232" t="inlineStr">
        <is>
          <t>十津川村は人口密度4人/km²と過疎的水準で、民間賃貸の新規需要は薄い。実需に裏付けられた格安戸建ての指値取得のみが現実的。 借家の空室率は約0%と需給は比較的引き締まっている。</t>
        </is>
      </c>
      <c r="V1232" t="inlineStr">
        <is>
          <t>十津川村（奈良県）：大和川水系の氾濫、紀伊山地の土砂災害（深層崩壊）、内陸地震に留意。</t>
        </is>
      </c>
    </row>
    <row r="1233">
      <c r="A1233" t="inlineStr">
        <is>
          <t>奈良県</t>
        </is>
      </c>
      <c r="B1233" t="inlineStr">
        <is>
          <t>下北山村</t>
        </is>
      </c>
      <c r="C1233" t="n">
        <v>509</v>
      </c>
      <c r="D1233" t="n">
        <v>666</v>
      </c>
      <c r="E1233" s="6" t="n">
        <v>5.3</v>
      </c>
      <c r="F1233" s="7" t="n">
        <v>10.5</v>
      </c>
      <c r="G1233" t="n">
        <v>753</v>
      </c>
      <c r="H1233" t="n">
        <v>666</v>
      </c>
      <c r="I1233" t="n">
        <v>589</v>
      </c>
      <c r="J1233" t="n">
        <v>397</v>
      </c>
      <c r="K1233" s="27">
        <f>(H1233/D1233-1)</f>
        <v/>
      </c>
      <c r="L1233" s="27">
        <f>(I1233/D1233-1)</f>
        <v/>
      </c>
      <c r="M1233" s="27">
        <f>(J1233/D1233-1)</f>
        <v/>
      </c>
      <c r="N1233" t="n">
        <v>35.9</v>
      </c>
      <c r="O1233" s="28">
        <f>(N1233+F1233)/2</f>
        <v/>
      </c>
      <c r="P1233">
        <f>IF(O1233="計算不能","計算不能",IF(O1233&gt;=80,5,IF(O1233&gt;=60,4,IF(O1233&gt;=40,3,IF(O1233&gt;=28,2,1)))))</f>
        <v/>
      </c>
      <c r="Q1233" t="n">
        <v>118</v>
      </c>
      <c r="R1233" t="n">
        <v>0</v>
      </c>
      <c r="S1233" s="27">
        <f>R1233/Q1233</f>
        <v/>
      </c>
      <c r="T1233" t="inlineStr">
        <is>
          <t>下北山村は2045年までに人口が約40.4%減と急激な過疎・超高齢化が進行。若年労働世代の流出と自然減が重なり、賃貸事業としての持続性は極めて限定的。</t>
        </is>
      </c>
      <c r="U1233" t="inlineStr">
        <is>
          <t>下北山村は人口密度5人/km²と過疎的水準で、民間賃貸の新規需要は薄い。実需に裏付けられた格安戸建ての指値取得のみが現実的。 借家の空室率は約0%と需給は比較的引き締まっている。</t>
        </is>
      </c>
      <c r="V1233" t="inlineStr">
        <is>
          <t>下北山村（奈良県）：大和川水系の氾濫、紀伊山地の土砂災害（深層崩壊）、内陸地震に留意。</t>
        </is>
      </c>
    </row>
    <row r="1234">
      <c r="A1234" t="inlineStr">
        <is>
          <t>奈良県</t>
        </is>
      </c>
      <c r="B1234" t="inlineStr">
        <is>
          <t>上北山村</t>
        </is>
      </c>
      <c r="C1234" t="n">
        <v>283</v>
      </c>
      <c r="D1234" t="n">
        <v>375</v>
      </c>
      <c r="E1234" s="6" t="n">
        <v>1.4</v>
      </c>
      <c r="F1234" s="7" t="n">
        <v>10.1</v>
      </c>
      <c r="G1234" t="n">
        <v>444</v>
      </c>
      <c r="H1234" t="n">
        <v>375</v>
      </c>
      <c r="I1234" t="n">
        <v>310</v>
      </c>
      <c r="J1234" t="n">
        <v>182</v>
      </c>
      <c r="K1234" s="27">
        <f>(H1234/D1234-1)</f>
        <v/>
      </c>
      <c r="L1234" s="27">
        <f>(I1234/D1234-1)</f>
        <v/>
      </c>
      <c r="M1234" s="27">
        <f>(J1234/D1234-1)</f>
        <v/>
      </c>
      <c r="N1234" t="n">
        <v>29.2</v>
      </c>
      <c r="O1234" s="28">
        <f>(N1234+F1234)/2</f>
        <v/>
      </c>
      <c r="P1234">
        <f>IF(O1234="計算不能","計算不能",IF(O1234&gt;=80,5,IF(O1234&gt;=60,4,IF(O1234&gt;=40,3,IF(O1234&gt;=28,2,1)))))</f>
        <v/>
      </c>
      <c r="Q1234" t="n">
        <v>65</v>
      </c>
      <c r="R1234" t="n">
        <v>0</v>
      </c>
      <c r="S1234" s="27">
        <f>R1234/Q1234</f>
        <v/>
      </c>
      <c r="T1234" t="inlineStr">
        <is>
          <t>上北山村は2045年までに人口が約51.5%減と急激な過疎・超高齢化が進行。若年労働世代の流出と自然減が重なり、賃貸事業としての持続性は極めて限定的。</t>
        </is>
      </c>
      <c r="U1234" t="inlineStr">
        <is>
          <t>上北山村は人口密度1人/km²と過疎的水準で、民間賃貸の新規需要は薄い。実需に裏付けられた格安戸建ての指値取得のみが現実的。 借家の空室率は約0%と需給は比較的引き締まっている。</t>
        </is>
      </c>
      <c r="V1234" t="inlineStr">
        <is>
          <t>上北山村（奈良県）：大和川水系の氾濫、紀伊山地の土砂災害（深層崩壊）、内陸地震に留意。</t>
        </is>
      </c>
    </row>
    <row r="1235">
      <c r="A1235" t="inlineStr">
        <is>
          <t>奈良県</t>
        </is>
      </c>
      <c r="B1235" t="inlineStr">
        <is>
          <t>川上村</t>
        </is>
      </c>
      <c r="C1235" t="n">
        <v>717</v>
      </c>
      <c r="D1235" t="n">
        <v>973</v>
      </c>
      <c r="E1235" s="6" t="n">
        <v>3.6</v>
      </c>
      <c r="F1235" s="7" t="n">
        <v>10.4</v>
      </c>
      <c r="G1235" t="n">
        <v>1156</v>
      </c>
      <c r="H1235" t="n">
        <v>973</v>
      </c>
      <c r="I1235" t="n">
        <v>821</v>
      </c>
      <c r="J1235" t="n">
        <v>505</v>
      </c>
      <c r="K1235" s="27">
        <f>(H1235/D1235-1)</f>
        <v/>
      </c>
      <c r="L1235" s="27">
        <f>(I1235/D1235-1)</f>
        <v/>
      </c>
      <c r="M1235" s="27">
        <f>(J1235/D1235-1)</f>
        <v/>
      </c>
      <c r="N1235" t="n">
        <v>29.7</v>
      </c>
      <c r="O1235" s="28">
        <f>(N1235+F1235)/2</f>
        <v/>
      </c>
      <c r="P1235">
        <f>IF(O1235="計算不能","計算不能",IF(O1235&gt;=80,5,IF(O1235&gt;=60,4,IF(O1235&gt;=40,3,IF(O1235&gt;=28,2,1)))))</f>
        <v/>
      </c>
      <c r="Q1235" t="n">
        <v>166</v>
      </c>
      <c r="R1235" t="n">
        <v>0</v>
      </c>
      <c r="S1235" s="27">
        <f>R1235/Q1235</f>
        <v/>
      </c>
      <c r="T1235" t="inlineStr">
        <is>
          <t>川上村は2045年までに人口が約48.1%減と急激な過疎・超高齢化が進行。若年労働世代の流出と自然減が重なり、賃貸事業としての持続性は極めて限定的。</t>
        </is>
      </c>
      <c r="U1235" t="inlineStr">
        <is>
          <t>川上村は人口密度4人/km²と過疎的水準で、民間賃貸の新規需要は薄い。実需に裏付けられた格安戸建ての指値取得のみが現実的。 借家の空室率は約0%と需給は比較的引き締まっている。</t>
        </is>
      </c>
      <c r="V1235" t="inlineStr">
        <is>
          <t>川上村（奈良県）：大和川水系の氾濫、紀伊山地の土砂災害（深層崩壊）、内陸地震に留意。</t>
        </is>
      </c>
    </row>
    <row r="1236">
      <c r="A1236" t="inlineStr">
        <is>
          <t>奈良県</t>
        </is>
      </c>
      <c r="B1236" t="inlineStr">
        <is>
          <t>東吉野村</t>
        </is>
      </c>
      <c r="C1236" t="n">
        <v>871</v>
      </c>
      <c r="D1236" t="n">
        <v>1252</v>
      </c>
      <c r="E1236" s="6" t="n">
        <v>9.699999999999999</v>
      </c>
      <c r="F1236" s="7" t="n">
        <v>11</v>
      </c>
      <c r="G1236" t="n">
        <v>1502</v>
      </c>
      <c r="H1236" t="n">
        <v>1252</v>
      </c>
      <c r="I1236" t="n">
        <v>1040</v>
      </c>
      <c r="J1236" t="n">
        <v>552</v>
      </c>
      <c r="K1236" s="27">
        <f>(H1236/D1236-1)</f>
        <v/>
      </c>
      <c r="L1236" s="27">
        <f>(I1236/D1236-1)</f>
        <v/>
      </c>
      <c r="M1236" s="27">
        <f>(J1236/D1236-1)</f>
        <v/>
      </c>
      <c r="N1236" t="n">
        <v>28.4</v>
      </c>
      <c r="O1236" s="28">
        <f>(N1236+F1236)/2</f>
        <v/>
      </c>
      <c r="P1236">
        <f>IF(O1236="計算不能","計算不能",IF(O1236&gt;=80,5,IF(O1236&gt;=60,4,IF(O1236&gt;=40,3,IF(O1236&gt;=28,2,1)))))</f>
        <v/>
      </c>
      <c r="Q1236" t="n">
        <v>201</v>
      </c>
      <c r="R1236" t="n">
        <v>0</v>
      </c>
      <c r="S1236" s="27">
        <f>R1236/Q1236</f>
        <v/>
      </c>
      <c r="T1236" t="inlineStr">
        <is>
          <t>東吉野村は2045年までに人口が約55.9%減と急激な過疎・超高齢化が進行。若年労働世代の流出と自然減が重なり、賃貸事業としての持続性は極めて限定的。</t>
        </is>
      </c>
      <c r="U1236" t="inlineStr">
        <is>
          <t>東吉野村は人口密度10人/km²と過疎的水準で、民間賃貸の新規需要は薄い。実需に裏付けられた格安戸建ての指値取得のみが現実的。 借家の空室率は約0%と需給は比較的引き締まっている。</t>
        </is>
      </c>
      <c r="V1236" t="inlineStr">
        <is>
          <t>東吉野村（奈良県）：大和川水系の氾濫、紀伊山地の土砂災害（深層崩壊）、内陸地震に留意。</t>
        </is>
      </c>
    </row>
    <row r="1237">
      <c r="A1237" t="inlineStr">
        <is>
          <t>和歌山県</t>
        </is>
      </c>
      <c r="B1237" t="inlineStr">
        <is>
          <t>和歌山市</t>
        </is>
      </c>
      <c r="C1237" t="n">
        <v>155460</v>
      </c>
      <c r="D1237" t="n">
        <v>346249</v>
      </c>
      <c r="E1237" s="6" t="n">
        <v>1637.4</v>
      </c>
      <c r="F1237" s="7" t="n">
        <v>66.40000000000001</v>
      </c>
      <c r="G1237" t="n">
        <v>356729</v>
      </c>
      <c r="H1237" t="n">
        <v>346249</v>
      </c>
      <c r="I1237" t="n">
        <v>333854</v>
      </c>
      <c r="J1237" t="n">
        <v>293466</v>
      </c>
      <c r="K1237" s="27">
        <f>(H1237/D1237-1)</f>
        <v/>
      </c>
      <c r="L1237" s="27">
        <f>(I1237/D1237-1)</f>
        <v/>
      </c>
      <c r="M1237" s="27">
        <f>(J1237/D1237-1)</f>
        <v/>
      </c>
      <c r="N1237" t="n">
        <v>59.3</v>
      </c>
      <c r="O1237" s="28">
        <f>(N1237+F1237)/2</f>
        <v/>
      </c>
      <c r="P1237">
        <f>IF(O1237="計算不能","計算不能",IF(O1237&gt;=80,5,IF(O1237&gt;=60,4,IF(O1237&gt;=40,3,IF(O1237&gt;=28,2,1)))))</f>
        <v/>
      </c>
      <c r="Q1237" t="n">
        <v>33829</v>
      </c>
      <c r="R1237" t="n">
        <v>19490</v>
      </c>
      <c r="S1237" s="27">
        <f>R1237/Q1237</f>
        <v/>
      </c>
      <c r="T1237" t="inlineStr">
        <is>
          <t>和歌山市は2045年までに人口が約15.2%減と明確な減少トレンド。高齢化の進行と世帯数の縮小により、中長期では賃貸需要の構造的縮小に警戒が必要。</t>
        </is>
      </c>
      <c r="U1237" t="inlineStr">
        <is>
          <t>和歌山市は人口密度1,637人/km²の都市部で、駅周辺や生活利便施設沿いに安定した賃貸需要がある。適切な家賃設定で高稼働を期待できる。 借家の空室率は約58%と供給過多気味で、空室長期化リスクに要警戒。</t>
        </is>
      </c>
      <c r="V1237" t="inlineStr">
        <is>
          <t>和歌山市（和歌山県）：南海トラフ津波の想定が極めて深刻。紀の川の氾濫、紀伊山地の深層崩壊・土砂災害に最大級の留意。</t>
        </is>
      </c>
    </row>
    <row r="1238">
      <c r="A1238" t="inlineStr">
        <is>
          <t>和歌山県</t>
        </is>
      </c>
      <c r="B1238" t="inlineStr">
        <is>
          <t>海南市</t>
        </is>
      </c>
      <c r="C1238" t="n">
        <v>19690</v>
      </c>
      <c r="D1238" t="n">
        <v>44535</v>
      </c>
      <c r="E1238" s="6" t="n">
        <v>434.4</v>
      </c>
      <c r="F1238" s="7" t="n">
        <v>41.7</v>
      </c>
      <c r="G1238" t="n">
        <v>48369</v>
      </c>
      <c r="H1238" t="n">
        <v>44535</v>
      </c>
      <c r="I1238" t="n">
        <v>41022</v>
      </c>
      <c r="J1238" t="n">
        <v>31001</v>
      </c>
      <c r="K1238" s="27">
        <f>(H1238/D1238-1)</f>
        <v/>
      </c>
      <c r="L1238" s="27">
        <f>(I1238/D1238-1)</f>
        <v/>
      </c>
      <c r="M1238" s="27">
        <f>(J1238/D1238-1)</f>
        <v/>
      </c>
      <c r="N1238" t="n">
        <v>42.5</v>
      </c>
      <c r="O1238" s="28">
        <f>(N1238+F1238)/2</f>
        <v/>
      </c>
      <c r="P1238">
        <f>IF(O1238="計算不能","計算不能",IF(O1238&gt;=80,5,IF(O1238&gt;=60,4,IF(O1238&gt;=40,3,IF(O1238&gt;=28,2,1)))))</f>
        <v/>
      </c>
      <c r="Q1238" t="n">
        <v>4284</v>
      </c>
      <c r="R1238" t="n">
        <v>1570</v>
      </c>
      <c r="S1238" s="27">
        <f>R1238/Q1238</f>
        <v/>
      </c>
      <c r="T1238" t="inlineStr">
        <is>
          <t>海南市は2045年までに人口が約30.4%減と急激な過疎・超高齢化が進行。若年労働世代の流出と自然減が重なり、賃貸事業としての持続性は極めて限定的。</t>
        </is>
      </c>
      <c r="U1238" t="inlineStr">
        <is>
          <t>海南市は人口密度434人/km²と低密度で、賃貸需要は限定的。持ち家比率が高く、駐車場完備の戸建て賃貸が有利。 借家の空室率は約37%と供給過多気味で、空室長期化リスクに要警戒。</t>
        </is>
      </c>
      <c r="V1238" t="inlineStr">
        <is>
          <t>海南市（和歌山県）：南海トラフ津波の想定が極めて深刻。紀の川の氾濫、紀伊山地の深層崩壊・土砂災害に最大級の留意。</t>
        </is>
      </c>
    </row>
    <row r="1239">
      <c r="A1239" t="inlineStr">
        <is>
          <t>和歌山県</t>
        </is>
      </c>
      <c r="B1239" t="inlineStr">
        <is>
          <t>橋本市</t>
        </is>
      </c>
      <c r="C1239" t="n">
        <v>23970</v>
      </c>
      <c r="D1239" t="n">
        <v>57104</v>
      </c>
      <c r="E1239" s="6" t="n">
        <v>435.2</v>
      </c>
      <c r="F1239" s="7" t="n">
        <v>41.8</v>
      </c>
      <c r="G1239" t="n">
        <v>60818</v>
      </c>
      <c r="H1239" t="n">
        <v>57104</v>
      </c>
      <c r="I1239" t="n">
        <v>53387</v>
      </c>
      <c r="J1239" t="n">
        <v>41452</v>
      </c>
      <c r="K1239" s="27">
        <f>(H1239/D1239-1)</f>
        <v/>
      </c>
      <c r="L1239" s="27">
        <f>(I1239/D1239-1)</f>
        <v/>
      </c>
      <c r="M1239" s="27">
        <f>(J1239/D1239-1)</f>
        <v/>
      </c>
      <c r="N1239" t="n">
        <v>45.6</v>
      </c>
      <c r="O1239" s="28">
        <f>(N1239+F1239)/2</f>
        <v/>
      </c>
      <c r="P1239">
        <f>IF(O1239="計算不能","計算不能",IF(O1239&gt;=80,5,IF(O1239&gt;=60,4,IF(O1239&gt;=40,3,IF(O1239&gt;=28,2,1)))))</f>
        <v/>
      </c>
      <c r="Q1239" t="n">
        <v>5216</v>
      </c>
      <c r="R1239" t="n">
        <v>1730</v>
      </c>
      <c r="S1239" s="27">
        <f>R1239/Q1239</f>
        <v/>
      </c>
      <c r="T1239" t="inlineStr">
        <is>
          <t>橋本市は2045年までに人口が約27.4%減と明確な減少トレンド。高齢化の進行と世帯数の縮小により、中長期では賃貸需要の構造的縮小に警戒が必要。</t>
        </is>
      </c>
      <c r="U1239" t="inlineStr">
        <is>
          <t>橋本市は人口密度435人/km²と低密度で、賃貸需要は限定的。持ち家比率が高く、駐車場完備の戸建て賃貸が有利。 借家の空室率は約33%と供給過多気味で、空室長期化リスクに要警戒。</t>
        </is>
      </c>
      <c r="V1239" t="inlineStr">
        <is>
          <t>橋本市（和歌山県）：南海トラフ津波の想定が極めて深刻。紀の川の氾濫、紀伊山地の深層崩壊・土砂災害に最大級の留意。</t>
        </is>
      </c>
    </row>
    <row r="1240">
      <c r="A1240" t="inlineStr">
        <is>
          <t>和歌山県</t>
        </is>
      </c>
      <c r="B1240" t="inlineStr">
        <is>
          <t>有田市</t>
        </is>
      </c>
      <c r="C1240" t="n">
        <v>8890</v>
      </c>
      <c r="D1240" t="n">
        <v>24520</v>
      </c>
      <c r="E1240" s="6" t="n">
        <v>625.4</v>
      </c>
      <c r="F1240" s="7" t="n">
        <v>47.5</v>
      </c>
      <c r="G1240" t="n">
        <v>26538</v>
      </c>
      <c r="H1240" t="n">
        <v>24520</v>
      </c>
      <c r="I1240" t="n">
        <v>22437</v>
      </c>
      <c r="J1240" t="n">
        <v>16425</v>
      </c>
      <c r="K1240" s="27">
        <f>(H1240/D1240-1)</f>
        <v/>
      </c>
      <c r="L1240" s="27">
        <f>(I1240/D1240-1)</f>
        <v/>
      </c>
      <c r="M1240" s="27">
        <f>(J1240/D1240-1)</f>
        <v/>
      </c>
      <c r="N1240" t="n">
        <v>42</v>
      </c>
      <c r="O1240" s="28">
        <f>(N1240+F1240)/2</f>
        <v/>
      </c>
      <c r="P1240">
        <f>IF(O1240="計算不能","計算不能",IF(O1240&gt;=80,5,IF(O1240&gt;=60,4,IF(O1240&gt;=40,3,IF(O1240&gt;=28,2,1)))))</f>
        <v/>
      </c>
      <c r="Q1240" t="n">
        <v>1934</v>
      </c>
      <c r="R1240" t="n">
        <v>450</v>
      </c>
      <c r="S1240" s="27">
        <f>R1240/Q1240</f>
        <v/>
      </c>
      <c r="T1240" t="inlineStr">
        <is>
          <t>有田市は2045年までに人口が約33.0%減と急激な過疎・超高齢化が進行。若年労働世代の流出と自然減が重なり、賃貸事業としての持続性は極めて限定的。</t>
        </is>
      </c>
      <c r="U1240" t="inlineStr">
        <is>
          <t>有田市は人口密度625人/km²で、主要道路沿いや中心市街地に一定の賃貸需要が局在。立地選別が稼働を左右する。 借家の空室率は約23%とやや高めで、競合との差別化が必要。</t>
        </is>
      </c>
      <c r="V1240" t="inlineStr">
        <is>
          <t>有田市（和歌山県）：南海トラフ津波の想定が極めて深刻。紀の川の氾濫、紀伊山地の深層崩壊・土砂災害に最大級の留意。</t>
        </is>
      </c>
    </row>
    <row r="1241">
      <c r="A1241" t="inlineStr">
        <is>
          <t>和歌山県</t>
        </is>
      </c>
      <c r="B1241" t="inlineStr">
        <is>
          <t>御坊市</t>
        </is>
      </c>
      <c r="C1241" t="n">
        <v>10100</v>
      </c>
      <c r="D1241" t="n">
        <v>21885</v>
      </c>
      <c r="E1241" s="6" t="n">
        <v>478.6</v>
      </c>
      <c r="F1241" s="7" t="n">
        <v>43.9</v>
      </c>
      <c r="G1241" t="n">
        <v>23481</v>
      </c>
      <c r="H1241" t="n">
        <v>21885</v>
      </c>
      <c r="I1241" t="n">
        <v>20516</v>
      </c>
      <c r="J1241" t="n">
        <v>16341</v>
      </c>
      <c r="K1241" s="27">
        <f>(H1241/D1241-1)</f>
        <v/>
      </c>
      <c r="L1241" s="27">
        <f>(I1241/D1241-1)</f>
        <v/>
      </c>
      <c r="M1241" s="27">
        <f>(J1241/D1241-1)</f>
        <v/>
      </c>
      <c r="N1241" t="n">
        <v>45.5</v>
      </c>
      <c r="O1241" s="28">
        <f>(N1241+F1241)/2</f>
        <v/>
      </c>
      <c r="P1241">
        <f>IF(O1241="計算不能","計算不能",IF(O1241&gt;=80,5,IF(O1241&gt;=60,4,IF(O1241&gt;=40,3,IF(O1241&gt;=28,2,1)))))</f>
        <v/>
      </c>
      <c r="Q1241" t="n">
        <v>2197</v>
      </c>
      <c r="R1241" t="n">
        <v>580</v>
      </c>
      <c r="S1241" s="27">
        <f>R1241/Q1241</f>
        <v/>
      </c>
      <c r="T1241" t="inlineStr">
        <is>
          <t>御坊市は2045年までに人口が約25.3%減と明確な減少トレンド。高齢化の進行と世帯数の縮小により、中長期では賃貸需要の構造的縮小に警戒が必要。</t>
        </is>
      </c>
      <c r="U1241" t="inlineStr">
        <is>
          <t>御坊市は人口密度479人/km²と低密度で、賃貸需要は限定的。持ち家比率が高く、駐車場完備の戸建て賃貸が有利。 借家の空室率は約26%と供給過多気味で、空室長期化リスクに要警戒。</t>
        </is>
      </c>
      <c r="V1241" t="inlineStr">
        <is>
          <t>御坊市（和歌山県）：南海トラフ津波の想定が極めて深刻。紀の川の氾濫、紀伊山地の深層崩壊・土砂災害に最大級の留意。</t>
        </is>
      </c>
    </row>
    <row r="1242">
      <c r="A1242" t="inlineStr">
        <is>
          <t>和歌山県</t>
        </is>
      </c>
      <c r="B1242" t="inlineStr">
        <is>
          <t>田辺市</t>
        </is>
      </c>
      <c r="C1242" t="n">
        <v>30800</v>
      </c>
      <c r="D1242" t="n">
        <v>64651</v>
      </c>
      <c r="E1242" s="6" t="n">
        <v>62.6</v>
      </c>
      <c r="F1242" s="7" t="n">
        <v>16.3</v>
      </c>
      <c r="G1242" t="n">
        <v>69870</v>
      </c>
      <c r="H1242" t="n">
        <v>64651</v>
      </c>
      <c r="I1242" t="n">
        <v>59951</v>
      </c>
      <c r="J1242" t="n">
        <v>46553</v>
      </c>
      <c r="K1242" s="27">
        <f>(H1242/D1242-1)</f>
        <v/>
      </c>
      <c r="L1242" s="27">
        <f>(I1242/D1242-1)</f>
        <v/>
      </c>
      <c r="M1242" s="27">
        <f>(J1242/D1242-1)</f>
        <v/>
      </c>
      <c r="N1242" t="n">
        <v>43.7</v>
      </c>
      <c r="O1242" s="28">
        <f>(N1242+F1242)/2</f>
        <v/>
      </c>
      <c r="P1242">
        <f>IF(O1242="計算不能","計算不能",IF(O1242&gt;=80,5,IF(O1242&gt;=60,4,IF(O1242&gt;=40,3,IF(O1242&gt;=28,2,1)))))</f>
        <v/>
      </c>
      <c r="Q1242" t="n">
        <v>6702</v>
      </c>
      <c r="R1242" t="n">
        <v>2160</v>
      </c>
      <c r="S1242" s="27">
        <f>R1242/Q1242</f>
        <v/>
      </c>
      <c r="T1242" t="inlineStr">
        <is>
          <t>田辺市は2045年までに人口が約28.0%減と明確な減少トレンド。高齢化の進行と世帯数の縮小により、中長期では賃貸需要の構造的縮小に警戒が必要。</t>
        </is>
      </c>
      <c r="U1242" t="inlineStr">
        <is>
          <t>田辺市は人口密度63人/km²と過疎的水準で、民間賃貸の新規需要は薄い。実需に裏付けられた格安戸建ての指値取得のみが現実的。 借家の空室率は約32%と供給過多気味で、空室長期化リスクに要警戒。</t>
        </is>
      </c>
      <c r="V1242" t="inlineStr">
        <is>
          <t>田辺市（和歌山県）：南海トラフ津波の想定が極めて深刻。紀の川の氾濫、紀伊山地の深層崩壊・土砂災害に最大級の留意。</t>
        </is>
      </c>
    </row>
    <row r="1243">
      <c r="A1243" t="inlineStr">
        <is>
          <t>和歌山県</t>
        </is>
      </c>
      <c r="B1243" t="inlineStr">
        <is>
          <t>新宮市</t>
        </is>
      </c>
      <c r="C1243" t="n">
        <v>12510</v>
      </c>
      <c r="D1243" t="n">
        <v>25150</v>
      </c>
      <c r="E1243" s="6" t="n">
        <v>95.40000000000001</v>
      </c>
      <c r="F1243" s="7" t="n">
        <v>19.5</v>
      </c>
      <c r="G1243" t="n">
        <v>27171</v>
      </c>
      <c r="H1243" t="n">
        <v>25150</v>
      </c>
      <c r="I1243" t="n">
        <v>23065</v>
      </c>
      <c r="J1243" t="n">
        <v>17195</v>
      </c>
      <c r="K1243" s="27">
        <f>(H1243/D1243-1)</f>
        <v/>
      </c>
      <c r="L1243" s="27">
        <f>(I1243/D1243-1)</f>
        <v/>
      </c>
      <c r="M1243" s="27">
        <f>(J1243/D1243-1)</f>
        <v/>
      </c>
      <c r="N1243" t="n">
        <v>42.6</v>
      </c>
      <c r="O1243" s="28">
        <f>(N1243+F1243)/2</f>
        <v/>
      </c>
      <c r="P1243">
        <f>IF(O1243="計算不能","計算不能",IF(O1243&gt;=80,5,IF(O1243&gt;=60,4,IF(O1243&gt;=40,3,IF(O1243&gt;=28,2,1)))))</f>
        <v/>
      </c>
      <c r="Q1243" t="n">
        <v>2722</v>
      </c>
      <c r="R1243" t="n">
        <v>1110</v>
      </c>
      <c r="S1243" s="27">
        <f>R1243/Q1243</f>
        <v/>
      </c>
      <c r="T1243" t="inlineStr">
        <is>
          <t>新宮市は2045年までに人口が約31.6%減と急激な過疎・超高齢化が進行。若年労働世代の流出と自然減が重なり、賃貸事業としての持続性は極めて限定的。</t>
        </is>
      </c>
      <c r="U1243" t="inlineStr">
        <is>
          <t>新宮市は人口密度95人/km²と過疎的水準で、民間賃貸の新規需要は薄い。実需に裏付けられた格安戸建ての指値取得のみが現実的。 借家の空室率は約41%と供給過多気味で、空室長期化リスクに要警戒。</t>
        </is>
      </c>
      <c r="V1243" t="inlineStr">
        <is>
          <t>新宮市（和歌山県）：南海トラフ津波の想定が極めて深刻。紀の川の氾濫、紀伊山地の深層崩壊・土砂災害に最大級の留意。</t>
        </is>
      </c>
    </row>
    <row r="1244">
      <c r="A1244" t="inlineStr">
        <is>
          <t>和歌山県</t>
        </is>
      </c>
      <c r="B1244" t="inlineStr">
        <is>
          <t>紀の川市</t>
        </is>
      </c>
      <c r="C1244" t="n">
        <v>23150</v>
      </c>
      <c r="D1244" t="n">
        <v>55450</v>
      </c>
      <c r="E1244" s="6" t="n">
        <v>244.7</v>
      </c>
      <c r="F1244" s="7" t="n">
        <v>32.2</v>
      </c>
      <c r="G1244" t="n">
        <v>58816</v>
      </c>
      <c r="H1244" t="n">
        <v>55450</v>
      </c>
      <c r="I1244" t="n">
        <v>51839</v>
      </c>
      <c r="J1244" t="n">
        <v>40360</v>
      </c>
      <c r="K1244" s="27">
        <f>(H1244/D1244-1)</f>
        <v/>
      </c>
      <c r="L1244" s="27">
        <f>(I1244/D1244-1)</f>
        <v/>
      </c>
      <c r="M1244" s="27">
        <f>(J1244/D1244-1)</f>
        <v/>
      </c>
      <c r="N1244" t="n">
        <v>46.4</v>
      </c>
      <c r="O1244" s="28">
        <f>(N1244+F1244)/2</f>
        <v/>
      </c>
      <c r="P1244">
        <f>IF(O1244="計算不能","計算不能",IF(O1244&gt;=80,5,IF(O1244&gt;=60,4,IF(O1244&gt;=40,3,IF(O1244&gt;=28,2,1)))))</f>
        <v/>
      </c>
      <c r="Q1244" t="n">
        <v>5037</v>
      </c>
      <c r="R1244" t="n">
        <v>1070</v>
      </c>
      <c r="S1244" s="27">
        <f>R1244/Q1244</f>
        <v/>
      </c>
      <c r="T1244" t="inlineStr">
        <is>
          <t>紀の川市は2045年までに人口が約27.2%減と明確な減少トレンド。高齢化の進行と世帯数の縮小により、中長期では賃貸需要の構造的縮小に警戒が必要。</t>
        </is>
      </c>
      <c r="U1244" t="inlineStr">
        <is>
          <t>紀の川市は人口密度245人/km²と低密度で、賃貸需要は限定的。持ち家比率が高く、駐車場完備の戸建て賃貸が有利。 借家の空室率は約21%とやや高めで、競合との差別化が必要。</t>
        </is>
      </c>
      <c r="V1244" t="inlineStr">
        <is>
          <t>紀の川市（和歌山県）：南海トラフ津波の想定が極めて深刻。紀の川の氾濫、紀伊山地の深層崩壊・土砂災害に最大級の留意。</t>
        </is>
      </c>
    </row>
    <row r="1245">
      <c r="A1245" t="inlineStr">
        <is>
          <t>和歌山県</t>
        </is>
      </c>
      <c r="B1245" t="inlineStr">
        <is>
          <t>岩出市</t>
        </is>
      </c>
      <c r="C1245" t="n">
        <v>22730</v>
      </c>
      <c r="D1245" t="n">
        <v>53445</v>
      </c>
      <c r="E1245" s="6" t="n">
        <v>1388.7</v>
      </c>
      <c r="F1245" s="7" t="n">
        <v>62.8</v>
      </c>
      <c r="G1245" t="n">
        <v>53967</v>
      </c>
      <c r="H1245" t="n">
        <v>53445</v>
      </c>
      <c r="I1245" t="n">
        <v>52603</v>
      </c>
      <c r="J1245" t="n">
        <v>47643</v>
      </c>
      <c r="K1245" s="27">
        <f>(H1245/D1245-1)</f>
        <v/>
      </c>
      <c r="L1245" s="27">
        <f>(I1245/D1245-1)</f>
        <v/>
      </c>
      <c r="M1245" s="27">
        <f>(J1245/D1245-1)</f>
        <v/>
      </c>
      <c r="N1245" t="n">
        <v>66.59999999999999</v>
      </c>
      <c r="O1245" s="28">
        <f>(N1245+F1245)/2</f>
        <v/>
      </c>
      <c r="P1245">
        <f>IF(O1245="計算不能","計算不能",IF(O1245&gt;=80,5,IF(O1245&gt;=60,4,IF(O1245&gt;=40,3,IF(O1245&gt;=28,2,1)))))</f>
        <v/>
      </c>
      <c r="Q1245" t="n">
        <v>4946</v>
      </c>
      <c r="R1245" t="n">
        <v>1280</v>
      </c>
      <c r="S1245" s="27">
        <f>R1245/Q1245</f>
        <v/>
      </c>
      <c r="T1245" t="inlineStr">
        <is>
          <t>岩出市は2045年までに人口が約10.9%減と緩やかな減少局面。若年層の都市部流出と高齢化が進むが、当面の賃貸稼働は一定程度維持される見通し。</t>
        </is>
      </c>
      <c r="U1245" t="inlineStr">
        <is>
          <t>岩出市は人口密度1,389人/km²で、主要道路沿いや中心市街地に一定の賃貸需要が局在。立地選別が稼働を左右する。 借家の空室率は約26%と供給過多気味で、空室長期化リスクに要警戒。</t>
        </is>
      </c>
      <c r="V1245" t="inlineStr">
        <is>
          <t>岩出市（和歌山県）：南海トラフ津波の想定が極めて深刻。紀の川の氾濫、紀伊山地の深層崩壊・土砂災害に最大級の留意。</t>
        </is>
      </c>
    </row>
    <row r="1246">
      <c r="A1246" t="inlineStr">
        <is>
          <t>和歌山県</t>
        </is>
      </c>
      <c r="B1246" t="inlineStr">
        <is>
          <t>紀美野町</t>
        </is>
      </c>
      <c r="C1246" t="n">
        <v>3962</v>
      </c>
      <c r="D1246" t="n">
        <v>7270</v>
      </c>
      <c r="E1246" s="6" t="n">
        <v>56.4</v>
      </c>
      <c r="F1246" s="7" t="n">
        <v>15.6</v>
      </c>
      <c r="G1246" t="n">
        <v>8256</v>
      </c>
      <c r="H1246" t="n">
        <v>7270</v>
      </c>
      <c r="I1246" t="n">
        <v>6355</v>
      </c>
      <c r="J1246" t="n">
        <v>4002</v>
      </c>
      <c r="K1246" s="27">
        <f>(H1246/D1246-1)</f>
        <v/>
      </c>
      <c r="L1246" s="27">
        <f>(I1246/D1246-1)</f>
        <v/>
      </c>
      <c r="M1246" s="27">
        <f>(J1246/D1246-1)</f>
        <v/>
      </c>
      <c r="N1246" t="n">
        <v>34.3</v>
      </c>
      <c r="O1246" s="28">
        <f>(N1246+F1246)/2</f>
        <v/>
      </c>
      <c r="P1246">
        <f>IF(O1246="計算不能","計算不能",IF(O1246&gt;=80,5,IF(O1246&gt;=60,4,IF(O1246&gt;=40,3,IF(O1246&gt;=28,2,1)))))</f>
        <v/>
      </c>
      <c r="Q1246" t="n">
        <v>862</v>
      </c>
      <c r="R1246" t="n">
        <v>0</v>
      </c>
      <c r="S1246" s="27">
        <f>R1246/Q1246</f>
        <v/>
      </c>
      <c r="T1246" t="inlineStr">
        <is>
          <t>紀美野町は2045年までに人口が約45.0%減と急激な過疎・超高齢化が進行。若年労働世代の流出と自然減が重なり、賃貸事業としての持続性は極めて限定的。</t>
        </is>
      </c>
      <c r="U1246" t="inlineStr">
        <is>
          <t>紀美野町は人口密度56人/km²と過疎的水準で、民間賃貸の新規需要は薄い。実需に裏付けられた格安戸建ての指値取得のみが現実的。 借家の空室率は約0%と需給は比較的引き締まっている。</t>
        </is>
      </c>
      <c r="V1246" t="inlineStr">
        <is>
          <t>紀美野町（和歌山県）：南海トラフ津波の想定が極めて深刻。紀の川の氾濫、紀伊山地の深層崩壊・土砂災害に最大級の留意。</t>
        </is>
      </c>
    </row>
    <row r="1247">
      <c r="A1247" t="inlineStr">
        <is>
          <t>和歌山県</t>
        </is>
      </c>
      <c r="B1247" t="inlineStr">
        <is>
          <t>かつらぎ町</t>
        </is>
      </c>
      <c r="C1247" t="n">
        <v>5860</v>
      </c>
      <c r="D1247" t="n">
        <v>14670</v>
      </c>
      <c r="E1247" s="6" t="n">
        <v>96.09999999999999</v>
      </c>
      <c r="F1247" s="7" t="n">
        <v>19.6</v>
      </c>
      <c r="G1247" t="n">
        <v>15967</v>
      </c>
      <c r="H1247" t="n">
        <v>14670</v>
      </c>
      <c r="I1247" t="n">
        <v>13331</v>
      </c>
      <c r="J1247" t="n">
        <v>9609</v>
      </c>
      <c r="K1247" s="27">
        <f>(H1247/D1247-1)</f>
        <v/>
      </c>
      <c r="L1247" s="27">
        <f>(I1247/D1247-1)</f>
        <v/>
      </c>
      <c r="M1247" s="27">
        <f>(J1247/D1247-1)</f>
        <v/>
      </c>
      <c r="N1247" t="n">
        <v>41</v>
      </c>
      <c r="O1247" s="28">
        <f>(N1247+F1247)/2</f>
        <v/>
      </c>
      <c r="P1247">
        <f>IF(O1247="計算不能","計算不能",IF(O1247&gt;=80,5,IF(O1247&gt;=60,4,IF(O1247&gt;=40,3,IF(O1247&gt;=28,2,1)))))</f>
        <v/>
      </c>
      <c r="Q1247" t="n">
        <v>1275</v>
      </c>
      <c r="R1247" t="n">
        <v>360</v>
      </c>
      <c r="S1247" s="27">
        <f>R1247/Q1247</f>
        <v/>
      </c>
      <c r="T1247" t="inlineStr">
        <is>
          <t>かつらぎ町は2045年までに人口が約34.5%減と急激な過疎・超高齢化が進行。若年労働世代の流出と自然減が重なり、賃貸事業としての持続性は極めて限定的。</t>
        </is>
      </c>
      <c r="U1247" t="inlineStr">
        <is>
          <t>かつらぎ町は人口密度96人/km²と過疎的水準で、民間賃貸の新規需要は薄い。実需に裏付けられた格安戸建ての指値取得のみが現実的。 借家の空室率は約28%と供給過多気味で、空室長期化リスクに要警戒。</t>
        </is>
      </c>
      <c r="V1247" t="inlineStr">
        <is>
          <t>かつらぎ町（和歌山県）：南海トラフ津波の想定が極めて深刻。紀の川の氾濫、紀伊山地の深層崩壊・土砂災害に最大級の留意。</t>
        </is>
      </c>
    </row>
    <row r="1248">
      <c r="A1248" t="inlineStr">
        <is>
          <t>和歌山県</t>
        </is>
      </c>
      <c r="B1248" t="inlineStr">
        <is>
          <t>九度山町</t>
        </is>
      </c>
      <c r="C1248" t="n">
        <v>1858</v>
      </c>
      <c r="D1248" t="n">
        <v>3373</v>
      </c>
      <c r="E1248" s="6" t="n">
        <v>78</v>
      </c>
      <c r="F1248" s="7" t="n">
        <v>17.8</v>
      </c>
      <c r="G1248" t="n">
        <v>3856</v>
      </c>
      <c r="H1248" t="n">
        <v>3373</v>
      </c>
      <c r="I1248" t="n">
        <v>2922</v>
      </c>
      <c r="J1248" t="n">
        <v>1783</v>
      </c>
      <c r="K1248" s="27">
        <f>(H1248/D1248-1)</f>
        <v/>
      </c>
      <c r="L1248" s="27">
        <f>(I1248/D1248-1)</f>
        <v/>
      </c>
      <c r="M1248" s="27">
        <f>(J1248/D1248-1)</f>
        <v/>
      </c>
      <c r="N1248" t="n">
        <v>33.1</v>
      </c>
      <c r="O1248" s="28">
        <f>(N1248+F1248)/2</f>
        <v/>
      </c>
      <c r="P1248">
        <f>IF(O1248="計算不能","計算不能",IF(O1248&gt;=80,5,IF(O1248&gt;=60,4,IF(O1248&gt;=40,3,IF(O1248&gt;=28,2,1)))))</f>
        <v/>
      </c>
      <c r="Q1248" t="n">
        <v>404</v>
      </c>
      <c r="R1248" t="n">
        <v>0</v>
      </c>
      <c r="S1248" s="27">
        <f>R1248/Q1248</f>
        <v/>
      </c>
      <c r="T1248" t="inlineStr">
        <is>
          <t>九度山町は2045年までに人口が約47.1%減と急激な過疎・超高齢化が進行。若年労働世代の流出と自然減が重なり、賃貸事業としての持続性は極めて限定的。</t>
        </is>
      </c>
      <c r="U1248" t="inlineStr">
        <is>
          <t>九度山町は人口密度78人/km²と過疎的水準で、民間賃貸の新規需要は薄い。実需に裏付けられた格安戸建ての指値取得のみが現実的。 借家の空室率は約0%と需給は比較的引き締まっている。</t>
        </is>
      </c>
      <c r="V1248" t="inlineStr">
        <is>
          <t>九度山町（和歌山県）：南海トラフ津波の想定が極めて深刻。紀の川の氾濫、紀伊山地の深層崩壊・土砂災害に最大級の留意。</t>
        </is>
      </c>
    </row>
    <row r="1249">
      <c r="A1249" t="inlineStr">
        <is>
          <t>和歌山県</t>
        </is>
      </c>
      <c r="B1249" t="inlineStr">
        <is>
          <t>高野町</t>
        </is>
      </c>
      <c r="C1249" t="n">
        <v>1522</v>
      </c>
      <c r="D1249" t="n">
        <v>2654</v>
      </c>
      <c r="E1249" s="6" t="n">
        <v>18.9</v>
      </c>
      <c r="F1249" s="7" t="n">
        <v>11.9</v>
      </c>
      <c r="G1249" t="n">
        <v>2970</v>
      </c>
      <c r="H1249" t="n">
        <v>2654</v>
      </c>
      <c r="I1249" t="n">
        <v>2362</v>
      </c>
      <c r="J1249" t="n">
        <v>1636</v>
      </c>
      <c r="K1249" s="27">
        <f>(H1249/D1249-1)</f>
        <v/>
      </c>
      <c r="L1249" s="27">
        <f>(I1249/D1249-1)</f>
        <v/>
      </c>
      <c r="M1249" s="27">
        <f>(J1249/D1249-1)</f>
        <v/>
      </c>
      <c r="N1249" t="n">
        <v>37.4</v>
      </c>
      <c r="O1249" s="28">
        <f>(N1249+F1249)/2</f>
        <v/>
      </c>
      <c r="P1249">
        <f>IF(O1249="計算不能","計算不能",IF(O1249&gt;=80,5,IF(O1249&gt;=60,4,IF(O1249&gt;=40,3,IF(O1249&gt;=28,2,1)))))</f>
        <v/>
      </c>
      <c r="Q1249" t="n">
        <v>331</v>
      </c>
      <c r="R1249" t="n">
        <v>0</v>
      </c>
      <c r="S1249" s="27">
        <f>R1249/Q1249</f>
        <v/>
      </c>
      <c r="T1249" t="inlineStr">
        <is>
          <t>高野町は2045年までに人口が約38.4%減と急激な過疎・超高齢化が進行。若年労働世代の流出と自然減が重なり、賃貸事業としての持続性は極めて限定的。</t>
        </is>
      </c>
      <c r="U1249" t="inlineStr">
        <is>
          <t>高野町は人口密度19人/km²と過疎的水準で、民間賃貸の新規需要は薄い。実需に裏付けられた格安戸建ての指値取得のみが現実的。 借家の空室率は約0%と需給は比較的引き締まっている。</t>
        </is>
      </c>
      <c r="V1249" t="inlineStr">
        <is>
          <t>高野町（和歌山県）：南海トラフ津波の想定が極めて深刻。紀の川の氾濫、紀伊山地の深層崩壊・土砂災害に最大級の留意。</t>
        </is>
      </c>
    </row>
    <row r="1250">
      <c r="A1250" t="inlineStr">
        <is>
          <t>和歌山県</t>
        </is>
      </c>
      <c r="B1250" t="inlineStr">
        <is>
          <t>湯浅町</t>
        </is>
      </c>
      <c r="C1250" t="n">
        <v>5246</v>
      </c>
      <c r="D1250" t="n">
        <v>10010</v>
      </c>
      <c r="E1250" s="6" t="n">
        <v>482.3</v>
      </c>
      <c r="F1250" s="7" t="n">
        <v>44.1</v>
      </c>
      <c r="G1250" t="n">
        <v>11122</v>
      </c>
      <c r="H1250" t="n">
        <v>10010</v>
      </c>
      <c r="I1250" t="n">
        <v>8973</v>
      </c>
      <c r="J1250" t="n">
        <v>6070</v>
      </c>
      <c r="K1250" s="27">
        <f>(H1250/D1250-1)</f>
        <v/>
      </c>
      <c r="L1250" s="27">
        <f>(I1250/D1250-1)</f>
        <v/>
      </c>
      <c r="M1250" s="27">
        <f>(J1250/D1250-1)</f>
        <v/>
      </c>
      <c r="N1250" t="n">
        <v>37.9</v>
      </c>
      <c r="O1250" s="28">
        <f>(N1250+F1250)/2</f>
        <v/>
      </c>
      <c r="P1250">
        <f>IF(O1250="計算不能","計算不能",IF(O1250&gt;=80,5,IF(O1250&gt;=60,4,IF(O1250&gt;=40,3,IF(O1250&gt;=28,2,1)))))</f>
        <v/>
      </c>
      <c r="Q1250" t="n">
        <v>1141</v>
      </c>
      <c r="R1250" t="n">
        <v>0</v>
      </c>
      <c r="S1250" s="27">
        <f>R1250/Q1250</f>
        <v/>
      </c>
      <c r="T1250" t="inlineStr">
        <is>
          <t>湯浅町は2045年までに人口が約39.4%減と急激な過疎・超高齢化が進行。若年労働世代の流出と自然減が重なり、賃貸事業としての持続性は極めて限定的。</t>
        </is>
      </c>
      <c r="U1250" t="inlineStr">
        <is>
          <t>湯浅町は人口密度482人/km²と低密度で、賃貸需要は限定的。持ち家比率が高く、駐車場完備の戸建て賃貸が有利。 借家の空室率は約0%と需給は比較的引き締まっている。</t>
        </is>
      </c>
      <c r="V1250" t="inlineStr">
        <is>
          <t>湯浅町（和歌山県）：南海トラフ津波の想定が極めて深刻。紀の川の氾濫、紀伊山地の深層崩壊・土砂災害に最大級の留意。</t>
        </is>
      </c>
    </row>
    <row r="1251">
      <c r="A1251" t="inlineStr">
        <is>
          <t>和歌山県</t>
        </is>
      </c>
      <c r="B1251" t="inlineStr">
        <is>
          <t>広川町</t>
        </is>
      </c>
      <c r="C1251" t="n">
        <v>8265</v>
      </c>
      <c r="D1251" t="n">
        <v>6321</v>
      </c>
      <c r="E1251" s="6" t="n">
        <v>507.7</v>
      </c>
      <c r="F1251" s="7" t="n">
        <v>45.2</v>
      </c>
      <c r="G1251" t="n">
        <v>6781</v>
      </c>
      <c r="H1251" t="n">
        <v>6321</v>
      </c>
      <c r="I1251" t="n">
        <v>5839</v>
      </c>
      <c r="J1251" t="n">
        <v>4389</v>
      </c>
      <c r="K1251" s="27">
        <f>(H1251/D1251-1)</f>
        <v/>
      </c>
      <c r="L1251" s="27">
        <f>(I1251/D1251-1)</f>
        <v/>
      </c>
      <c r="M1251" s="27">
        <f>(J1251/D1251-1)</f>
        <v/>
      </c>
      <c r="N1251" t="n">
        <v>43.6</v>
      </c>
      <c r="O1251" s="28">
        <f>(N1251+F1251)/2</f>
        <v/>
      </c>
      <c r="P1251">
        <f>IF(O1251="計算不能","計算不能",IF(O1251&gt;=80,5,IF(O1251&gt;=60,4,IF(O1251&gt;=40,3,IF(O1251&gt;=28,2,1)))))</f>
        <v/>
      </c>
      <c r="Q1251" t="n">
        <v>1798</v>
      </c>
      <c r="R1251" t="n">
        <v>0</v>
      </c>
      <c r="S1251" s="27">
        <f>R1251/Q1251</f>
        <v/>
      </c>
      <c r="T1251" t="inlineStr">
        <is>
          <t>広川町は2045年までに人口が約30.6%減と急激な過疎・超高齢化が進行。若年労働世代の流出と自然減が重なり、賃貸事業としての持続性は極めて限定的。</t>
        </is>
      </c>
      <c r="U1251" t="inlineStr">
        <is>
          <t>広川町は人口密度508人/km²で、主要道路沿いや中心市街地に一定の賃貸需要が局在。立地選別が稼働を左右する。 借家の空室率は約0%と需給は比較的引き締まっている。</t>
        </is>
      </c>
      <c r="V1251" t="inlineStr">
        <is>
          <t>広川町（和歌山県）：南海トラフ津波の想定が極めて深刻。紀の川の氾濫、紀伊山地の深層崩壊・土砂災害に最大級の留意。</t>
        </is>
      </c>
    </row>
    <row r="1252">
      <c r="A1252" t="inlineStr">
        <is>
          <t>和歌山県</t>
        </is>
      </c>
      <c r="B1252" t="inlineStr">
        <is>
          <t>有田川町</t>
        </is>
      </c>
      <c r="C1252" t="n">
        <v>9720</v>
      </c>
      <c r="D1252" t="n">
        <v>23976</v>
      </c>
      <c r="E1252" s="6" t="n">
        <v>67.7</v>
      </c>
      <c r="F1252" s="7" t="n">
        <v>16.8</v>
      </c>
      <c r="G1252" t="n">
        <v>25258</v>
      </c>
      <c r="H1252" t="n">
        <v>23976</v>
      </c>
      <c r="I1252" t="n">
        <v>22715</v>
      </c>
      <c r="J1252" t="n">
        <v>18913</v>
      </c>
      <c r="K1252" s="27">
        <f>(H1252/D1252-1)</f>
        <v/>
      </c>
      <c r="L1252" s="27">
        <f>(I1252/D1252-1)</f>
        <v/>
      </c>
      <c r="M1252" s="27">
        <f>(J1252/D1252-1)</f>
        <v/>
      </c>
      <c r="N1252" t="n">
        <v>51.3</v>
      </c>
      <c r="O1252" s="28">
        <f>(N1252+F1252)/2</f>
        <v/>
      </c>
      <c r="P1252">
        <f>IF(O1252="計算不能","計算不能",IF(O1252&gt;=80,5,IF(O1252&gt;=60,4,IF(O1252&gt;=40,3,IF(O1252&gt;=28,2,1)))))</f>
        <v/>
      </c>
      <c r="Q1252" t="n">
        <v>2115</v>
      </c>
      <c r="R1252" t="n">
        <v>0</v>
      </c>
      <c r="S1252" s="27">
        <f>R1252/Q1252</f>
        <v/>
      </c>
      <c r="T1252" t="inlineStr">
        <is>
          <t>有田川町は2045年までに人口が約21.1%減と明確な減少トレンド。高齢化の進行と世帯数の縮小により、中長期では賃貸需要の構造的縮小に警戒が必要。</t>
        </is>
      </c>
      <c r="U1252" t="inlineStr">
        <is>
          <t>有田川町は人口密度68人/km²と過疎的水準で、民間賃貸の新規需要は薄い。実需に裏付けられた格安戸建ての指値取得のみが現実的。 借家の空室率は約0%と需給は比較的引き締まっている。</t>
        </is>
      </c>
      <c r="V1252" t="inlineStr">
        <is>
          <t>有田川町（和歌山県）：南海トラフ津波の想定が極めて深刻。紀の川の氾濫、紀伊山地の深層崩壊・土砂災害に最大級の留意。</t>
        </is>
      </c>
    </row>
    <row r="1253">
      <c r="A1253" t="inlineStr">
        <is>
          <t>和歌山県</t>
        </is>
      </c>
      <c r="B1253" t="inlineStr">
        <is>
          <t>美浜町</t>
        </is>
      </c>
      <c r="C1253" t="n">
        <v>3005</v>
      </c>
      <c r="D1253" t="n">
        <v>6408</v>
      </c>
      <c r="E1253" s="6" t="n">
        <v>473</v>
      </c>
      <c r="F1253" s="7" t="n">
        <v>43.6</v>
      </c>
      <c r="G1253" t="n">
        <v>6867</v>
      </c>
      <c r="H1253" t="n">
        <v>6408</v>
      </c>
      <c r="I1253" t="n">
        <v>5956</v>
      </c>
      <c r="J1253" t="n">
        <v>4515</v>
      </c>
      <c r="K1253" s="27">
        <f>(H1253/D1253-1)</f>
        <v/>
      </c>
      <c r="L1253" s="27">
        <f>(I1253/D1253-1)</f>
        <v/>
      </c>
      <c r="M1253" s="27">
        <f>(J1253/D1253-1)</f>
        <v/>
      </c>
      <c r="N1253" t="n">
        <v>44.1</v>
      </c>
      <c r="O1253" s="28">
        <f>(N1253+F1253)/2</f>
        <v/>
      </c>
      <c r="P1253">
        <f>IF(O1253="計算不能","計算不能",IF(O1253&gt;=80,5,IF(O1253&gt;=60,4,IF(O1253&gt;=40,3,IF(O1253&gt;=28,2,1)))))</f>
        <v/>
      </c>
      <c r="Q1253" t="n">
        <v>653</v>
      </c>
      <c r="R1253" t="n">
        <v>0</v>
      </c>
      <c r="S1253" s="27">
        <f>R1253/Q1253</f>
        <v/>
      </c>
      <c r="T1253" t="inlineStr">
        <is>
          <t>美浜町は2045年までに人口が約29.5%減と明確な減少トレンド。高齢化の進行と世帯数の縮小により、中長期では賃貸需要の構造的縮小に警戒が必要。</t>
        </is>
      </c>
      <c r="U1253" t="inlineStr">
        <is>
          <t>美浜町は人口密度473人/km²と低密度で、賃貸需要は限定的。持ち家比率が高く、駐車場完備の戸建て賃貸が有利。 借家の空室率は約0%と需給は比較的引き締まっている。</t>
        </is>
      </c>
      <c r="V1253" t="inlineStr">
        <is>
          <t>美浜町（和歌山県）：南海トラフ津波の想定が極めて深刻。紀の川の氾濫、紀伊山地の深層崩壊・土砂災害に最大級の留意。</t>
        </is>
      </c>
    </row>
    <row r="1254">
      <c r="A1254" t="inlineStr">
        <is>
          <t>和歌山県</t>
        </is>
      </c>
      <c r="B1254" t="inlineStr">
        <is>
          <t>日高町</t>
        </is>
      </c>
      <c r="C1254" t="n">
        <v>3356</v>
      </c>
      <c r="D1254" t="n">
        <v>7605</v>
      </c>
      <c r="E1254" s="6" t="n">
        <v>166.1</v>
      </c>
      <c r="F1254" s="7" t="n">
        <v>26.6</v>
      </c>
      <c r="G1254" t="n">
        <v>7673</v>
      </c>
      <c r="H1254" t="n">
        <v>7605</v>
      </c>
      <c r="I1254" t="n">
        <v>7515</v>
      </c>
      <c r="J1254" t="n">
        <v>7091</v>
      </c>
      <c r="K1254" s="27">
        <f>(H1254/D1254-1)</f>
        <v/>
      </c>
      <c r="L1254" s="27">
        <f>(I1254/D1254-1)</f>
        <v/>
      </c>
      <c r="M1254" s="27">
        <f>(J1254/D1254-1)</f>
        <v/>
      </c>
      <c r="N1254" t="n">
        <v>69.09999999999999</v>
      </c>
      <c r="O1254" s="28">
        <f>(N1254+F1254)/2</f>
        <v/>
      </c>
      <c r="P1254">
        <f>IF(O1254="計算不能","計算不能",IF(O1254&gt;=80,5,IF(O1254&gt;=60,4,IF(O1254&gt;=40,3,IF(O1254&gt;=28,2,1)))))</f>
        <v/>
      </c>
      <c r="Q1254" t="n">
        <v>730</v>
      </c>
      <c r="R1254" t="n">
        <v>0</v>
      </c>
      <c r="S1254" s="27">
        <f>R1254/Q1254</f>
        <v/>
      </c>
      <c r="T1254" t="inlineStr">
        <is>
          <t>日高町は2045年までに人口が約6.8%減と緩やかな減少局面。若年層の都市部流出と高齢化が進むが、当面の賃貸稼働は一定程度維持される見通し。</t>
        </is>
      </c>
      <c r="U1254" t="inlineStr">
        <is>
          <t>日高町は人口密度166人/km²と過疎的水準で、民間賃貸の新規需要は薄い。実需に裏付けられた格安戸建ての指値取得のみが現実的。 借家の空室率は約0%と需給は比較的引き締まっている。</t>
        </is>
      </c>
      <c r="V1254" t="inlineStr">
        <is>
          <t>日高町（和歌山県）：南海トラフ津波の想定が極めて深刻。紀の川の氾濫、紀伊山地の深層崩壊・土砂災害に最大級の留意。</t>
        </is>
      </c>
    </row>
    <row r="1255">
      <c r="A1255" t="inlineStr">
        <is>
          <t>和歌山県</t>
        </is>
      </c>
      <c r="B1255" t="inlineStr">
        <is>
          <t>由良町</t>
        </is>
      </c>
      <c r="C1255" t="n">
        <v>2596</v>
      </c>
      <c r="D1255" t="n">
        <v>4816</v>
      </c>
      <c r="E1255" s="6" t="n">
        <v>149.9</v>
      </c>
      <c r="F1255" s="7" t="n">
        <v>25</v>
      </c>
      <c r="G1255" t="n">
        <v>5364</v>
      </c>
      <c r="H1255" t="n">
        <v>4816</v>
      </c>
      <c r="I1255" t="n">
        <v>4323</v>
      </c>
      <c r="J1255" t="n">
        <v>2972</v>
      </c>
      <c r="K1255" s="27">
        <f>(H1255/D1255-1)</f>
        <v/>
      </c>
      <c r="L1255" s="27">
        <f>(I1255/D1255-1)</f>
        <v/>
      </c>
      <c r="M1255" s="27">
        <f>(J1255/D1255-1)</f>
        <v/>
      </c>
      <c r="N1255" t="n">
        <v>38</v>
      </c>
      <c r="O1255" s="28">
        <f>(N1255+F1255)/2</f>
        <v/>
      </c>
      <c r="P1255">
        <f>IF(O1255="計算不能","計算不能",IF(O1255&gt;=80,5,IF(O1255&gt;=60,4,IF(O1255&gt;=40,3,IF(O1255&gt;=28,2,1)))))</f>
        <v/>
      </c>
      <c r="Q1255" t="n">
        <v>564</v>
      </c>
      <c r="R1255" t="n">
        <v>0</v>
      </c>
      <c r="S1255" s="27">
        <f>R1255/Q1255</f>
        <v/>
      </c>
      <c r="T1255" t="inlineStr">
        <is>
          <t>由良町は2045年までに人口が約38.3%減と急激な過疎・超高齢化が進行。若年労働世代の流出と自然減が重なり、賃貸事業としての持続性は極めて限定的。</t>
        </is>
      </c>
      <c r="U1255" t="inlineStr">
        <is>
          <t>由良町は人口密度150人/km²と過疎的水準で、民間賃貸の新規需要は薄い。実需に裏付けられた格安戸建ての指値取得のみが現実的。 借家の空室率は約0%と需給は比較的引き締まっている。</t>
        </is>
      </c>
      <c r="V1255" t="inlineStr">
        <is>
          <t>由良町（和歌山県）：南海トラフ津波の想定が極めて深刻。紀の川の氾濫、紀伊山地の深層崩壊・土砂災害に最大級の留意。</t>
        </is>
      </c>
    </row>
    <row r="1256">
      <c r="A1256" t="inlineStr">
        <is>
          <t>和歌山県</t>
        </is>
      </c>
      <c r="B1256" t="inlineStr">
        <is>
          <t>印南町</t>
        </is>
      </c>
      <c r="C1256" t="n">
        <v>3374</v>
      </c>
      <c r="D1256" t="n">
        <v>7195</v>
      </c>
      <c r="E1256" s="6" t="n">
        <v>61</v>
      </c>
      <c r="F1256" s="7" t="n">
        <v>16.1</v>
      </c>
      <c r="G1256" t="n">
        <v>7720</v>
      </c>
      <c r="H1256" t="n">
        <v>7195</v>
      </c>
      <c r="I1256" t="n">
        <v>6699</v>
      </c>
      <c r="J1256" t="n">
        <v>5239</v>
      </c>
      <c r="K1256" s="27">
        <f>(H1256/D1256-1)</f>
        <v/>
      </c>
      <c r="L1256" s="27">
        <f>(I1256/D1256-1)</f>
        <v/>
      </c>
      <c r="M1256" s="27">
        <f>(J1256/D1256-1)</f>
        <v/>
      </c>
      <c r="N1256" t="n">
        <v>44.6</v>
      </c>
      <c r="O1256" s="28">
        <f>(N1256+F1256)/2</f>
        <v/>
      </c>
      <c r="P1256">
        <f>IF(O1256="計算不能","計算不能",IF(O1256&gt;=80,5,IF(O1256&gt;=60,4,IF(O1256&gt;=40,3,IF(O1256&gt;=28,2,1)))))</f>
        <v/>
      </c>
      <c r="Q1256" t="n">
        <v>734</v>
      </c>
      <c r="R1256" t="n">
        <v>0</v>
      </c>
      <c r="S1256" s="27">
        <f>R1256/Q1256</f>
        <v/>
      </c>
      <c r="T1256" t="inlineStr">
        <is>
          <t>印南町は2045年までに人口が約27.2%減と明確な減少トレンド。高齢化の進行と世帯数の縮小により、中長期では賃貸需要の構造的縮小に警戒が必要。</t>
        </is>
      </c>
      <c r="U1256" t="inlineStr">
        <is>
          <t>印南町は人口密度61人/km²と過疎的水準で、民間賃貸の新規需要は薄い。実需に裏付けられた格安戸建ての指値取得のみが現実的。 借家の空室率は約0%と需給は比較的引き締まっている。</t>
        </is>
      </c>
      <c r="V1256" t="inlineStr">
        <is>
          <t>印南町（和歌山県）：南海トラフ津波の想定が極めて深刻。紀の川の氾濫、紀伊山地の深層崩壊・土砂災害に最大級の留意。</t>
        </is>
      </c>
    </row>
    <row r="1257">
      <c r="A1257" t="inlineStr">
        <is>
          <t>和歌山県</t>
        </is>
      </c>
      <c r="B1257" t="inlineStr">
        <is>
          <t>みなべ町</t>
        </is>
      </c>
      <c r="C1257" t="n">
        <v>4808</v>
      </c>
      <c r="D1257" t="n">
        <v>10963</v>
      </c>
      <c r="E1257" s="6" t="n">
        <v>88.90000000000001</v>
      </c>
      <c r="F1257" s="7" t="n">
        <v>18.9</v>
      </c>
      <c r="G1257" t="n">
        <v>11818</v>
      </c>
      <c r="H1257" t="n">
        <v>10963</v>
      </c>
      <c r="I1257" t="n">
        <v>10161</v>
      </c>
      <c r="J1257" t="n">
        <v>7796</v>
      </c>
      <c r="K1257" s="27">
        <f>(H1257/D1257-1)</f>
        <v/>
      </c>
      <c r="L1257" s="27">
        <f>(I1257/D1257-1)</f>
        <v/>
      </c>
      <c r="M1257" s="27">
        <f>(J1257/D1257-1)</f>
        <v/>
      </c>
      <c r="N1257" t="n">
        <v>43.7</v>
      </c>
      <c r="O1257" s="28">
        <f>(N1257+F1257)/2</f>
        <v/>
      </c>
      <c r="P1257">
        <f>IF(O1257="計算不能","計算不能",IF(O1257&gt;=80,5,IF(O1257&gt;=60,4,IF(O1257&gt;=40,3,IF(O1257&gt;=28,2,1)))))</f>
        <v/>
      </c>
      <c r="Q1257" t="n">
        <v>1046</v>
      </c>
      <c r="R1257" t="n">
        <v>0</v>
      </c>
      <c r="S1257" s="27">
        <f>R1257/Q1257</f>
        <v/>
      </c>
      <c r="T1257" t="inlineStr">
        <is>
          <t>みなべ町は2045年までに人口が約28.9%減と明確な減少トレンド。高齢化の進行と世帯数の縮小により、中長期では賃貸需要の構造的縮小に警戒が必要。</t>
        </is>
      </c>
      <c r="U1257" t="inlineStr">
        <is>
          <t>みなべ町は人口密度89人/km²と過疎的水準で、民間賃貸の新規需要は薄い。実需に裏付けられた格安戸建ての指値取得のみが現実的。 借家の空室率は約0%と需給は比較的引き締まっている。</t>
        </is>
      </c>
      <c r="V1257" t="inlineStr">
        <is>
          <t>みなべ町（和歌山県）：南海トラフ津波の想定が極めて深刻。紀の川の氾濫、紀伊山地の深層崩壊・土砂災害に最大級の留意。</t>
        </is>
      </c>
    </row>
    <row r="1258">
      <c r="A1258" t="inlineStr">
        <is>
          <t>和歌山県</t>
        </is>
      </c>
      <c r="B1258" t="inlineStr">
        <is>
          <t>日高川町</t>
        </is>
      </c>
      <c r="C1258" t="n">
        <v>4075</v>
      </c>
      <c r="D1258" t="n">
        <v>8463</v>
      </c>
      <c r="E1258" s="6" t="n">
        <v>25.2</v>
      </c>
      <c r="F1258" s="7" t="n">
        <v>12.5</v>
      </c>
      <c r="G1258" t="n">
        <v>9219</v>
      </c>
      <c r="H1258" t="n">
        <v>8463</v>
      </c>
      <c r="I1258" t="n">
        <v>7824</v>
      </c>
      <c r="J1258" t="n">
        <v>5990</v>
      </c>
      <c r="K1258" s="27">
        <f>(H1258/D1258-1)</f>
        <v/>
      </c>
      <c r="L1258" s="27">
        <f>(I1258/D1258-1)</f>
        <v/>
      </c>
      <c r="M1258" s="27">
        <f>(J1258/D1258-1)</f>
        <v/>
      </c>
      <c r="N1258" t="n">
        <v>42.7</v>
      </c>
      <c r="O1258" s="28">
        <f>(N1258+F1258)/2</f>
        <v/>
      </c>
      <c r="P1258">
        <f>IF(O1258="計算不能","計算不能",IF(O1258&gt;=80,5,IF(O1258&gt;=60,4,IF(O1258&gt;=40,3,IF(O1258&gt;=28,2,1)))))</f>
        <v/>
      </c>
      <c r="Q1258" t="n">
        <v>886</v>
      </c>
      <c r="R1258" t="n">
        <v>0</v>
      </c>
      <c r="S1258" s="27">
        <f>R1258/Q1258</f>
        <v/>
      </c>
      <c r="T1258" t="inlineStr">
        <is>
          <t>日高川町は2045年までに人口が約29.2%減と明確な減少トレンド。高齢化の進行と世帯数の縮小により、中長期では賃貸需要の構造的縮小に警戒が必要。</t>
        </is>
      </c>
      <c r="U1258" t="inlineStr">
        <is>
          <t>日高川町は人口密度25人/km²と過疎的水準で、民間賃貸の新規需要は薄い。実需に裏付けられた格安戸建ての指値取得のみが現実的。 借家の空室率は約0%と需給は比較的引き締まっている。</t>
        </is>
      </c>
      <c r="V1258" t="inlineStr">
        <is>
          <t>日高川町（和歌山県）：南海トラフ津波の想定が極めて深刻。紀の川の氾濫、紀伊山地の深層崩壊・土砂災害に最大級の留意。</t>
        </is>
      </c>
    </row>
    <row r="1259">
      <c r="A1259" t="inlineStr">
        <is>
          <t>和歌山県</t>
        </is>
      </c>
      <c r="B1259" t="inlineStr">
        <is>
          <t>白浜町</t>
        </is>
      </c>
      <c r="C1259" t="n">
        <v>9470</v>
      </c>
      <c r="D1259" t="n">
        <v>19048</v>
      </c>
      <c r="E1259" s="6" t="n">
        <v>91.8</v>
      </c>
      <c r="F1259" s="7" t="n">
        <v>19.2</v>
      </c>
      <c r="G1259" t="n">
        <v>20262</v>
      </c>
      <c r="H1259" t="n">
        <v>19048</v>
      </c>
      <c r="I1259" t="n">
        <v>17827</v>
      </c>
      <c r="J1259" t="n">
        <v>14034</v>
      </c>
      <c r="K1259" s="27">
        <f>(H1259/D1259-1)</f>
        <v/>
      </c>
      <c r="L1259" s="27">
        <f>(I1259/D1259-1)</f>
        <v/>
      </c>
      <c r="M1259" s="27">
        <f>(J1259/D1259-1)</f>
        <v/>
      </c>
      <c r="N1259" t="n">
        <v>46.4</v>
      </c>
      <c r="O1259" s="28">
        <f>(N1259+F1259)/2</f>
        <v/>
      </c>
      <c r="P1259">
        <f>IF(O1259="計算不能","計算不能",IF(O1259&gt;=80,5,IF(O1259&gt;=60,4,IF(O1259&gt;=40,3,IF(O1259&gt;=28,2,1)))))</f>
        <v/>
      </c>
      <c r="Q1259" t="n">
        <v>2060</v>
      </c>
      <c r="R1259" t="n">
        <v>1620</v>
      </c>
      <c r="S1259" s="27">
        <f>R1259/Q1259</f>
        <v/>
      </c>
      <c r="T1259" t="inlineStr">
        <is>
          <t>白浜町は2045年までに人口が約26.3%減と明確な減少トレンド。高齢化の進行と世帯数の縮小により、中長期では賃貸需要の構造的縮小に警戒が必要。</t>
        </is>
      </c>
      <c r="U1259" t="inlineStr">
        <is>
          <t>白浜町は人口密度92人/km²と過疎的水準で、民間賃貸の新規需要は薄い。実需に裏付けられた格安戸建ての指値取得のみが現実的。 借家の空室率は約79%と供給過多気味で、空室長期化リスクに要警戒。</t>
        </is>
      </c>
      <c r="V1259" t="inlineStr">
        <is>
          <t>白浜町（和歌山県）：南海トラフ津波の想定が極めて深刻。紀の川の氾濫、紀伊山地の深層崩壊・土砂災害に最大級の留意。</t>
        </is>
      </c>
    </row>
    <row r="1260">
      <c r="A1260" t="inlineStr">
        <is>
          <t>和歌山県</t>
        </is>
      </c>
      <c r="B1260" t="inlineStr">
        <is>
          <t>上富田町</t>
        </is>
      </c>
      <c r="C1260" t="n">
        <v>6360</v>
      </c>
      <c r="D1260" t="n">
        <v>15238</v>
      </c>
      <c r="E1260" s="6" t="n">
        <v>263</v>
      </c>
      <c r="F1260" s="7" t="n">
        <v>33.1</v>
      </c>
      <c r="G1260" t="n">
        <v>15236</v>
      </c>
      <c r="H1260" t="n">
        <v>15238</v>
      </c>
      <c r="I1260" t="n">
        <v>14869</v>
      </c>
      <c r="J1260" t="n">
        <v>13254</v>
      </c>
      <c r="K1260" s="27">
        <f>(H1260/D1260-1)</f>
        <v/>
      </c>
      <c r="L1260" s="27">
        <f>(I1260/D1260-1)</f>
        <v/>
      </c>
      <c r="M1260" s="27">
        <f>(J1260/D1260-1)</f>
        <v/>
      </c>
      <c r="N1260" t="n">
        <v>66.8</v>
      </c>
      <c r="O1260" s="28">
        <f>(N1260+F1260)/2</f>
        <v/>
      </c>
      <c r="P1260">
        <f>IF(O1260="計算不能","計算不能",IF(O1260&gt;=80,5,IF(O1260&gt;=60,4,IF(O1260&gt;=40,3,IF(O1260&gt;=28,2,1)))))</f>
        <v/>
      </c>
      <c r="Q1260" t="n">
        <v>1383</v>
      </c>
      <c r="R1260" t="n">
        <v>160</v>
      </c>
      <c r="S1260" s="27">
        <f>R1260/Q1260</f>
        <v/>
      </c>
      <c r="T1260" t="inlineStr">
        <is>
          <t>上富田町は2045年までに人口が約13.0%減と緩やかな減少局面。若年層の都市部流出と高齢化が進むが、当面の賃貸稼働は一定程度維持される見通し。</t>
        </is>
      </c>
      <c r="U1260" t="inlineStr">
        <is>
          <t>上富田町は人口密度263人/km²と低密度で、賃貸需要は限定的。持ち家比率が高く、駐車場完備の戸建て賃貸が有利。 借家の空室率は約12%と需給は比較的引き締まっている。</t>
        </is>
      </c>
      <c r="V1260" t="inlineStr">
        <is>
          <t>上富田町（和歌山県）：南海トラフ津波の想定が極めて深刻。紀の川の氾濫、紀伊山地の深層崩壊・土砂災害に最大級の留意。</t>
        </is>
      </c>
    </row>
    <row r="1261">
      <c r="A1261" t="inlineStr">
        <is>
          <t>和歌山県</t>
        </is>
      </c>
      <c r="B1261" t="inlineStr">
        <is>
          <t>すさみ町</t>
        </is>
      </c>
      <c r="C1261" t="n">
        <v>1981</v>
      </c>
      <c r="D1261" t="n">
        <v>3248</v>
      </c>
      <c r="E1261" s="6" t="n">
        <v>18.4</v>
      </c>
      <c r="F1261" s="7" t="n">
        <v>11.8</v>
      </c>
      <c r="G1261" t="n">
        <v>3685</v>
      </c>
      <c r="H1261" t="n">
        <v>3248</v>
      </c>
      <c r="I1261" t="n">
        <v>2863</v>
      </c>
      <c r="J1261" t="n">
        <v>1886</v>
      </c>
      <c r="K1261" s="27">
        <f>(H1261/D1261-1)</f>
        <v/>
      </c>
      <c r="L1261" s="27">
        <f>(I1261/D1261-1)</f>
        <v/>
      </c>
      <c r="M1261" s="27">
        <f>(J1261/D1261-1)</f>
        <v/>
      </c>
      <c r="N1261" t="n">
        <v>35.2</v>
      </c>
      <c r="O1261" s="28">
        <f>(N1261+F1261)/2</f>
        <v/>
      </c>
      <c r="P1261">
        <f>IF(O1261="計算不能","計算不能",IF(O1261&gt;=80,5,IF(O1261&gt;=60,4,IF(O1261&gt;=40,3,IF(O1261&gt;=28,2,1)))))</f>
        <v/>
      </c>
      <c r="Q1261" t="n">
        <v>431</v>
      </c>
      <c r="R1261" t="n">
        <v>0</v>
      </c>
      <c r="S1261" s="27">
        <f>R1261/Q1261</f>
        <v/>
      </c>
      <c r="T1261" t="inlineStr">
        <is>
          <t>すさみ町は2045年までに人口が約41.9%減と急激な過疎・超高齢化が進行。若年労働世代の流出と自然減が重なり、賃貸事業としての持続性は極めて限定的。</t>
        </is>
      </c>
      <c r="U1261" t="inlineStr">
        <is>
          <t>すさみ町は人口密度18人/km²と過疎的水準で、民間賃貸の新規需要は薄い。実需に裏付けられた格安戸建ての指値取得のみが現実的。 借家の空室率は約0%と需給は比較的引き締まっている。</t>
        </is>
      </c>
      <c r="V1261" t="inlineStr">
        <is>
          <t>すさみ町（和歌山県）：南海トラフ津波の想定が極めて深刻。紀の川の氾濫、紀伊山地の深層崩壊・土砂災害に最大級の留意。</t>
        </is>
      </c>
    </row>
    <row r="1262">
      <c r="A1262" t="inlineStr">
        <is>
          <t>和歌山県</t>
        </is>
      </c>
      <c r="B1262" t="inlineStr">
        <is>
          <t>那智勝浦町</t>
        </is>
      </c>
      <c r="C1262" t="n">
        <v>7381</v>
      </c>
      <c r="D1262" t="n">
        <v>12724</v>
      </c>
      <c r="E1262" s="6" t="n">
        <v>69.40000000000001</v>
      </c>
      <c r="F1262" s="7" t="n">
        <v>16.9</v>
      </c>
      <c r="G1262" t="n">
        <v>14137</v>
      </c>
      <c r="H1262" t="n">
        <v>12724</v>
      </c>
      <c r="I1262" t="n">
        <v>11409</v>
      </c>
      <c r="J1262" t="n">
        <v>7883</v>
      </c>
      <c r="K1262" s="27">
        <f>(H1262/D1262-1)</f>
        <v/>
      </c>
      <c r="L1262" s="27">
        <f>(I1262/D1262-1)</f>
        <v/>
      </c>
      <c r="M1262" s="27">
        <f>(J1262/D1262-1)</f>
        <v/>
      </c>
      <c r="N1262" t="n">
        <v>38.2</v>
      </c>
      <c r="O1262" s="28">
        <f>(N1262+F1262)/2</f>
        <v/>
      </c>
      <c r="P1262">
        <f>IF(O1262="計算不能","計算不能",IF(O1262&gt;=80,5,IF(O1262&gt;=60,4,IF(O1262&gt;=40,3,IF(O1262&gt;=28,2,1)))))</f>
        <v/>
      </c>
      <c r="Q1262" t="n">
        <v>1606</v>
      </c>
      <c r="R1262" t="n">
        <v>0</v>
      </c>
      <c r="S1262" s="27">
        <f>R1262/Q1262</f>
        <v/>
      </c>
      <c r="T1262" t="inlineStr">
        <is>
          <t>那智勝浦町は2045年までに人口が約38.0%減と急激な過疎・超高齢化が進行。若年労働世代の流出と自然減が重なり、賃貸事業としての持続性は極めて限定的。</t>
        </is>
      </c>
      <c r="U1262" t="inlineStr">
        <is>
          <t>那智勝浦町は人口密度69人/km²と過疎的水準で、民間賃貸の新規需要は薄い。実需に裏付けられた格安戸建ての指値取得のみが現実的。 借家の空室率は約0%と需給は比較的引き締まっている。</t>
        </is>
      </c>
      <c r="V1262" t="inlineStr">
        <is>
          <t>那智勝浦町（和歌山県）：南海トラフ津波の想定が極めて深刻。紀の川の氾濫、紀伊山地の深層崩壊・土砂災害に最大級の留意。</t>
        </is>
      </c>
    </row>
    <row r="1263">
      <c r="A1263" t="inlineStr">
        <is>
          <t>和歌山県</t>
        </is>
      </c>
      <c r="B1263" t="inlineStr">
        <is>
          <t>太地町</t>
        </is>
      </c>
      <c r="C1263" t="n">
        <v>1554</v>
      </c>
      <c r="D1263" t="n">
        <v>2610</v>
      </c>
      <c r="E1263" s="6" t="n">
        <v>462.5</v>
      </c>
      <c r="F1263" s="7" t="n">
        <v>43.1</v>
      </c>
      <c r="G1263" t="n">
        <v>2791</v>
      </c>
      <c r="H1263" t="n">
        <v>2610</v>
      </c>
      <c r="I1263" t="n">
        <v>2417</v>
      </c>
      <c r="J1263" t="n">
        <v>1797</v>
      </c>
      <c r="K1263" s="27">
        <f>(H1263/D1263-1)</f>
        <v/>
      </c>
      <c r="L1263" s="27">
        <f>(I1263/D1263-1)</f>
        <v/>
      </c>
      <c r="M1263" s="27">
        <f>(J1263/D1263-1)</f>
        <v/>
      </c>
      <c r="N1263" t="n">
        <v>43.8</v>
      </c>
      <c r="O1263" s="28">
        <f>(N1263+F1263)/2</f>
        <v/>
      </c>
      <c r="P1263">
        <f>IF(O1263="計算不能","計算不能",IF(O1263&gt;=80,5,IF(O1263&gt;=60,4,IF(O1263&gt;=40,3,IF(O1263&gt;=28,2,1)))))</f>
        <v/>
      </c>
      <c r="Q1263" t="n">
        <v>338</v>
      </c>
      <c r="R1263" t="n">
        <v>0</v>
      </c>
      <c r="S1263" s="27">
        <f>R1263/Q1263</f>
        <v/>
      </c>
      <c r="T1263" t="inlineStr">
        <is>
          <t>太地町は2045年までに人口が約31.1%減と急激な過疎・超高齢化が進行。若年労働世代の流出と自然減が重なり、賃貸事業としての持続性は極めて限定的。</t>
        </is>
      </c>
      <c r="U1263" t="inlineStr">
        <is>
          <t>太地町は人口密度462人/km²と低密度で、賃貸需要は限定的。持ち家比率が高く、駐車場完備の戸建て賃貸が有利。 借家の空室率は約0%と需給は比較的引き締まっている。</t>
        </is>
      </c>
      <c r="V1263" t="inlineStr">
        <is>
          <t>太地町（和歌山県）：南海トラフ津波の想定が極めて深刻。紀の川の氾濫、紀伊山地の深層崩壊・土砂災害に最大級の留意。</t>
        </is>
      </c>
    </row>
    <row r="1264">
      <c r="A1264" t="inlineStr">
        <is>
          <t>和歌山県</t>
        </is>
      </c>
      <c r="B1264" t="inlineStr">
        <is>
          <t>古座川町</t>
        </is>
      </c>
      <c r="C1264" t="n">
        <v>1349</v>
      </c>
      <c r="D1264" t="n">
        <v>2186</v>
      </c>
      <c r="E1264" s="6" t="n">
        <v>7.4</v>
      </c>
      <c r="F1264" s="7" t="n">
        <v>10.7</v>
      </c>
      <c r="G1264" t="n">
        <v>2480</v>
      </c>
      <c r="H1264" t="n">
        <v>2186</v>
      </c>
      <c r="I1264" t="n">
        <v>1926</v>
      </c>
      <c r="J1264" t="n">
        <v>1280</v>
      </c>
      <c r="K1264" s="27">
        <f>(H1264/D1264-1)</f>
        <v/>
      </c>
      <c r="L1264" s="27">
        <f>(I1264/D1264-1)</f>
        <v/>
      </c>
      <c r="M1264" s="27">
        <f>(J1264/D1264-1)</f>
        <v/>
      </c>
      <c r="N1264" t="n">
        <v>35.3</v>
      </c>
      <c r="O1264" s="28">
        <f>(N1264+F1264)/2</f>
        <v/>
      </c>
      <c r="P1264">
        <f>IF(O1264="計算不能","計算不能",IF(O1264&gt;=80,5,IF(O1264&gt;=60,4,IF(O1264&gt;=40,3,IF(O1264&gt;=28,2,1)))))</f>
        <v/>
      </c>
      <c r="Q1264" t="n">
        <v>293</v>
      </c>
      <c r="R1264" t="n">
        <v>0</v>
      </c>
      <c r="S1264" s="27">
        <f>R1264/Q1264</f>
        <v/>
      </c>
      <c r="T1264" t="inlineStr">
        <is>
          <t>古座川町は2045年までに人口が約41.4%減と急激な過疎・超高齢化が進行。若年労働世代の流出と自然減が重なり、賃貸事業としての持続性は極めて限定的。</t>
        </is>
      </c>
      <c r="U1264" t="inlineStr">
        <is>
          <t>古座川町は人口密度7人/km²と過疎的水準で、民間賃貸の新規需要は薄い。実需に裏付けられた格安戸建ての指値取得のみが現実的。 借家の空室率は約0%と需給は比較的引き締まっている。</t>
        </is>
      </c>
      <c r="V1264" t="inlineStr">
        <is>
          <t>古座川町（和歌山県）：南海トラフ津波の想定が極めて深刻。紀の川の氾濫、紀伊山地の深層崩壊・土砂災害に最大級の留意。</t>
        </is>
      </c>
    </row>
    <row r="1265">
      <c r="A1265" t="inlineStr">
        <is>
          <t>和歌山県</t>
        </is>
      </c>
      <c r="B1265" t="inlineStr">
        <is>
          <t>北山村</t>
        </is>
      </c>
      <c r="C1265" t="n">
        <v>241</v>
      </c>
      <c r="D1265" t="n">
        <v>346</v>
      </c>
      <c r="E1265" s="6" t="n">
        <v>7.4</v>
      </c>
      <c r="F1265" s="7" t="n">
        <v>10.7</v>
      </c>
      <c r="G1265" t="n">
        <v>404</v>
      </c>
      <c r="H1265" t="n">
        <v>346</v>
      </c>
      <c r="I1265" t="n">
        <v>300</v>
      </c>
      <c r="J1265" t="n">
        <v>204</v>
      </c>
      <c r="K1265" s="27">
        <f>(H1265/D1265-1)</f>
        <v/>
      </c>
      <c r="L1265" s="27">
        <f>(I1265/D1265-1)</f>
        <v/>
      </c>
      <c r="M1265" s="27">
        <f>(J1265/D1265-1)</f>
        <v/>
      </c>
      <c r="N1265" t="n">
        <v>32.9</v>
      </c>
      <c r="O1265" s="28">
        <f>(N1265+F1265)/2</f>
        <v/>
      </c>
      <c r="P1265">
        <f>IF(O1265="計算不能","計算不能",IF(O1265&gt;=80,5,IF(O1265&gt;=60,4,IF(O1265&gt;=40,3,IF(O1265&gt;=28,2,1)))))</f>
        <v/>
      </c>
      <c r="Q1265" t="n">
        <v>52</v>
      </c>
      <c r="R1265" t="n">
        <v>0</v>
      </c>
      <c r="S1265" s="27">
        <f>R1265/Q1265</f>
        <v/>
      </c>
      <c r="T1265" t="inlineStr">
        <is>
          <t>北山村は2045年までに人口が約41.0%減と急激な過疎・超高齢化が進行。若年労働世代の流出と自然減が重なり、賃貸事業としての持続性は極めて限定的。</t>
        </is>
      </c>
      <c r="U1265" t="inlineStr">
        <is>
          <t>北山村は人口密度7人/km²と過疎的水準で、民間賃貸の新規需要は薄い。実需に裏付けられた格安戸建ての指値取得のみが現実的。 借家の空室率は約0%と需給は比較的引き締まっている。</t>
        </is>
      </c>
      <c r="V1265" t="inlineStr">
        <is>
          <t>北山村（和歌山県）：南海トラフ津波の想定が極めて深刻。紀の川の氾濫、紀伊山地の深層崩壊・土砂災害に最大級の留意。</t>
        </is>
      </c>
    </row>
    <row r="1266">
      <c r="A1266" t="inlineStr">
        <is>
          <t>和歌山県</t>
        </is>
      </c>
      <c r="B1266" t="inlineStr">
        <is>
          <t>串本町</t>
        </is>
      </c>
      <c r="C1266" t="n">
        <v>7896</v>
      </c>
      <c r="D1266" t="n">
        <v>13345</v>
      </c>
      <c r="E1266" s="6" t="n">
        <v>94</v>
      </c>
      <c r="F1266" s="7" t="n">
        <v>19.4</v>
      </c>
      <c r="G1266" t="n">
        <v>14959</v>
      </c>
      <c r="H1266" t="n">
        <v>13345</v>
      </c>
      <c r="I1266" t="n">
        <v>11954</v>
      </c>
      <c r="J1266" t="n">
        <v>8224</v>
      </c>
      <c r="K1266" s="27">
        <f>(H1266/D1266-1)</f>
        <v/>
      </c>
      <c r="L1266" s="27">
        <f>(I1266/D1266-1)</f>
        <v/>
      </c>
      <c r="M1266" s="27">
        <f>(J1266/D1266-1)</f>
        <v/>
      </c>
      <c r="N1266" t="n">
        <v>37.4</v>
      </c>
      <c r="O1266" s="28">
        <f>(N1266+F1266)/2</f>
        <v/>
      </c>
      <c r="P1266">
        <f>IF(O1266="計算不能","計算不能",IF(O1266&gt;=80,5,IF(O1266&gt;=60,4,IF(O1266&gt;=40,3,IF(O1266&gt;=28,2,1)))))</f>
        <v/>
      </c>
      <c r="Q1266" t="n">
        <v>1718</v>
      </c>
      <c r="R1266" t="n">
        <v>0</v>
      </c>
      <c r="S1266" s="27">
        <f>R1266/Q1266</f>
        <v/>
      </c>
      <c r="T1266" t="inlineStr">
        <is>
          <t>串本町は2045年までに人口が約38.4%減と急激な過疎・超高齢化が進行。若年労働世代の流出と自然減が重なり、賃貸事業としての持続性は極めて限定的。</t>
        </is>
      </c>
      <c r="U1266" t="inlineStr">
        <is>
          <t>串本町は人口密度94人/km²と過疎的水準で、民間賃貸の新規需要は薄い。実需に裏付けられた格安戸建ての指値取得のみが現実的。 借家の空室率は約0%と需給は比較的引き締まっている。</t>
        </is>
      </c>
      <c r="V1266" t="inlineStr">
        <is>
          <t>串本町（和歌山県）：南海トラフ津波の想定が極めて深刻。紀の川の氾濫、紀伊山地の深層崩壊・土砂災害に最大級の留意。</t>
        </is>
      </c>
    </row>
    <row r="1267">
      <c r="A1267" t="inlineStr">
        <is>
          <t>鳥取県</t>
        </is>
      </c>
      <c r="B1267" t="inlineStr">
        <is>
          <t>鳥取市</t>
        </is>
      </c>
      <c r="C1267" t="n">
        <v>78690</v>
      </c>
      <c r="D1267" t="n">
        <v>180868</v>
      </c>
      <c r="E1267" s="6" t="n">
        <v>234.4</v>
      </c>
      <c r="F1267" s="7" t="n">
        <v>31.7</v>
      </c>
      <c r="G1267" t="n">
        <v>188465</v>
      </c>
      <c r="H1267" t="n">
        <v>180868</v>
      </c>
      <c r="I1267" t="n">
        <v>173354</v>
      </c>
      <c r="J1267" t="n">
        <v>150737</v>
      </c>
      <c r="K1267" s="27">
        <f>(H1267/D1267-1)</f>
        <v/>
      </c>
      <c r="L1267" s="27">
        <f>(I1267/D1267-1)</f>
        <v/>
      </c>
      <c r="M1267" s="27">
        <f>(J1267/D1267-1)</f>
        <v/>
      </c>
      <c r="N1267" t="n">
        <v>56.2</v>
      </c>
      <c r="O1267" s="28">
        <f>(N1267+F1267)/2</f>
        <v/>
      </c>
      <c r="P1267">
        <f>IF(O1267="計算不能","計算不能",IF(O1267&gt;=80,5,IF(O1267&gt;=60,4,IF(O1267&gt;=40,3,IF(O1267&gt;=28,2,1)))))</f>
        <v/>
      </c>
      <c r="Q1267" t="n">
        <v>20922</v>
      </c>
      <c r="R1267" t="n">
        <v>5070</v>
      </c>
      <c r="S1267" s="27">
        <f>R1267/Q1267</f>
        <v/>
      </c>
      <c r="T1267" t="inlineStr">
        <is>
          <t>鳥取市は2045年までに人口が約16.7%減と明確な減少トレンド。高齢化の進行と世帯数の縮小により、中長期では賃貸需要の構造的縮小に警戒が必要。</t>
        </is>
      </c>
      <c r="U1267" t="inlineStr">
        <is>
          <t>鳥取市は人口密度234人/km²と低密度で、賃貸需要は限定的。持ち家比率が高く、駐車場完備の戸建て賃貸が有利。 借家の空室率は約24%とやや高めで、競合との差別化が必要。</t>
        </is>
      </c>
      <c r="V1267" t="inlineStr">
        <is>
          <t>鳥取市（鳥取県）：千代川・天神川の氾濫、日本海沿岸の津波、豪雪、鳥取県西部地震型の内陸地震に注意。</t>
        </is>
      </c>
    </row>
    <row r="1268">
      <c r="A1268" t="inlineStr">
        <is>
          <t>鳥取県</t>
        </is>
      </c>
      <c r="B1268" t="inlineStr">
        <is>
          <t>米子市</t>
        </is>
      </c>
      <c r="C1268" t="n">
        <v>61850</v>
      </c>
      <c r="D1268" t="n">
        <v>143197</v>
      </c>
      <c r="E1268" s="6" t="n">
        <v>1081.8</v>
      </c>
      <c r="F1268" s="7" t="n">
        <v>56.6</v>
      </c>
      <c r="G1268" t="n">
        <v>147317</v>
      </c>
      <c r="H1268" t="n">
        <v>143197</v>
      </c>
      <c r="I1268" t="n">
        <v>139896</v>
      </c>
      <c r="J1268" t="n">
        <v>128300</v>
      </c>
      <c r="K1268" s="27">
        <f>(H1268/D1268-1)</f>
        <v/>
      </c>
      <c r="L1268" s="27">
        <f>(I1268/D1268-1)</f>
        <v/>
      </c>
      <c r="M1268" s="27">
        <f>(J1268/D1268-1)</f>
        <v/>
      </c>
      <c r="N1268" t="n">
        <v>62.8</v>
      </c>
      <c r="O1268" s="28">
        <f>(N1268+F1268)/2</f>
        <v/>
      </c>
      <c r="P1268">
        <f>IF(O1268="計算不能","計算不能",IF(O1268&gt;=80,5,IF(O1268&gt;=60,4,IF(O1268&gt;=40,3,IF(O1268&gt;=28,2,1)))))</f>
        <v/>
      </c>
      <c r="Q1268" t="n">
        <v>16444</v>
      </c>
      <c r="R1268" t="n">
        <v>5920</v>
      </c>
      <c r="S1268" s="27">
        <f>R1268/Q1268</f>
        <v/>
      </c>
      <c r="T1268" t="inlineStr">
        <is>
          <t>米子市は2045年までに人口が約10.4%減と緩やかな減少局面。若年層の都市部流出と高齢化が進むが、当面の賃貸稼働は一定程度維持される見通し。</t>
        </is>
      </c>
      <c r="U1268" t="inlineStr">
        <is>
          <t>米子市は人口密度1,082人/km²で、主要道路沿いや中心市街地に一定の賃貸需要が局在。立地選別が稼働を左右する。 借家の空室率は約36%と供給過多気味で、空室長期化リスクに要警戒。</t>
        </is>
      </c>
      <c r="V1268" t="inlineStr">
        <is>
          <t>米子市（鳥取県）：千代川・天神川の氾濫、日本海沿岸の津波、豪雪、鳥取県西部地震型の内陸地震に注意。</t>
        </is>
      </c>
    </row>
    <row r="1269">
      <c r="A1269" t="inlineStr">
        <is>
          <t>鳥取県</t>
        </is>
      </c>
      <c r="B1269" t="inlineStr">
        <is>
          <t>倉吉市</t>
        </is>
      </c>
      <c r="C1269" t="n">
        <v>17500</v>
      </c>
      <c r="D1269" t="n">
        <v>43384</v>
      </c>
      <c r="E1269" s="6" t="n">
        <v>159</v>
      </c>
      <c r="F1269" s="7" t="n">
        <v>25.9</v>
      </c>
      <c r="G1269" t="n">
        <v>46485</v>
      </c>
      <c r="H1269" t="n">
        <v>43384</v>
      </c>
      <c r="I1269" t="n">
        <v>41075</v>
      </c>
      <c r="J1269" t="n">
        <v>34304</v>
      </c>
      <c r="K1269" s="27">
        <f>(H1269/D1269-1)</f>
        <v/>
      </c>
      <c r="L1269" s="27">
        <f>(I1269/D1269-1)</f>
        <v/>
      </c>
      <c r="M1269" s="27">
        <f>(J1269/D1269-1)</f>
        <v/>
      </c>
      <c r="N1269" t="n">
        <v>48.4</v>
      </c>
      <c r="O1269" s="28">
        <f>(N1269+F1269)/2</f>
        <v/>
      </c>
      <c r="P1269">
        <f>IF(O1269="計算不能","計算不能",IF(O1269&gt;=80,5,IF(O1269&gt;=60,4,IF(O1269&gt;=40,3,IF(O1269&gt;=28,2,1)))))</f>
        <v/>
      </c>
      <c r="Q1269" t="n">
        <v>4652</v>
      </c>
      <c r="R1269" t="n">
        <v>1170</v>
      </c>
      <c r="S1269" s="27">
        <f>R1269/Q1269</f>
        <v/>
      </c>
      <c r="T1269" t="inlineStr">
        <is>
          <t>倉吉市は2045年までに人口が約20.9%減と明確な減少トレンド。高齢化の進行と世帯数の縮小により、中長期では賃貸需要の構造的縮小に警戒が必要。</t>
        </is>
      </c>
      <c r="U1269" t="inlineStr">
        <is>
          <t>倉吉市は人口密度159人/km²と過疎的水準で、民間賃貸の新規需要は薄い。実需に裏付けられた格安戸建ての指値取得のみが現実的。 借家の空室率は約25%と供給過多気味で、空室長期化リスクに要警戒。</t>
        </is>
      </c>
      <c r="V1269" t="inlineStr">
        <is>
          <t>倉吉市（鳥取県）：千代川・天神川の氾濫、日本海沿岸の津波、豪雪、鳥取県西部地震型の内陸地震に注意。</t>
        </is>
      </c>
    </row>
    <row r="1270">
      <c r="A1270" t="inlineStr">
        <is>
          <t>鳥取県</t>
        </is>
      </c>
      <c r="B1270" t="inlineStr">
        <is>
          <t>境港市</t>
        </is>
      </c>
      <c r="C1270" t="n">
        <v>13090</v>
      </c>
      <c r="D1270" t="n">
        <v>31293</v>
      </c>
      <c r="E1270" s="6" t="n">
        <v>1067</v>
      </c>
      <c r="F1270" s="7" t="n">
        <v>56.3</v>
      </c>
      <c r="G1270" t="n">
        <v>32740</v>
      </c>
      <c r="H1270" t="n">
        <v>31293</v>
      </c>
      <c r="I1270" t="n">
        <v>29642</v>
      </c>
      <c r="J1270" t="n">
        <v>24615</v>
      </c>
      <c r="K1270" s="27">
        <f>(H1270/D1270-1)</f>
        <v/>
      </c>
      <c r="L1270" s="27">
        <f>(I1270/D1270-1)</f>
        <v/>
      </c>
      <c r="M1270" s="27">
        <f>(J1270/D1270-1)</f>
        <v/>
      </c>
      <c r="N1270" t="n">
        <v>52.4</v>
      </c>
      <c r="O1270" s="28">
        <f>(N1270+F1270)/2</f>
        <v/>
      </c>
      <c r="P1270">
        <f>IF(O1270="計算不能","計算不能",IF(O1270&gt;=80,5,IF(O1270&gt;=60,4,IF(O1270&gt;=40,3,IF(O1270&gt;=28,2,1)))))</f>
        <v/>
      </c>
      <c r="Q1270" t="n">
        <v>3480</v>
      </c>
      <c r="R1270" t="n">
        <v>700</v>
      </c>
      <c r="S1270" s="27">
        <f>R1270/Q1270</f>
        <v/>
      </c>
      <c r="T1270" t="inlineStr">
        <is>
          <t>境港市は2045年までに人口が約21.3%減と明確な減少トレンド。高齢化の進行と世帯数の縮小により、中長期では賃貸需要の構造的縮小に警戒が必要。</t>
        </is>
      </c>
      <c r="U1270" t="inlineStr">
        <is>
          <t>境港市は人口密度1,067人/km²で、主要道路沿いや中心市街地に一定の賃貸需要が局在。立地選別が稼働を左右する。 借家の空室率は約20%とやや高めで、競合との差別化が必要。</t>
        </is>
      </c>
      <c r="V1270" t="inlineStr">
        <is>
          <t>境港市（鳥取県）：千代川・天神川の氾濫、日本海沿岸の津波、豪雪、鳥取県西部地震型の内陸地震に注意。</t>
        </is>
      </c>
    </row>
    <row r="1271">
      <c r="A1271" t="inlineStr">
        <is>
          <t>鳥取県</t>
        </is>
      </c>
      <c r="B1271" t="inlineStr">
        <is>
          <t>岩美町</t>
        </is>
      </c>
      <c r="C1271" t="n">
        <v>4522</v>
      </c>
      <c r="D1271" t="n">
        <v>9995</v>
      </c>
      <c r="E1271" s="6" t="n">
        <v>82.7</v>
      </c>
      <c r="F1271" s="7" t="n">
        <v>18.3</v>
      </c>
      <c r="G1271" t="n">
        <v>10799</v>
      </c>
      <c r="H1271" t="n">
        <v>9995</v>
      </c>
      <c r="I1271" t="n">
        <v>9224</v>
      </c>
      <c r="J1271" t="n">
        <v>6908</v>
      </c>
      <c r="K1271" s="27">
        <f>(H1271/D1271-1)</f>
        <v/>
      </c>
      <c r="L1271" s="27">
        <f>(I1271/D1271-1)</f>
        <v/>
      </c>
      <c r="M1271" s="27">
        <f>(J1271/D1271-1)</f>
        <v/>
      </c>
      <c r="N1271" t="n">
        <v>42.9</v>
      </c>
      <c r="O1271" s="28">
        <f>(N1271+F1271)/2</f>
        <v/>
      </c>
      <c r="P1271">
        <f>IF(O1271="計算不能","計算不能",IF(O1271&gt;=80,5,IF(O1271&gt;=60,4,IF(O1271&gt;=40,3,IF(O1271&gt;=28,2,1)))))</f>
        <v/>
      </c>
      <c r="Q1271" t="n">
        <v>1202</v>
      </c>
      <c r="R1271" t="n">
        <v>0</v>
      </c>
      <c r="S1271" s="27">
        <f>R1271/Q1271</f>
        <v/>
      </c>
      <c r="T1271" t="inlineStr">
        <is>
          <t>岩美町は2045年までに人口が約30.9%減と急激な過疎・超高齢化が進行。若年労働世代の流出と自然減が重なり、賃貸事業としての持続性は極めて限定的。</t>
        </is>
      </c>
      <c r="U1271" t="inlineStr">
        <is>
          <t>岩美町は人口密度83人/km²と過疎的水準で、民間賃貸の新規需要は薄い。実需に裏付けられた格安戸建ての指値取得のみが現実的。 借家の空室率は約0%と需給は比較的引き締まっている。</t>
        </is>
      </c>
      <c r="V1271" t="inlineStr">
        <is>
          <t>岩美町（鳥取県）：千代川・天神川の氾濫、日本海沿岸の津波、豪雪、鳥取県西部地震型の内陸地震に注意。</t>
        </is>
      </c>
    </row>
    <row r="1272">
      <c r="A1272" t="inlineStr">
        <is>
          <t>鳥取県</t>
        </is>
      </c>
      <c r="B1272" t="inlineStr">
        <is>
          <t>若桜町</t>
        </is>
      </c>
      <c r="C1272" t="n">
        <v>1254</v>
      </c>
      <c r="D1272" t="n">
        <v>2487</v>
      </c>
      <c r="E1272" s="6" t="n">
        <v>11.7</v>
      </c>
      <c r="F1272" s="7" t="n">
        <v>11.2</v>
      </c>
      <c r="G1272" t="n">
        <v>2864</v>
      </c>
      <c r="H1272" t="n">
        <v>2487</v>
      </c>
      <c r="I1272" t="n">
        <v>2151</v>
      </c>
      <c r="J1272" t="n">
        <v>1312</v>
      </c>
      <c r="K1272" s="27">
        <f>(H1272/D1272-1)</f>
        <v/>
      </c>
      <c r="L1272" s="27">
        <f>(I1272/D1272-1)</f>
        <v/>
      </c>
      <c r="M1272" s="27">
        <f>(J1272/D1272-1)</f>
        <v/>
      </c>
      <c r="N1272" t="n">
        <v>32.5</v>
      </c>
      <c r="O1272" s="28">
        <f>(N1272+F1272)/2</f>
        <v/>
      </c>
      <c r="P1272">
        <f>IF(O1272="計算不能","計算不能",IF(O1272&gt;=80,5,IF(O1272&gt;=60,4,IF(O1272&gt;=40,3,IF(O1272&gt;=28,2,1)))))</f>
        <v/>
      </c>
      <c r="Q1272" t="n">
        <v>333</v>
      </c>
      <c r="R1272" t="n">
        <v>0</v>
      </c>
      <c r="S1272" s="27">
        <f>R1272/Q1272</f>
        <v/>
      </c>
      <c r="T1272" t="inlineStr">
        <is>
          <t>若桜町は2045年までに人口が約47.2%減と急激な過疎・超高齢化が進行。若年労働世代の流出と自然減が重なり、賃貸事業としての持続性は極めて限定的。</t>
        </is>
      </c>
      <c r="U1272" t="inlineStr">
        <is>
          <t>若桜町は人口密度12人/km²と過疎的水準で、民間賃貸の新規需要は薄い。実需に裏付けられた格安戸建ての指値取得のみが現実的。 借家の空室率は約0%と需給は比較的引き締まっている。</t>
        </is>
      </c>
      <c r="V1272" t="inlineStr">
        <is>
          <t>若桜町（鳥取県）：千代川・天神川の氾濫、日本海沿岸の津波、豪雪、鳥取県西部地震型の内陸地震に注意。</t>
        </is>
      </c>
    </row>
    <row r="1273">
      <c r="A1273" t="inlineStr">
        <is>
          <t>鳥取県</t>
        </is>
      </c>
      <c r="B1273" t="inlineStr">
        <is>
          <t>智頭町</t>
        </is>
      </c>
      <c r="C1273" t="n">
        <v>2682</v>
      </c>
      <c r="D1273" t="n">
        <v>5737</v>
      </c>
      <c r="E1273" s="6" t="n">
        <v>25.2</v>
      </c>
      <c r="F1273" s="7" t="n">
        <v>12.5</v>
      </c>
      <c r="G1273" t="n">
        <v>6427</v>
      </c>
      <c r="H1273" t="n">
        <v>5737</v>
      </c>
      <c r="I1273" t="n">
        <v>5087</v>
      </c>
      <c r="J1273" t="n">
        <v>3450</v>
      </c>
      <c r="K1273" s="27">
        <f>(H1273/D1273-1)</f>
        <v/>
      </c>
      <c r="L1273" s="27">
        <f>(I1273/D1273-1)</f>
        <v/>
      </c>
      <c r="M1273" s="27">
        <f>(J1273/D1273-1)</f>
        <v/>
      </c>
      <c r="N1273" t="n">
        <v>36.8</v>
      </c>
      <c r="O1273" s="28">
        <f>(N1273+F1273)/2</f>
        <v/>
      </c>
      <c r="P1273">
        <f>IF(O1273="計算不能","計算不能",IF(O1273&gt;=80,5,IF(O1273&gt;=60,4,IF(O1273&gt;=40,3,IF(O1273&gt;=28,2,1)))))</f>
        <v/>
      </c>
      <c r="Q1273" t="n">
        <v>713</v>
      </c>
      <c r="R1273" t="n">
        <v>0</v>
      </c>
      <c r="S1273" s="27">
        <f>R1273/Q1273</f>
        <v/>
      </c>
      <c r="T1273" t="inlineStr">
        <is>
          <t>智頭町は2045年までに人口が約39.9%減と急激な過疎・超高齢化が進行。若年労働世代の流出と自然減が重なり、賃貸事業としての持続性は極めて限定的。</t>
        </is>
      </c>
      <c r="U1273" t="inlineStr">
        <is>
          <t>智頭町は人口密度25人/km²と過疎的水準で、民間賃貸の新規需要は薄い。実需に裏付けられた格安戸建ての指値取得のみが現実的。 借家の空室率は約0%と需給は比較的引き締まっている。</t>
        </is>
      </c>
      <c r="V1273" t="inlineStr">
        <is>
          <t>智頭町（鳥取県）：千代川・天神川の氾濫、日本海沿岸の津波、豪雪、鳥取県西部地震型の内陸地震に注意。</t>
        </is>
      </c>
    </row>
    <row r="1274">
      <c r="A1274" t="inlineStr">
        <is>
          <t>鳥取県</t>
        </is>
      </c>
      <c r="B1274" t="inlineStr">
        <is>
          <t>八頭町</t>
        </is>
      </c>
      <c r="C1274" t="n">
        <v>5240</v>
      </c>
      <c r="D1274" t="n">
        <v>14748</v>
      </c>
      <c r="E1274" s="6" t="n">
        <v>70.2</v>
      </c>
      <c r="F1274" s="7" t="n">
        <v>17</v>
      </c>
      <c r="G1274" t="n">
        <v>15937</v>
      </c>
      <c r="H1274" t="n">
        <v>14748</v>
      </c>
      <c r="I1274" t="n">
        <v>13581</v>
      </c>
      <c r="J1274" t="n">
        <v>10179</v>
      </c>
      <c r="K1274" s="27">
        <f>(H1274/D1274-1)</f>
        <v/>
      </c>
      <c r="L1274" s="27">
        <f>(I1274/D1274-1)</f>
        <v/>
      </c>
      <c r="M1274" s="27">
        <f>(J1274/D1274-1)</f>
        <v/>
      </c>
      <c r="N1274" t="n">
        <v>42.8</v>
      </c>
      <c r="O1274" s="28">
        <f>(N1274+F1274)/2</f>
        <v/>
      </c>
      <c r="P1274">
        <f>IF(O1274="計算不能","計算不能",IF(O1274&gt;=80,5,IF(O1274&gt;=60,4,IF(O1274&gt;=40,3,IF(O1274&gt;=28,2,1)))))</f>
        <v/>
      </c>
      <c r="Q1274" t="n">
        <v>1393</v>
      </c>
      <c r="R1274" t="n">
        <v>120</v>
      </c>
      <c r="S1274" s="27">
        <f>R1274/Q1274</f>
        <v/>
      </c>
      <c r="T1274" t="inlineStr">
        <is>
          <t>八頭町は2045年までに人口が約31.0%減と急激な過疎・超高齢化が進行。若年労働世代の流出と自然減が重なり、賃貸事業としての持続性は極めて限定的。</t>
        </is>
      </c>
      <c r="U1274" t="inlineStr">
        <is>
          <t>八頭町は人口密度70人/km²と過疎的水準で、民間賃貸の新規需要は薄い。実需に裏付けられた格安戸建ての指値取得のみが現実的。 借家の空室率は約9%と需給は比較的引き締まっている。</t>
        </is>
      </c>
      <c r="V1274" t="inlineStr">
        <is>
          <t>八頭町（鳥取県）：千代川・天神川の氾濫、日本海沿岸の津波、豪雪、鳥取県西部地震型の内陸地震に注意。</t>
        </is>
      </c>
    </row>
    <row r="1275">
      <c r="A1275" t="inlineStr">
        <is>
          <t>鳥取県</t>
        </is>
      </c>
      <c r="B1275" t="inlineStr">
        <is>
          <t>三朝町</t>
        </is>
      </c>
      <c r="C1275" t="n">
        <v>2467</v>
      </c>
      <c r="D1275" t="n">
        <v>5514</v>
      </c>
      <c r="E1275" s="6" t="n">
        <v>22.9</v>
      </c>
      <c r="F1275" s="7" t="n">
        <v>12.3</v>
      </c>
      <c r="G1275" t="n">
        <v>6060</v>
      </c>
      <c r="H1275" t="n">
        <v>5514</v>
      </c>
      <c r="I1275" t="n">
        <v>5044</v>
      </c>
      <c r="J1275" t="n">
        <v>3823</v>
      </c>
      <c r="K1275" s="27">
        <f>(H1275/D1275-1)</f>
        <v/>
      </c>
      <c r="L1275" s="27">
        <f>(I1275/D1275-1)</f>
        <v/>
      </c>
      <c r="M1275" s="27">
        <f>(J1275/D1275-1)</f>
        <v/>
      </c>
      <c r="N1275" t="n">
        <v>41.3</v>
      </c>
      <c r="O1275" s="28">
        <f>(N1275+F1275)/2</f>
        <v/>
      </c>
      <c r="P1275">
        <f>IF(O1275="計算不能","計算不能",IF(O1275&gt;=80,5,IF(O1275&gt;=60,4,IF(O1275&gt;=40,3,IF(O1275&gt;=28,2,1)))))</f>
        <v/>
      </c>
      <c r="Q1275" t="n">
        <v>655</v>
      </c>
      <c r="R1275" t="n">
        <v>0</v>
      </c>
      <c r="S1275" s="27">
        <f>R1275/Q1275</f>
        <v/>
      </c>
      <c r="T1275" t="inlineStr">
        <is>
          <t>三朝町は2045年までに人口が約30.7%減と急激な過疎・超高齢化が進行。若年労働世代の流出と自然減が重なり、賃貸事業としての持続性は極めて限定的。</t>
        </is>
      </c>
      <c r="U1275" t="inlineStr">
        <is>
          <t>三朝町は人口密度23人/km²と過疎的水準で、民間賃貸の新規需要は薄い。実需に裏付けられた格安戸建ての指値取得のみが現実的。 借家の空室率は約0%と需給は比較的引き締まっている。</t>
        </is>
      </c>
      <c r="V1275" t="inlineStr">
        <is>
          <t>三朝町（鳥取県）：千代川・天神川の氾濫、日本海沿岸の津波、豪雪、鳥取県西部地震型の内陸地震に注意。</t>
        </is>
      </c>
    </row>
    <row r="1276">
      <c r="A1276" t="inlineStr">
        <is>
          <t>鳥取県</t>
        </is>
      </c>
      <c r="B1276" t="inlineStr">
        <is>
          <t>湯梨浜町</t>
        </is>
      </c>
      <c r="C1276" t="n">
        <v>5670</v>
      </c>
      <c r="D1276" t="n">
        <v>15447</v>
      </c>
      <c r="E1276" s="6" t="n">
        <v>198</v>
      </c>
      <c r="F1276" s="7" t="n">
        <v>29.8</v>
      </c>
      <c r="G1276" t="n">
        <v>16055</v>
      </c>
      <c r="H1276" t="n">
        <v>15447</v>
      </c>
      <c r="I1276" t="n">
        <v>14870</v>
      </c>
      <c r="J1276" t="n">
        <v>12971</v>
      </c>
      <c r="K1276" s="27">
        <f>(H1276/D1276-1)</f>
        <v/>
      </c>
      <c r="L1276" s="27">
        <f>(I1276/D1276-1)</f>
        <v/>
      </c>
      <c r="M1276" s="27">
        <f>(J1276/D1276-1)</f>
        <v/>
      </c>
      <c r="N1276" t="n">
        <v>57.2</v>
      </c>
      <c r="O1276" s="28">
        <f>(N1276+F1276)/2</f>
        <v/>
      </c>
      <c r="P1276">
        <f>IF(O1276="計算不能","計算不能",IF(O1276&gt;=80,5,IF(O1276&gt;=60,4,IF(O1276&gt;=40,3,IF(O1276&gt;=28,2,1)))))</f>
        <v/>
      </c>
      <c r="Q1276" t="n">
        <v>1507</v>
      </c>
      <c r="R1276" t="n">
        <v>170</v>
      </c>
      <c r="S1276" s="27">
        <f>R1276/Q1276</f>
        <v/>
      </c>
      <c r="T1276" t="inlineStr">
        <is>
          <t>湯梨浜町は2045年までに人口が約16.0%減と明確な減少トレンド。高齢化の進行と世帯数の縮小により、中長期では賃貸需要の構造的縮小に警戒が必要。</t>
        </is>
      </c>
      <c r="U1276" t="inlineStr">
        <is>
          <t>湯梨浜町は人口密度198人/km²と過疎的水準で、民間賃貸の新規需要は薄い。実需に裏付けられた格安戸建ての指値取得のみが現実的。 借家の空室率は約11%と需給は比較的引き締まっている。</t>
        </is>
      </c>
      <c r="V1276" t="inlineStr">
        <is>
          <t>湯梨浜町（鳥取県）：千代川・天神川の氾濫、日本海沿岸の津波、豪雪、鳥取県西部地震型の内陸地震に注意。</t>
        </is>
      </c>
    </row>
    <row r="1277">
      <c r="A1277" t="inlineStr">
        <is>
          <t>鳥取県</t>
        </is>
      </c>
      <c r="B1277" t="inlineStr">
        <is>
          <t>琴浦町</t>
        </is>
      </c>
      <c r="C1277" t="n">
        <v>5790</v>
      </c>
      <c r="D1277" t="n">
        <v>15040</v>
      </c>
      <c r="E1277" s="6" t="n">
        <v>105.5</v>
      </c>
      <c r="F1277" s="7" t="n">
        <v>20.6</v>
      </c>
      <c r="G1277" t="n">
        <v>16365</v>
      </c>
      <c r="H1277" t="n">
        <v>15040</v>
      </c>
      <c r="I1277" t="n">
        <v>13931</v>
      </c>
      <c r="J1277" t="n">
        <v>10919</v>
      </c>
      <c r="K1277" s="27">
        <f>(H1277/D1277-1)</f>
        <v/>
      </c>
      <c r="L1277" s="27">
        <f>(I1277/D1277-1)</f>
        <v/>
      </c>
      <c r="M1277" s="27">
        <f>(J1277/D1277-1)</f>
        <v/>
      </c>
      <c r="N1277" t="n">
        <v>43.2</v>
      </c>
      <c r="O1277" s="28">
        <f>(N1277+F1277)/2</f>
        <v/>
      </c>
      <c r="P1277">
        <f>IF(O1277="計算不能","計算不能",IF(O1277&gt;=80,5,IF(O1277&gt;=60,4,IF(O1277&gt;=40,3,IF(O1277&gt;=28,2,1)))))</f>
        <v/>
      </c>
      <c r="Q1277" t="n">
        <v>1539</v>
      </c>
      <c r="R1277" t="n">
        <v>160</v>
      </c>
      <c r="S1277" s="27">
        <f>R1277/Q1277</f>
        <v/>
      </c>
      <c r="T1277" t="inlineStr">
        <is>
          <t>琴浦町は2045年までに人口が約27.4%減と明確な減少トレンド。高齢化の進行と世帯数の縮小により、中長期では賃貸需要の構造的縮小に警戒が必要。</t>
        </is>
      </c>
      <c r="U1277" t="inlineStr">
        <is>
          <t>琴浦町は人口密度106人/km²と過疎的水準で、民間賃貸の新規需要は薄い。実需に裏付けられた格安戸建ての指値取得のみが現実的。 借家の空室率は約10%と需給は比較的引き締まっている。</t>
        </is>
      </c>
      <c r="V1277" t="inlineStr">
        <is>
          <t>琴浦町（鳥取県）：千代川・天神川の氾濫、日本海沿岸の津波、豪雪、鳥取県西部地震型の内陸地震に注意。</t>
        </is>
      </c>
    </row>
    <row r="1278">
      <c r="A1278" t="inlineStr">
        <is>
          <t>鳥取県</t>
        </is>
      </c>
      <c r="B1278" t="inlineStr">
        <is>
          <t>北栄町</t>
        </is>
      </c>
      <c r="C1278" t="n">
        <v>5486</v>
      </c>
      <c r="D1278" t="n">
        <v>13453</v>
      </c>
      <c r="E1278" s="6" t="n">
        <v>236.6</v>
      </c>
      <c r="F1278" s="7" t="n">
        <v>31.8</v>
      </c>
      <c r="G1278" t="n">
        <v>14228</v>
      </c>
      <c r="H1278" t="n">
        <v>13453</v>
      </c>
      <c r="I1278" t="n">
        <v>12603</v>
      </c>
      <c r="J1278" t="n">
        <v>10029</v>
      </c>
      <c r="K1278" s="27">
        <f>(H1278/D1278-1)</f>
        <v/>
      </c>
      <c r="L1278" s="27">
        <f>(I1278/D1278-1)</f>
        <v/>
      </c>
      <c r="M1278" s="27">
        <f>(J1278/D1278-1)</f>
        <v/>
      </c>
      <c r="N1278" t="n">
        <v>47.9</v>
      </c>
      <c r="O1278" s="28">
        <f>(N1278+F1278)/2</f>
        <v/>
      </c>
      <c r="P1278">
        <f>IF(O1278="計算不能","計算不能",IF(O1278&gt;=80,5,IF(O1278&gt;=60,4,IF(O1278&gt;=40,3,IF(O1278&gt;=28,2,1)))))</f>
        <v/>
      </c>
      <c r="Q1278" t="n">
        <v>1458</v>
      </c>
      <c r="R1278" t="n">
        <v>0</v>
      </c>
      <c r="S1278" s="27">
        <f>R1278/Q1278</f>
        <v/>
      </c>
      <c r="T1278" t="inlineStr">
        <is>
          <t>北栄町は2045年までに人口が約25.5%減と明確な減少トレンド。高齢化の進行と世帯数の縮小により、中長期では賃貸需要の構造的縮小に警戒が必要。</t>
        </is>
      </c>
      <c r="U1278" t="inlineStr">
        <is>
          <t>北栄町は人口密度237人/km²と低密度で、賃貸需要は限定的。持ち家比率が高く、駐車場完備の戸建て賃貸が有利。 借家の空室率は約0%と需給は比較的引き締まっている。</t>
        </is>
      </c>
      <c r="V1278" t="inlineStr">
        <is>
          <t>北栄町（鳥取県）：千代川・天神川の氾濫、日本海沿岸の津波、豪雪、鳥取県西部地震型の内陸地震に注意。</t>
        </is>
      </c>
    </row>
    <row r="1279">
      <c r="A1279" t="inlineStr">
        <is>
          <t>鳥取県</t>
        </is>
      </c>
      <c r="B1279" t="inlineStr">
        <is>
          <t>日吉津村</t>
        </is>
      </c>
      <c r="C1279" t="n">
        <v>1296</v>
      </c>
      <c r="D1279" t="n">
        <v>3530</v>
      </c>
      <c r="E1279" s="6" t="n">
        <v>831</v>
      </c>
      <c r="F1279" s="7" t="n">
        <v>51.6</v>
      </c>
      <c r="G1279" t="n">
        <v>3501</v>
      </c>
      <c r="H1279" t="n">
        <v>3530</v>
      </c>
      <c r="I1279" t="n">
        <v>3541</v>
      </c>
      <c r="J1279" t="n">
        <v>3445</v>
      </c>
      <c r="K1279" s="27">
        <f>(H1279/D1279-1)</f>
        <v/>
      </c>
      <c r="L1279" s="27">
        <f>(I1279/D1279-1)</f>
        <v/>
      </c>
      <c r="M1279" s="27">
        <f>(J1279/D1279-1)</f>
        <v/>
      </c>
      <c r="N1279" t="n">
        <v>75.7</v>
      </c>
      <c r="O1279" s="28">
        <f>(N1279+F1279)/2</f>
        <v/>
      </c>
      <c r="P1279">
        <f>IF(O1279="計算不能","計算不能",IF(O1279&gt;=80,5,IF(O1279&gt;=60,4,IF(O1279&gt;=40,3,IF(O1279&gt;=28,2,1)))))</f>
        <v/>
      </c>
      <c r="Q1279" t="n">
        <v>344</v>
      </c>
      <c r="R1279" t="n">
        <v>0</v>
      </c>
      <c r="S1279" s="27">
        <f>R1279/Q1279</f>
        <v/>
      </c>
      <c r="T1279" t="inlineStr">
        <is>
          <t>日吉津村は2045年までの人口減少率が約2.4%と全国平均より緩やかで、概ね横ばいの安定推移。生産年齢人口の維持により、賃貸需要の急減リスクは相対的に低い。</t>
        </is>
      </c>
      <c r="U1279" t="inlineStr">
        <is>
          <t>日吉津村は人口密度831人/km²で、主要道路沿いや中心市街地に一定の賃貸需要が局在。立地選別が稼働を左右する。 借家の空室率は約0%と需給は比較的引き締まっている。</t>
        </is>
      </c>
      <c r="V1279" t="inlineStr">
        <is>
          <t>日吉津村（鳥取県）：千代川・天神川の氾濫、日本海沿岸の津波、豪雪、鳥取県西部地震型の内陸地震に注意。</t>
        </is>
      </c>
    </row>
    <row r="1280">
      <c r="A1280" t="inlineStr">
        <is>
          <t>鳥取県</t>
        </is>
      </c>
      <c r="B1280" t="inlineStr">
        <is>
          <t>大山町</t>
        </is>
      </c>
      <c r="C1280" t="n">
        <v>5640</v>
      </c>
      <c r="D1280" t="n">
        <v>13969</v>
      </c>
      <c r="E1280" s="6" t="n">
        <v>73.40000000000001</v>
      </c>
      <c r="F1280" s="7" t="n">
        <v>17.3</v>
      </c>
      <c r="G1280" t="n">
        <v>15370</v>
      </c>
      <c r="H1280" t="n">
        <v>13969</v>
      </c>
      <c r="I1280" t="n">
        <v>12869</v>
      </c>
      <c r="J1280" t="n">
        <v>9694</v>
      </c>
      <c r="K1280" s="27">
        <f>(H1280/D1280-1)</f>
        <v/>
      </c>
      <c r="L1280" s="27">
        <f>(I1280/D1280-1)</f>
        <v/>
      </c>
      <c r="M1280" s="27">
        <f>(J1280/D1280-1)</f>
        <v/>
      </c>
      <c r="N1280" t="n">
        <v>41.4</v>
      </c>
      <c r="O1280" s="28">
        <f>(N1280+F1280)/2</f>
        <v/>
      </c>
      <c r="P1280">
        <f>IF(O1280="計算不能","計算不能",IF(O1280&gt;=80,5,IF(O1280&gt;=60,4,IF(O1280&gt;=40,3,IF(O1280&gt;=28,2,1)))))</f>
        <v/>
      </c>
      <c r="Q1280" t="n">
        <v>1499</v>
      </c>
      <c r="R1280" t="n">
        <v>50</v>
      </c>
      <c r="S1280" s="27">
        <f>R1280/Q1280</f>
        <v/>
      </c>
      <c r="T1280" t="inlineStr">
        <is>
          <t>大山町は2045年までに人口が約30.6%減と急激な過疎・超高齢化が進行。若年労働世代の流出と自然減が重なり、賃貸事業としての持続性は極めて限定的。</t>
        </is>
      </c>
      <c r="U1280" t="inlineStr">
        <is>
          <t>大山町は人口密度73人/km²と過疎的水準で、民間賃貸の新規需要は薄い。実需に裏付けられた格安戸建ての指値取得のみが現実的。 借家の空室率は約3%と需給は比較的引き締まっている。</t>
        </is>
      </c>
      <c r="V1280" t="inlineStr">
        <is>
          <t>大山町（鳥取県）：千代川・天神川の氾濫、日本海沿岸の津波、豪雪、鳥取県西部地震型の内陸地震に注意。</t>
        </is>
      </c>
    </row>
    <row r="1281">
      <c r="A1281" t="inlineStr">
        <is>
          <t>鳥取県</t>
        </is>
      </c>
      <c r="B1281" t="inlineStr">
        <is>
          <t>南部町</t>
        </is>
      </c>
      <c r="C1281" t="n">
        <v>3903</v>
      </c>
      <c r="D1281" t="n">
        <v>9653</v>
      </c>
      <c r="E1281" s="6" t="n">
        <v>83.7</v>
      </c>
      <c r="F1281" s="7" t="n">
        <v>18.4</v>
      </c>
      <c r="G1281" t="n">
        <v>10323</v>
      </c>
      <c r="H1281" t="n">
        <v>9653</v>
      </c>
      <c r="I1281" t="n">
        <v>8945</v>
      </c>
      <c r="J1281" t="n">
        <v>6981</v>
      </c>
      <c r="K1281" s="27">
        <f>(H1281/D1281-1)</f>
        <v/>
      </c>
      <c r="L1281" s="27">
        <f>(I1281/D1281-1)</f>
        <v/>
      </c>
      <c r="M1281" s="27">
        <f>(J1281/D1281-1)</f>
        <v/>
      </c>
      <c r="N1281" t="n">
        <v>44.6</v>
      </c>
      <c r="O1281" s="28">
        <f>(N1281+F1281)/2</f>
        <v/>
      </c>
      <c r="P1281">
        <f>IF(O1281="計算不能","計算不能",IF(O1281&gt;=80,5,IF(O1281&gt;=60,4,IF(O1281&gt;=40,3,IF(O1281&gt;=28,2,1)))))</f>
        <v/>
      </c>
      <c r="Q1281" t="n">
        <v>1037</v>
      </c>
      <c r="R1281" t="n">
        <v>0</v>
      </c>
      <c r="S1281" s="27">
        <f>R1281/Q1281</f>
        <v/>
      </c>
      <c r="T1281" t="inlineStr">
        <is>
          <t>南部町は2045年までに人口が約27.7%減と明確な減少トレンド。高齢化の進行と世帯数の縮小により、中長期では賃貸需要の構造的縮小に警戒が必要。</t>
        </is>
      </c>
      <c r="U1281" t="inlineStr">
        <is>
          <t>南部町は人口密度84人/km²と過疎的水準で、民間賃貸の新規需要は薄い。実需に裏付けられた格安戸建ての指値取得のみが現実的。 借家の空室率は約0%と需給は比較的引き締まっている。</t>
        </is>
      </c>
      <c r="V1281" t="inlineStr">
        <is>
          <t>南部町（鳥取県）：千代川・天神川の氾濫、日本海沿岸の津波、豪雪、鳥取県西部地震型の内陸地震に注意。</t>
        </is>
      </c>
    </row>
    <row r="1282">
      <c r="A1282" t="inlineStr">
        <is>
          <t>鳥取県</t>
        </is>
      </c>
      <c r="B1282" t="inlineStr">
        <is>
          <t>伯耆町</t>
        </is>
      </c>
      <c r="C1282" t="n">
        <v>3877</v>
      </c>
      <c r="D1282" t="n">
        <v>9923</v>
      </c>
      <c r="E1282" s="6" t="n">
        <v>70</v>
      </c>
      <c r="F1282" s="7" t="n">
        <v>17</v>
      </c>
      <c r="G1282" t="n">
        <v>10696</v>
      </c>
      <c r="H1282" t="n">
        <v>9923</v>
      </c>
      <c r="I1282" t="n">
        <v>9314</v>
      </c>
      <c r="J1282" t="n">
        <v>7453</v>
      </c>
      <c r="K1282" s="27">
        <f>(H1282/D1282-1)</f>
        <v/>
      </c>
      <c r="L1282" s="27">
        <f>(I1282/D1282-1)</f>
        <v/>
      </c>
      <c r="M1282" s="27">
        <f>(J1282/D1282-1)</f>
        <v/>
      </c>
      <c r="N1282" t="n">
        <v>45</v>
      </c>
      <c r="O1282" s="28">
        <f>(N1282+F1282)/2</f>
        <v/>
      </c>
      <c r="P1282">
        <f>IF(O1282="計算不能","計算不能",IF(O1282&gt;=80,5,IF(O1282&gt;=60,4,IF(O1282&gt;=40,3,IF(O1282&gt;=28,2,1)))))</f>
        <v/>
      </c>
      <c r="Q1282" t="n">
        <v>1030</v>
      </c>
      <c r="R1282" t="n">
        <v>0</v>
      </c>
      <c r="S1282" s="27">
        <f>R1282/Q1282</f>
        <v/>
      </c>
      <c r="T1282" t="inlineStr">
        <is>
          <t>伯耆町は2045年までに人口が約24.9%減と明確な減少トレンド。高齢化の進行と世帯数の縮小により、中長期では賃貸需要の構造的縮小に警戒が必要。</t>
        </is>
      </c>
      <c r="U1282" t="inlineStr">
        <is>
          <t>伯耆町は人口密度70人/km²と過疎的水準で、民間賃貸の新規需要は薄い。実需に裏付けられた格安戸建ての指値取得のみが現実的。 借家の空室率は約0%と需給は比較的引き締まっている。</t>
        </is>
      </c>
      <c r="V1282" t="inlineStr">
        <is>
          <t>伯耆町（鳥取県）：千代川・天神川の氾濫、日本海沿岸の津波、豪雪、鳥取県西部地震型の内陸地震に注意。</t>
        </is>
      </c>
    </row>
    <row r="1283">
      <c r="A1283" t="inlineStr">
        <is>
          <t>鳥取県</t>
        </is>
      </c>
      <c r="B1283" t="inlineStr">
        <is>
          <t>日南町</t>
        </is>
      </c>
      <c r="C1283" t="n">
        <v>1821</v>
      </c>
      <c r="D1283" t="n">
        <v>3654</v>
      </c>
      <c r="E1283" s="6" t="n">
        <v>10.5</v>
      </c>
      <c r="F1283" s="7" t="n">
        <v>11.1</v>
      </c>
      <c r="G1283" t="n">
        <v>4196</v>
      </c>
      <c r="H1283" t="n">
        <v>3654</v>
      </c>
      <c r="I1283" t="n">
        <v>3177</v>
      </c>
      <c r="J1283" t="n">
        <v>2066</v>
      </c>
      <c r="K1283" s="27">
        <f>(H1283/D1283-1)</f>
        <v/>
      </c>
      <c r="L1283" s="27">
        <f>(I1283/D1283-1)</f>
        <v/>
      </c>
      <c r="M1283" s="27">
        <f>(J1283/D1283-1)</f>
        <v/>
      </c>
      <c r="N1283" t="n">
        <v>33.6</v>
      </c>
      <c r="O1283" s="28">
        <f>(N1283+F1283)/2</f>
        <v/>
      </c>
      <c r="P1283">
        <f>IF(O1283="計算不能","計算不能",IF(O1283&gt;=80,5,IF(O1283&gt;=60,4,IF(O1283&gt;=40,3,IF(O1283&gt;=28,2,1)))))</f>
        <v/>
      </c>
      <c r="Q1283" t="n">
        <v>484</v>
      </c>
      <c r="R1283" t="n">
        <v>0</v>
      </c>
      <c r="S1283" s="27">
        <f>R1283/Q1283</f>
        <v/>
      </c>
      <c r="T1283" t="inlineStr">
        <is>
          <t>日南町は2045年までに人口が約43.5%減と急激な過疎・超高齢化が進行。若年労働世代の流出と自然減が重なり、賃貸事業としての持続性は極めて限定的。</t>
        </is>
      </c>
      <c r="U1283" t="inlineStr">
        <is>
          <t>日南町は人口密度10人/km²と過疎的水準で、民間賃貸の新規需要は薄い。実需に裏付けられた格安戸建ての指値取得のみが現実的。 借家の空室率は約0%と需給は比較的引き締まっている。</t>
        </is>
      </c>
      <c r="V1283" t="inlineStr">
        <is>
          <t>日南町（鳥取県）：千代川・天神川の氾濫、日本海沿岸の津波、豪雪、鳥取県西部地震型の内陸地震に注意。</t>
        </is>
      </c>
    </row>
    <row r="1284">
      <c r="A1284" t="inlineStr">
        <is>
          <t>鳥取県</t>
        </is>
      </c>
      <c r="B1284" t="inlineStr">
        <is>
          <t>日野町</t>
        </is>
      </c>
      <c r="C1284" t="n">
        <v>1252</v>
      </c>
      <c r="D1284" t="n">
        <v>2540</v>
      </c>
      <c r="E1284" s="6" t="n">
        <v>18.6</v>
      </c>
      <c r="F1284" s="7" t="n">
        <v>11.9</v>
      </c>
      <c r="G1284" t="n">
        <v>2907</v>
      </c>
      <c r="H1284" t="n">
        <v>2540</v>
      </c>
      <c r="I1284" t="n">
        <v>2240</v>
      </c>
      <c r="J1284" t="n">
        <v>1444</v>
      </c>
      <c r="K1284" s="27">
        <f>(H1284/D1284-1)</f>
        <v/>
      </c>
      <c r="L1284" s="27">
        <f>(I1284/D1284-1)</f>
        <v/>
      </c>
      <c r="M1284" s="27">
        <f>(J1284/D1284-1)</f>
        <v/>
      </c>
      <c r="N1284" t="n">
        <v>34.3</v>
      </c>
      <c r="O1284" s="28">
        <f>(N1284+F1284)/2</f>
        <v/>
      </c>
      <c r="P1284">
        <f>IF(O1284="計算不能","計算不能",IF(O1284&gt;=80,5,IF(O1284&gt;=60,4,IF(O1284&gt;=40,3,IF(O1284&gt;=28,2,1)))))</f>
        <v/>
      </c>
      <c r="Q1284" t="n">
        <v>332</v>
      </c>
      <c r="R1284" t="n">
        <v>0</v>
      </c>
      <c r="S1284" s="27">
        <f>R1284/Q1284</f>
        <v/>
      </c>
      <c r="T1284" t="inlineStr">
        <is>
          <t>日野町は2045年までに人口が約43.1%減と急激な過疎・超高齢化が進行。若年労働世代の流出と自然減が重なり、賃貸事業としての持続性は極めて限定的。</t>
        </is>
      </c>
      <c r="U1284" t="inlineStr">
        <is>
          <t>日野町は人口密度19人/km²と過疎的水準で、民間賃貸の新規需要は薄い。実需に裏付けられた格安戸建ての指値取得のみが現実的。 借家の空室率は約0%と需給は比較的引き締まっている。</t>
        </is>
      </c>
      <c r="V1284" t="inlineStr">
        <is>
          <t>日野町（鳥取県）：千代川・天神川の氾濫、日本海沿岸の津波、豪雪、鳥取県西部地震型の内陸地震に注意。</t>
        </is>
      </c>
    </row>
    <row r="1285">
      <c r="A1285" t="inlineStr">
        <is>
          <t>鳥取県</t>
        </is>
      </c>
      <c r="B1285" t="inlineStr">
        <is>
          <t>江府町</t>
        </is>
      </c>
      <c r="C1285" t="n">
        <v>1001</v>
      </c>
      <c r="D1285" t="n">
        <v>2333</v>
      </c>
      <c r="E1285" s="6" t="n">
        <v>19</v>
      </c>
      <c r="F1285" s="7" t="n">
        <v>11.9</v>
      </c>
      <c r="G1285" t="n">
        <v>2672</v>
      </c>
      <c r="H1285" t="n">
        <v>2333</v>
      </c>
      <c r="I1285" t="n">
        <v>2047</v>
      </c>
      <c r="J1285" t="n">
        <v>1367</v>
      </c>
      <c r="K1285" s="27">
        <f>(H1285/D1285-1)</f>
        <v/>
      </c>
      <c r="L1285" s="27">
        <f>(I1285/D1285-1)</f>
        <v/>
      </c>
      <c r="M1285" s="27">
        <f>(J1285/D1285-1)</f>
        <v/>
      </c>
      <c r="N1285" t="n">
        <v>34.5</v>
      </c>
      <c r="O1285" s="28">
        <f>(N1285+F1285)/2</f>
        <v/>
      </c>
      <c r="P1285">
        <f>IF(O1285="計算不能","計算不能",IF(O1285&gt;=80,5,IF(O1285&gt;=60,4,IF(O1285&gt;=40,3,IF(O1285&gt;=28,2,1)))))</f>
        <v/>
      </c>
      <c r="Q1285" t="n">
        <v>266</v>
      </c>
      <c r="R1285" t="n">
        <v>0</v>
      </c>
      <c r="S1285" s="27">
        <f>R1285/Q1285</f>
        <v/>
      </c>
      <c r="T1285" t="inlineStr">
        <is>
          <t>江府町は2045年までに人口が約41.4%減と急激な過疎・超高齢化が進行。若年労働世代の流出と自然減が重なり、賃貸事業としての持続性は極めて限定的。</t>
        </is>
      </c>
      <c r="U1285" t="inlineStr">
        <is>
          <t>江府町は人口密度19人/km²と過疎的水準で、民間賃貸の新規需要は薄い。実需に裏付けられた格安戸建ての指値取得のみが現実的。 借家の空室率は約0%と需給は比較的引き締まっている。</t>
        </is>
      </c>
      <c r="V1285" t="inlineStr">
        <is>
          <t>江府町（鳥取県）：千代川・天神川の氾濫、日本海沿岸の津波、豪雪、鳥取県西部地震型の内陸地震に注意。</t>
        </is>
      </c>
    </row>
    <row r="1286">
      <c r="A1286" t="inlineStr">
        <is>
          <t>島根県</t>
        </is>
      </c>
      <c r="B1286" t="inlineStr">
        <is>
          <t>松江市</t>
        </is>
      </c>
      <c r="C1286" t="n">
        <v>85450</v>
      </c>
      <c r="D1286" t="n">
        <v>199082</v>
      </c>
      <c r="E1286" s="6" t="n">
        <v>337.9</v>
      </c>
      <c r="F1286" s="7" t="n">
        <v>36.9</v>
      </c>
      <c r="G1286" t="n">
        <v>203616</v>
      </c>
      <c r="H1286" t="n">
        <v>199082</v>
      </c>
      <c r="I1286" t="n">
        <v>193667</v>
      </c>
      <c r="J1286" t="n">
        <v>175455</v>
      </c>
      <c r="K1286" s="27">
        <f>(H1286/D1286-1)</f>
        <v/>
      </c>
      <c r="L1286" s="27">
        <f>(I1286/D1286-1)</f>
        <v/>
      </c>
      <c r="M1286" s="27">
        <f>(J1286/D1286-1)</f>
        <v/>
      </c>
      <c r="N1286" t="n">
        <v>62.9</v>
      </c>
      <c r="O1286" s="28">
        <f>(N1286+F1286)/2</f>
        <v/>
      </c>
      <c r="P1286">
        <f>IF(O1286="計算不能","計算不能",IF(O1286&gt;=80,5,IF(O1286&gt;=60,4,IF(O1286&gt;=40,3,IF(O1286&gt;=28,2,1)))))</f>
        <v/>
      </c>
      <c r="Q1286" t="n">
        <v>23238</v>
      </c>
      <c r="R1286" t="n">
        <v>4850</v>
      </c>
      <c r="S1286" s="27">
        <f>R1286/Q1286</f>
        <v/>
      </c>
      <c r="T1286" t="inlineStr">
        <is>
          <t>松江市は2045年までに人口が約11.9%減と緩やかな減少局面。若年層の都市部流出と高齢化が進むが、当面の賃貸稼働は一定程度維持される見通し。</t>
        </is>
      </c>
      <c r="U1286" t="inlineStr">
        <is>
          <t>松江市は人口密度338人/km²と低密度で、賃貸需要は限定的。持ち家比率が高く、駐車場完備の戸建て賃貸が有利。 借家の空室率は約21%とやや高めで、競合との差別化が必要。</t>
        </is>
      </c>
      <c r="V1286" t="inlineStr">
        <is>
          <t>松江市（島根県）：斐伊川・江の川の氾濫、日本海沿岸の津波、豪雪、石見の土砂災害に留意。</t>
        </is>
      </c>
    </row>
    <row r="1287">
      <c r="A1287" t="inlineStr">
        <is>
          <t>島根県</t>
        </is>
      </c>
      <c r="B1287" t="inlineStr">
        <is>
          <t>浜田市</t>
        </is>
      </c>
      <c r="C1287" t="n">
        <v>23460</v>
      </c>
      <c r="D1287" t="n">
        <v>50270</v>
      </c>
      <c r="E1287" s="6" t="n">
        <v>70.8</v>
      </c>
      <c r="F1287" s="7" t="n">
        <v>17.1</v>
      </c>
      <c r="G1287" t="n">
        <v>54592</v>
      </c>
      <c r="H1287" t="n">
        <v>50270</v>
      </c>
      <c r="I1287" t="n">
        <v>47244</v>
      </c>
      <c r="J1287" t="n">
        <v>38818</v>
      </c>
      <c r="K1287" s="27">
        <f>(H1287/D1287-1)</f>
        <v/>
      </c>
      <c r="L1287" s="27">
        <f>(I1287/D1287-1)</f>
        <v/>
      </c>
      <c r="M1287" s="27">
        <f>(J1287/D1287-1)</f>
        <v/>
      </c>
      <c r="N1287" t="n">
        <v>44.9</v>
      </c>
      <c r="O1287" s="28">
        <f>(N1287+F1287)/2</f>
        <v/>
      </c>
      <c r="P1287">
        <f>IF(O1287="計算不能","計算不能",IF(O1287&gt;=80,5,IF(O1287&gt;=60,4,IF(O1287&gt;=40,3,IF(O1287&gt;=28,2,1)))))</f>
        <v/>
      </c>
      <c r="Q1287" t="n">
        <v>6380</v>
      </c>
      <c r="R1287" t="n">
        <v>2320</v>
      </c>
      <c r="S1287" s="27">
        <f>R1287/Q1287</f>
        <v/>
      </c>
      <c r="T1287" t="inlineStr">
        <is>
          <t>浜田市は2045年までに人口が約22.8%減と明確な減少トレンド。高齢化の進行と世帯数の縮小により、中長期では賃貸需要の構造的縮小に警戒が必要。</t>
        </is>
      </c>
      <c r="U1287" t="inlineStr">
        <is>
          <t>浜田市は人口密度71人/km²と過疎的水準で、民間賃貸の新規需要は薄い。実需に裏付けられた格安戸建ての指値取得のみが現実的。 借家の空室率は約36%と供給過多気味で、空室長期化リスクに要警戒。</t>
        </is>
      </c>
      <c r="V1287" t="inlineStr">
        <is>
          <t>浜田市（島根県）：斐伊川・江の川の氾濫、日本海沿岸の津波、豪雪、石見の土砂災害に留意。</t>
        </is>
      </c>
    </row>
    <row r="1288">
      <c r="A1288" t="inlineStr">
        <is>
          <t>島根県</t>
        </is>
      </c>
      <c r="B1288" t="inlineStr">
        <is>
          <t>出雲市</t>
        </is>
      </c>
      <c r="C1288" t="n">
        <v>66210</v>
      </c>
      <c r="D1288" t="n">
        <v>170063</v>
      </c>
      <c r="E1288" s="6" t="n">
        <v>271.6</v>
      </c>
      <c r="F1288" s="7" t="n">
        <v>33.6</v>
      </c>
      <c r="G1288" t="n">
        <v>172775</v>
      </c>
      <c r="H1288" t="n">
        <v>170063</v>
      </c>
      <c r="I1288" t="n">
        <v>166781</v>
      </c>
      <c r="J1288" t="n">
        <v>155149</v>
      </c>
      <c r="K1288" s="27">
        <f>(H1288/D1288-1)</f>
        <v/>
      </c>
      <c r="L1288" s="27">
        <f>(I1288/D1288-1)</f>
        <v/>
      </c>
      <c r="M1288" s="27">
        <f>(J1288/D1288-1)</f>
        <v/>
      </c>
      <c r="N1288" t="n">
        <v>66.2</v>
      </c>
      <c r="O1288" s="28">
        <f>(N1288+F1288)/2</f>
        <v/>
      </c>
      <c r="P1288">
        <f>IF(O1288="計算不能","計算不能",IF(O1288&gt;=80,5,IF(O1288&gt;=60,4,IF(O1288&gt;=40,3,IF(O1288&gt;=28,2,1)))))</f>
        <v/>
      </c>
      <c r="Q1288" t="n">
        <v>18006</v>
      </c>
      <c r="R1288" t="n">
        <v>3520</v>
      </c>
      <c r="S1288" s="27">
        <f>R1288/Q1288</f>
        <v/>
      </c>
      <c r="T1288" t="inlineStr">
        <is>
          <t>出雲市は2045年までに人口が約8.8%減と緩やかな減少局面。若年層の都市部流出と高齢化が進むが、当面の賃貸稼働は一定程度維持される見通し。</t>
        </is>
      </c>
      <c r="U1288" t="inlineStr">
        <is>
          <t>出雲市は人口密度272人/km²と低密度で、賃貸需要は限定的。持ち家比率が高く、駐車場完備の戸建て賃貸が有利。 借家の空室率は約20%とやや高めで、競合との差別化が必要。</t>
        </is>
      </c>
      <c r="V1288" t="inlineStr">
        <is>
          <t>出雲市（島根県）：斐伊川・江の川の氾濫、日本海沿岸の津波、豪雪、石見の土砂災害に留意。</t>
        </is>
      </c>
    </row>
    <row r="1289">
      <c r="A1289" t="inlineStr">
        <is>
          <t>島根県</t>
        </is>
      </c>
      <c r="B1289" t="inlineStr">
        <is>
          <t>益田市</t>
        </is>
      </c>
      <c r="C1289" t="n">
        <v>18130</v>
      </c>
      <c r="D1289" t="n">
        <v>42163</v>
      </c>
      <c r="E1289" s="6" t="n">
        <v>56.6</v>
      </c>
      <c r="F1289" s="7" t="n">
        <v>15.7</v>
      </c>
      <c r="G1289" t="n">
        <v>45003</v>
      </c>
      <c r="H1289" t="n">
        <v>42163</v>
      </c>
      <c r="I1289" t="n">
        <v>39285</v>
      </c>
      <c r="J1289" t="n">
        <v>31255</v>
      </c>
      <c r="K1289" s="27">
        <f>(H1289/D1289-1)</f>
        <v/>
      </c>
      <c r="L1289" s="27">
        <f>(I1289/D1289-1)</f>
        <v/>
      </c>
      <c r="M1289" s="27">
        <f>(J1289/D1289-1)</f>
        <v/>
      </c>
      <c r="N1289" t="n">
        <v>45.8</v>
      </c>
      <c r="O1289" s="28">
        <f>(N1289+F1289)/2</f>
        <v/>
      </c>
      <c r="P1289">
        <f>IF(O1289="計算不能","計算不能",IF(O1289&gt;=80,5,IF(O1289&gt;=60,4,IF(O1289&gt;=40,3,IF(O1289&gt;=28,2,1)))))</f>
        <v/>
      </c>
      <c r="Q1289" t="n">
        <v>4930</v>
      </c>
      <c r="R1289" t="n">
        <v>960</v>
      </c>
      <c r="S1289" s="27">
        <f>R1289/Q1289</f>
        <v/>
      </c>
      <c r="T1289" t="inlineStr">
        <is>
          <t>益田市は2045年までに人口が約25.9%減と明確な減少トレンド。高齢化の進行と世帯数の縮小により、中長期では賃貸需要の構造的縮小に警戒が必要。</t>
        </is>
      </c>
      <c r="U1289" t="inlineStr">
        <is>
          <t>益田市は人口密度57人/km²と過疎的水準で、民間賃貸の新規需要は薄い。実需に裏付けられた格安戸建ての指値取得のみが現実的。 借家の空室率は約19%とやや高めで、競合との差別化が必要。</t>
        </is>
      </c>
      <c r="V1289" t="inlineStr">
        <is>
          <t>益田市（島根県）：斐伊川・江の川の氾濫、日本海沿岸の津波、豪雪、石見の土砂災害に留意。</t>
        </is>
      </c>
    </row>
    <row r="1290">
      <c r="A1290" t="inlineStr">
        <is>
          <t>島根県</t>
        </is>
      </c>
      <c r="B1290" t="inlineStr">
        <is>
          <t>大田市</t>
        </is>
      </c>
      <c r="C1290" t="n">
        <v>13340</v>
      </c>
      <c r="D1290" t="n">
        <v>30362</v>
      </c>
      <c r="E1290" s="6" t="n">
        <v>68.5</v>
      </c>
      <c r="F1290" s="7" t="n">
        <v>16.9</v>
      </c>
      <c r="G1290" t="n">
        <v>32846</v>
      </c>
      <c r="H1290" t="n">
        <v>30362</v>
      </c>
      <c r="I1290" t="n">
        <v>27977</v>
      </c>
      <c r="J1290" t="n">
        <v>21543</v>
      </c>
      <c r="K1290" s="27">
        <f>(H1290/D1290-1)</f>
        <v/>
      </c>
      <c r="L1290" s="27">
        <f>(I1290/D1290-1)</f>
        <v/>
      </c>
      <c r="M1290" s="27">
        <f>(J1290/D1290-1)</f>
        <v/>
      </c>
      <c r="N1290" t="n">
        <v>43.2</v>
      </c>
      <c r="O1290" s="28">
        <f>(N1290+F1290)/2</f>
        <v/>
      </c>
      <c r="P1290">
        <f>IF(O1290="計算不能","計算不能",IF(O1290&gt;=80,5,IF(O1290&gt;=60,4,IF(O1290&gt;=40,3,IF(O1290&gt;=28,2,1)))))</f>
        <v/>
      </c>
      <c r="Q1290" t="n">
        <v>3627</v>
      </c>
      <c r="R1290" t="n">
        <v>510</v>
      </c>
      <c r="S1290" s="27">
        <f>R1290/Q1290</f>
        <v/>
      </c>
      <c r="T1290" t="inlineStr">
        <is>
          <t>大田市は2045年までに人口が約29.0%減と明確な減少トレンド。高齢化の進行と世帯数の縮小により、中長期では賃貸需要の構造的縮小に警戒が必要。</t>
        </is>
      </c>
      <c r="U1290" t="inlineStr">
        <is>
          <t>大田市は人口密度68人/km²と過疎的水準で、民間賃貸の新規需要は薄い。実需に裏付けられた格安戸建ての指値取得のみが現実的。 借家の空室率は約14%と需給は比較的引き締まっている。</t>
        </is>
      </c>
      <c r="V1290" t="inlineStr">
        <is>
          <t>大田市（島根県）：斐伊川・江の川の氾濫、日本海沿岸の津波、豪雪、石見の土砂災害に留意。</t>
        </is>
      </c>
    </row>
    <row r="1291">
      <c r="A1291" t="inlineStr">
        <is>
          <t>島根県</t>
        </is>
      </c>
      <c r="B1291" t="inlineStr">
        <is>
          <t>安来市</t>
        </is>
      </c>
      <c r="C1291" t="n">
        <v>12870</v>
      </c>
      <c r="D1291" t="n">
        <v>33885</v>
      </c>
      <c r="E1291" s="6" t="n">
        <v>79.7</v>
      </c>
      <c r="F1291" s="7" t="n">
        <v>18</v>
      </c>
      <c r="G1291" t="n">
        <v>37062</v>
      </c>
      <c r="H1291" t="n">
        <v>33885</v>
      </c>
      <c r="I1291" t="n">
        <v>31364</v>
      </c>
      <c r="J1291" t="n">
        <v>24325</v>
      </c>
      <c r="K1291" s="27">
        <f>(H1291/D1291-1)</f>
        <v/>
      </c>
      <c r="L1291" s="27">
        <f>(I1291/D1291-1)</f>
        <v/>
      </c>
      <c r="M1291" s="27">
        <f>(J1291/D1291-1)</f>
        <v/>
      </c>
      <c r="N1291" t="n">
        <v>42.6</v>
      </c>
      <c r="O1291" s="28">
        <f>(N1291+F1291)/2</f>
        <v/>
      </c>
      <c r="P1291">
        <f>IF(O1291="計算不能","計算不能",IF(O1291&gt;=80,5,IF(O1291&gt;=60,4,IF(O1291&gt;=40,3,IF(O1291&gt;=28,2,1)))))</f>
        <v/>
      </c>
      <c r="Q1291" t="n">
        <v>3500</v>
      </c>
      <c r="R1291" t="n">
        <v>650</v>
      </c>
      <c r="S1291" s="27">
        <f>R1291/Q1291</f>
        <v/>
      </c>
      <c r="T1291" t="inlineStr">
        <is>
          <t>安来市は2045年までに人口が約28.2%減と明確な減少トレンド。高齢化の進行と世帯数の縮小により、中長期では賃貸需要の構造的縮小に警戒が必要。</t>
        </is>
      </c>
      <c r="U1291" t="inlineStr">
        <is>
          <t>安来市は人口密度80人/km²と過疎的水準で、民間賃貸の新規需要は薄い。実需に裏付けられた格安戸建ての指値取得のみが現実的。 借家の空室率は約19%とやや高めで、競合との差別化が必要。</t>
        </is>
      </c>
      <c r="V1291" t="inlineStr">
        <is>
          <t>安来市（島根県）：斐伊川・江の川の氾濫、日本海沿岸の津波、豪雪、石見の土砂災害に留意。</t>
        </is>
      </c>
    </row>
    <row r="1292">
      <c r="A1292" t="inlineStr">
        <is>
          <t>島根県</t>
        </is>
      </c>
      <c r="B1292" t="inlineStr">
        <is>
          <t>江津市</t>
        </is>
      </c>
      <c r="C1292" t="n">
        <v>9240</v>
      </c>
      <c r="D1292" t="n">
        <v>21035</v>
      </c>
      <c r="E1292" s="6" t="n">
        <v>76.09999999999999</v>
      </c>
      <c r="F1292" s="7" t="n">
        <v>17.6</v>
      </c>
      <c r="G1292" t="n">
        <v>22959</v>
      </c>
      <c r="H1292" t="n">
        <v>21035</v>
      </c>
      <c r="I1292" t="n">
        <v>19369</v>
      </c>
      <c r="J1292" t="n">
        <v>15025</v>
      </c>
      <c r="K1292" s="27">
        <f>(H1292/D1292-1)</f>
        <v/>
      </c>
      <c r="L1292" s="27">
        <f>(I1292/D1292-1)</f>
        <v/>
      </c>
      <c r="M1292" s="27">
        <f>(J1292/D1292-1)</f>
        <v/>
      </c>
      <c r="N1292" t="n">
        <v>42.5</v>
      </c>
      <c r="O1292" s="28">
        <f>(N1292+F1292)/2</f>
        <v/>
      </c>
      <c r="P1292">
        <f>IF(O1292="計算不能","計算不能",IF(O1292&gt;=80,5,IF(O1292&gt;=60,4,IF(O1292&gt;=40,3,IF(O1292&gt;=28,2,1)))))</f>
        <v/>
      </c>
      <c r="Q1292" t="n">
        <v>2512</v>
      </c>
      <c r="R1292" t="n">
        <v>480</v>
      </c>
      <c r="S1292" s="27">
        <f>R1292/Q1292</f>
        <v/>
      </c>
      <c r="T1292" t="inlineStr">
        <is>
          <t>江津市は2045年までに人口が約28.6%減と明確な減少トレンド。高齢化の進行と世帯数の縮小により、中長期では賃貸需要の構造的縮小に警戒が必要。</t>
        </is>
      </c>
      <c r="U1292" t="inlineStr">
        <is>
          <t>江津市は人口密度76人/km²と過疎的水準で、民間賃貸の新規需要は薄い。実需に裏付けられた格安戸建ての指値取得のみが現実的。 借家の空室率は約19%とやや高めで、競合との差別化が必要。</t>
        </is>
      </c>
      <c r="V1292" t="inlineStr">
        <is>
          <t>江津市（島根県）：斐伊川・江の川の氾濫、日本海沿岸の津波、豪雪、石見の土砂災害に留意。</t>
        </is>
      </c>
    </row>
    <row r="1293">
      <c r="A1293" t="inlineStr">
        <is>
          <t>島根県</t>
        </is>
      </c>
      <c r="B1293" t="inlineStr">
        <is>
          <t>雲南市</t>
        </is>
      </c>
      <c r="C1293" t="n">
        <v>12350</v>
      </c>
      <c r="D1293" t="n">
        <v>32591</v>
      </c>
      <c r="E1293" s="6" t="n">
        <v>59.2</v>
      </c>
      <c r="F1293" s="7" t="n">
        <v>15.9</v>
      </c>
      <c r="G1293" t="n">
        <v>36007</v>
      </c>
      <c r="H1293" t="n">
        <v>32591</v>
      </c>
      <c r="I1293" t="n">
        <v>29707</v>
      </c>
      <c r="J1293" t="n">
        <v>22229</v>
      </c>
      <c r="K1293" s="27">
        <f>(H1293/D1293-1)</f>
        <v/>
      </c>
      <c r="L1293" s="27">
        <f>(I1293/D1293-1)</f>
        <v/>
      </c>
      <c r="M1293" s="27">
        <f>(J1293/D1293-1)</f>
        <v/>
      </c>
      <c r="N1293" t="n">
        <v>40.5</v>
      </c>
      <c r="O1293" s="28">
        <f>(N1293+F1293)/2</f>
        <v/>
      </c>
      <c r="P1293">
        <f>IF(O1293="計算不能","計算不能",IF(O1293&gt;=80,5,IF(O1293&gt;=60,4,IF(O1293&gt;=40,3,IF(O1293&gt;=28,2,1)))))</f>
        <v/>
      </c>
      <c r="Q1293" t="n">
        <v>3358</v>
      </c>
      <c r="R1293" t="n">
        <v>360</v>
      </c>
      <c r="S1293" s="27">
        <f>R1293/Q1293</f>
        <v/>
      </c>
      <c r="T1293" t="inlineStr">
        <is>
          <t>雲南市は2045年までに人口が約31.8%減と急激な過疎・超高齢化が進行。若年労働世代の流出と自然減が重なり、賃貸事業としての持続性は極めて限定的。</t>
        </is>
      </c>
      <c r="U1293" t="inlineStr">
        <is>
          <t>雲南市は人口密度59人/km²と過疎的水準で、民間賃貸の新規需要は薄い。実需に裏付けられた格安戸建ての指値取得のみが現実的。 借家の空室率は約11%と需給は比較的引き締まっている。</t>
        </is>
      </c>
      <c r="V1293" t="inlineStr">
        <is>
          <t>雲南市（島根県）：斐伊川・江の川の氾濫、日本海沿岸の津波、豪雪、石見の土砂災害に留意。</t>
        </is>
      </c>
    </row>
    <row r="1294">
      <c r="A1294" t="inlineStr">
        <is>
          <t>島根県</t>
        </is>
      </c>
      <c r="B1294" t="inlineStr">
        <is>
          <t>奥出雲町</t>
        </is>
      </c>
      <c r="C1294" t="n">
        <v>4658</v>
      </c>
      <c r="D1294" t="n">
        <v>10593</v>
      </c>
      <c r="E1294" s="6" t="n">
        <v>28.1</v>
      </c>
      <c r="F1294" s="7" t="n">
        <v>12.8</v>
      </c>
      <c r="G1294" t="n">
        <v>11849</v>
      </c>
      <c r="H1294" t="n">
        <v>10593</v>
      </c>
      <c r="I1294" t="n">
        <v>9443</v>
      </c>
      <c r="J1294" t="n">
        <v>6557</v>
      </c>
      <c r="K1294" s="27">
        <f>(H1294/D1294-1)</f>
        <v/>
      </c>
      <c r="L1294" s="27">
        <f>(I1294/D1294-1)</f>
        <v/>
      </c>
      <c r="M1294" s="27">
        <f>(J1294/D1294-1)</f>
        <v/>
      </c>
      <c r="N1294" t="n">
        <v>37.5</v>
      </c>
      <c r="O1294" s="28">
        <f>(N1294+F1294)/2</f>
        <v/>
      </c>
      <c r="P1294">
        <f>IF(O1294="計算不能","計算不能",IF(O1294&gt;=80,5,IF(O1294&gt;=60,4,IF(O1294&gt;=40,3,IF(O1294&gt;=28,2,1)))))</f>
        <v/>
      </c>
      <c r="Q1294" t="n">
        <v>1266</v>
      </c>
      <c r="R1294" t="n">
        <v>0</v>
      </c>
      <c r="S1294" s="27">
        <f>R1294/Q1294</f>
        <v/>
      </c>
      <c r="T1294" t="inlineStr">
        <is>
          <t>奥出雲町は2045年までに人口が約38.1%減と急激な過疎・超高齢化が進行。若年労働世代の流出と自然減が重なり、賃貸事業としての持続性は極めて限定的。</t>
        </is>
      </c>
      <c r="U1294" t="inlineStr">
        <is>
          <t>奥出雲町は人口密度28人/km²と過疎的水準で、民間賃貸の新規需要は薄い。実需に裏付けられた格安戸建ての指値取得のみが現実的。 借家の空室率は約0%と需給は比較的引き締まっている。</t>
        </is>
      </c>
      <c r="V1294" t="inlineStr">
        <is>
          <t>奥出雲町（島根県）：斐伊川・江の川の氾濫、日本海沿岸の津波、豪雪、石見の土砂災害に留意。</t>
        </is>
      </c>
    </row>
    <row r="1295">
      <c r="A1295" t="inlineStr">
        <is>
          <t>島根県</t>
        </is>
      </c>
      <c r="B1295" t="inlineStr">
        <is>
          <t>飯南町</t>
        </is>
      </c>
      <c r="C1295" t="n">
        <v>1986</v>
      </c>
      <c r="D1295" t="n">
        <v>4166</v>
      </c>
      <c r="E1295" s="6" t="n">
        <v>17</v>
      </c>
      <c r="F1295" s="7" t="n">
        <v>11.7</v>
      </c>
      <c r="G1295" t="n">
        <v>4577</v>
      </c>
      <c r="H1295" t="n">
        <v>4166</v>
      </c>
      <c r="I1295" t="n">
        <v>3791</v>
      </c>
      <c r="J1295" t="n">
        <v>2855</v>
      </c>
      <c r="K1295" s="27">
        <f>(H1295/D1295-1)</f>
        <v/>
      </c>
      <c r="L1295" s="27">
        <f>(I1295/D1295-1)</f>
        <v/>
      </c>
      <c r="M1295" s="27">
        <f>(J1295/D1295-1)</f>
        <v/>
      </c>
      <c r="N1295" t="n">
        <v>41</v>
      </c>
      <c r="O1295" s="28">
        <f>(N1295+F1295)/2</f>
        <v/>
      </c>
      <c r="P1295">
        <f>IF(O1295="計算不能","計算不能",IF(O1295&gt;=80,5,IF(O1295&gt;=60,4,IF(O1295&gt;=40,3,IF(O1295&gt;=28,2,1)))))</f>
        <v/>
      </c>
      <c r="Q1295" t="n">
        <v>540</v>
      </c>
      <c r="R1295" t="n">
        <v>0</v>
      </c>
      <c r="S1295" s="27">
        <f>R1295/Q1295</f>
        <v/>
      </c>
      <c r="T1295" t="inlineStr">
        <is>
          <t>飯南町は2045年までに人口が約31.5%減と急激な過疎・超高齢化が進行。若年労働世代の流出と自然減が重なり、賃貸事業としての持続性は極めて限定的。</t>
        </is>
      </c>
      <c r="U1295" t="inlineStr">
        <is>
          <t>飯南町は人口密度17人/km²と過疎的水準で、民間賃貸の新規需要は薄い。実需に裏付けられた格安戸建ての指値取得のみが現実的。 借家の空室率は約0%と需給は比較的引き締まっている。</t>
        </is>
      </c>
      <c r="V1295" t="inlineStr">
        <is>
          <t>飯南町（島根県）：斐伊川・江の川の氾濫、日本海沿岸の津波、豪雪、石見の土砂災害に留意。</t>
        </is>
      </c>
    </row>
    <row r="1296">
      <c r="A1296" t="inlineStr">
        <is>
          <t>島根県</t>
        </is>
      </c>
      <c r="B1296" t="inlineStr">
        <is>
          <t>川本町</t>
        </is>
      </c>
      <c r="C1296" t="n">
        <v>1595</v>
      </c>
      <c r="D1296" t="n">
        <v>2908</v>
      </c>
      <c r="E1296" s="6" t="n">
        <v>27.7</v>
      </c>
      <c r="F1296" s="7" t="n">
        <v>12.8</v>
      </c>
      <c r="G1296" t="n">
        <v>3248</v>
      </c>
      <c r="H1296" t="n">
        <v>2908</v>
      </c>
      <c r="I1296" t="n">
        <v>2667</v>
      </c>
      <c r="J1296" t="n">
        <v>2070</v>
      </c>
      <c r="K1296" s="27">
        <f>(H1296/D1296-1)</f>
        <v/>
      </c>
      <c r="L1296" s="27">
        <f>(I1296/D1296-1)</f>
        <v/>
      </c>
      <c r="M1296" s="27">
        <f>(J1296/D1296-1)</f>
        <v/>
      </c>
      <c r="N1296" t="n">
        <v>40.5</v>
      </c>
      <c r="O1296" s="28">
        <f>(N1296+F1296)/2</f>
        <v/>
      </c>
      <c r="P1296">
        <f>IF(O1296="計算不能","計算不能",IF(O1296&gt;=80,5,IF(O1296&gt;=60,4,IF(O1296&gt;=40,3,IF(O1296&gt;=28,2,1)))))</f>
        <v/>
      </c>
      <c r="Q1296" t="n">
        <v>433</v>
      </c>
      <c r="R1296" t="n">
        <v>0</v>
      </c>
      <c r="S1296" s="27">
        <f>R1296/Q1296</f>
        <v/>
      </c>
      <c r="T1296" t="inlineStr">
        <is>
          <t>川本町は2045年までに人口が約28.8%減と明確な減少トレンド。高齢化の進行と世帯数の縮小により、中長期では賃貸需要の構造的縮小に警戒が必要。</t>
        </is>
      </c>
      <c r="U1296" t="inlineStr">
        <is>
          <t>川本町は人口密度28人/km²と過疎的水準で、民間賃貸の新規需要は薄い。実需に裏付けられた格安戸建ての指値取得のみが現実的。 借家の空室率は約0%と需給は比較的引き締まっている。</t>
        </is>
      </c>
      <c r="V1296" t="inlineStr">
        <is>
          <t>川本町（島根県）：斐伊川・江の川の氾濫、日本海沿岸の津波、豪雪、石見の土砂災害に留意。</t>
        </is>
      </c>
    </row>
    <row r="1297">
      <c r="A1297" t="inlineStr">
        <is>
          <t>島根県</t>
        </is>
      </c>
      <c r="B1297" t="inlineStr">
        <is>
          <t>美郷町</t>
        </is>
      </c>
      <c r="C1297" t="n">
        <v>2393</v>
      </c>
      <c r="D1297" t="n">
        <v>3854</v>
      </c>
      <c r="E1297" s="6" t="n">
        <v>9.1</v>
      </c>
      <c r="F1297" s="7" t="n">
        <v>10.9</v>
      </c>
      <c r="G1297" t="n">
        <v>4355</v>
      </c>
      <c r="H1297" t="n">
        <v>3854</v>
      </c>
      <c r="I1297" t="n">
        <v>3430</v>
      </c>
      <c r="J1297" t="n">
        <v>2506</v>
      </c>
      <c r="K1297" s="27">
        <f>(H1297/D1297-1)</f>
        <v/>
      </c>
      <c r="L1297" s="27">
        <f>(I1297/D1297-1)</f>
        <v/>
      </c>
      <c r="M1297" s="27">
        <f>(J1297/D1297-1)</f>
        <v/>
      </c>
      <c r="N1297" t="n">
        <v>37.4</v>
      </c>
      <c r="O1297" s="28">
        <f>(N1297+F1297)/2</f>
        <v/>
      </c>
      <c r="P1297">
        <f>IF(O1297="計算不能","計算不能",IF(O1297&gt;=80,5,IF(O1297&gt;=60,4,IF(O1297&gt;=40,3,IF(O1297&gt;=28,2,1)))))</f>
        <v/>
      </c>
      <c r="Q1297" t="n">
        <v>650</v>
      </c>
      <c r="R1297" t="n">
        <v>0</v>
      </c>
      <c r="S1297" s="27">
        <f>R1297/Q1297</f>
        <v/>
      </c>
      <c r="T1297" t="inlineStr">
        <is>
          <t>美郷町は2045年までに人口が約35.0%減と急激な過疎・超高齢化が進行。若年労働世代の流出と自然減が重なり、賃貸事業としての持続性は極めて限定的。</t>
        </is>
      </c>
      <c r="U1297" t="inlineStr">
        <is>
          <t>美郷町は人口密度9人/km²と過疎的水準で、民間賃貸の新規需要は薄い。実需に裏付けられた格安戸建ての指値取得のみが現実的。 借家の空室率は約0%と需給は比較的引き締まっている。</t>
        </is>
      </c>
      <c r="V1297" t="inlineStr">
        <is>
          <t>美郷町（島根県）：斐伊川・江の川の氾濫、日本海沿岸の津波、豪雪、石見の土砂災害に留意。</t>
        </is>
      </c>
    </row>
    <row r="1298">
      <c r="A1298" t="inlineStr">
        <is>
          <t>島根県</t>
        </is>
      </c>
      <c r="B1298" t="inlineStr">
        <is>
          <t>邑南町</t>
        </is>
      </c>
      <c r="C1298" t="n">
        <v>4605</v>
      </c>
      <c r="D1298" t="n">
        <v>9259</v>
      </c>
      <c r="E1298" s="6" t="n">
        <v>21.8</v>
      </c>
      <c r="F1298" s="7" t="n">
        <v>12.2</v>
      </c>
      <c r="G1298" t="n">
        <v>10163</v>
      </c>
      <c r="H1298" t="n">
        <v>9259</v>
      </c>
      <c r="I1298" t="n">
        <v>8479</v>
      </c>
      <c r="J1298" t="n">
        <v>6593</v>
      </c>
      <c r="K1298" s="27">
        <f>(H1298/D1298-1)</f>
        <v/>
      </c>
      <c r="L1298" s="27">
        <f>(I1298/D1298-1)</f>
        <v/>
      </c>
      <c r="M1298" s="27">
        <f>(J1298/D1298-1)</f>
        <v/>
      </c>
      <c r="N1298" t="n">
        <v>41.9</v>
      </c>
      <c r="O1298" s="28">
        <f>(N1298+F1298)/2</f>
        <v/>
      </c>
      <c r="P1298">
        <f>IF(O1298="計算不能","計算不能",IF(O1298&gt;=80,5,IF(O1298&gt;=60,4,IF(O1298&gt;=40,3,IF(O1298&gt;=28,2,1)))))</f>
        <v/>
      </c>
      <c r="Q1298" t="n">
        <v>1252</v>
      </c>
      <c r="R1298" t="n">
        <v>0</v>
      </c>
      <c r="S1298" s="27">
        <f>R1298/Q1298</f>
        <v/>
      </c>
      <c r="T1298" t="inlineStr">
        <is>
          <t>邑南町は2045年までに人口が約28.8%減と明確な減少トレンド。高齢化の進行と世帯数の縮小により、中長期では賃貸需要の構造的縮小に警戒が必要。</t>
        </is>
      </c>
      <c r="U1298" t="inlineStr">
        <is>
          <t>邑南町は人口密度22人/km²と過疎的水準で、民間賃貸の新規需要は薄い。実需に裏付けられた格安戸建ての指値取得のみが現実的。 借家の空室率は約0%と需給は比較的引き締まっている。</t>
        </is>
      </c>
      <c r="V1298" t="inlineStr">
        <is>
          <t>邑南町（島根県）：斐伊川・江の川の氾濫、日本海沿岸の津波、豪雪、石見の土砂災害に留意。</t>
        </is>
      </c>
    </row>
    <row r="1299">
      <c r="A1299" t="inlineStr">
        <is>
          <t>島根県</t>
        </is>
      </c>
      <c r="B1299" t="inlineStr">
        <is>
          <t>津和野町</t>
        </is>
      </c>
      <c r="C1299" t="n">
        <v>3245</v>
      </c>
      <c r="D1299" t="n">
        <v>6101</v>
      </c>
      <c r="E1299" s="6" t="n">
        <v>19.9</v>
      </c>
      <c r="F1299" s="7" t="n">
        <v>12</v>
      </c>
      <c r="G1299" t="n">
        <v>6875</v>
      </c>
      <c r="H1299" t="n">
        <v>6101</v>
      </c>
      <c r="I1299" t="n">
        <v>5396</v>
      </c>
      <c r="J1299" t="n">
        <v>3665</v>
      </c>
      <c r="K1299" s="27">
        <f>(H1299/D1299-1)</f>
        <v/>
      </c>
      <c r="L1299" s="27">
        <f>(I1299/D1299-1)</f>
        <v/>
      </c>
      <c r="M1299" s="27">
        <f>(J1299/D1299-1)</f>
        <v/>
      </c>
      <c r="N1299" t="n">
        <v>36.3</v>
      </c>
      <c r="O1299" s="28">
        <f>(N1299+F1299)/2</f>
        <v/>
      </c>
      <c r="P1299">
        <f>IF(O1299="計算不能","計算不能",IF(O1299&gt;=80,5,IF(O1299&gt;=60,4,IF(O1299&gt;=40,3,IF(O1299&gt;=28,2,1)))))</f>
        <v/>
      </c>
      <c r="Q1299" t="n">
        <v>882</v>
      </c>
      <c r="R1299" t="n">
        <v>0</v>
      </c>
      <c r="S1299" s="27">
        <f>R1299/Q1299</f>
        <v/>
      </c>
      <c r="T1299" t="inlineStr">
        <is>
          <t>津和野町は2045年までに人口が約39.9%減と急激な過疎・超高齢化が進行。若年労働世代の流出と自然減が重なり、賃貸事業としての持続性は極めて限定的。</t>
        </is>
      </c>
      <c r="U1299" t="inlineStr">
        <is>
          <t>津和野町は人口密度20人/km²と過疎的水準で、民間賃貸の新規需要は薄い。実需に裏付けられた格安戸建ての指値取得のみが現実的。 借家の空室率は約0%と需給は比較的引き締まっている。</t>
        </is>
      </c>
      <c r="V1299" t="inlineStr">
        <is>
          <t>津和野町（島根県）：斐伊川・江の川の氾濫、日本海沿岸の津波、豪雪、石見の土砂災害に留意。</t>
        </is>
      </c>
    </row>
    <row r="1300">
      <c r="A1300" t="inlineStr">
        <is>
          <t>島根県</t>
        </is>
      </c>
      <c r="B1300" t="inlineStr">
        <is>
          <t>吉賀町</t>
        </is>
      </c>
      <c r="C1300" t="n">
        <v>2955</v>
      </c>
      <c r="D1300" t="n">
        <v>5657</v>
      </c>
      <c r="E1300" s="6" t="n">
        <v>15.8</v>
      </c>
      <c r="F1300" s="7" t="n">
        <v>11.6</v>
      </c>
      <c r="G1300" t="n">
        <v>6077</v>
      </c>
      <c r="H1300" t="n">
        <v>5657</v>
      </c>
      <c r="I1300" t="n">
        <v>5280</v>
      </c>
      <c r="J1300" t="n">
        <v>4204</v>
      </c>
      <c r="K1300" s="27">
        <f>(H1300/D1300-1)</f>
        <v/>
      </c>
      <c r="L1300" s="27">
        <f>(I1300/D1300-1)</f>
        <v/>
      </c>
      <c r="M1300" s="27">
        <f>(J1300/D1300-1)</f>
        <v/>
      </c>
      <c r="N1300" t="n">
        <v>44.9</v>
      </c>
      <c r="O1300" s="28">
        <f>(N1300+F1300)/2</f>
        <v/>
      </c>
      <c r="P1300">
        <f>IF(O1300="計算不能","計算不能",IF(O1300&gt;=80,5,IF(O1300&gt;=60,4,IF(O1300&gt;=40,3,IF(O1300&gt;=28,2,1)))))</f>
        <v/>
      </c>
      <c r="Q1300" t="n">
        <v>803</v>
      </c>
      <c r="R1300" t="n">
        <v>0</v>
      </c>
      <c r="S1300" s="27">
        <f>R1300/Q1300</f>
        <v/>
      </c>
      <c r="T1300" t="inlineStr">
        <is>
          <t>吉賀町は2045年までに人口が約25.7%減と明確な減少トレンド。高齢化の進行と世帯数の縮小により、中長期では賃貸需要の構造的縮小に警戒が必要。</t>
        </is>
      </c>
      <c r="U1300" t="inlineStr">
        <is>
          <t>吉賀町は人口密度16人/km²と過疎的水準で、民間賃貸の新規需要は薄い。実需に裏付けられた格安戸建ての指値取得のみが現実的。 借家の空室率は約0%と需給は比較的引き締まっている。</t>
        </is>
      </c>
      <c r="V1300" t="inlineStr">
        <is>
          <t>吉賀町（島根県）：斐伊川・江の川の氾濫、日本海沿岸の津波、豪雪、石見の土砂災害に留意。</t>
        </is>
      </c>
    </row>
    <row r="1301">
      <c r="A1301" t="inlineStr">
        <is>
          <t>島根県</t>
        </is>
      </c>
      <c r="B1301" t="inlineStr">
        <is>
          <t>海士町</t>
        </is>
      </c>
      <c r="C1301" t="n">
        <v>1280</v>
      </c>
      <c r="D1301" t="n">
        <v>2107</v>
      </c>
      <c r="E1301" s="6" t="n">
        <v>70.2</v>
      </c>
      <c r="F1301" s="7" t="n">
        <v>17</v>
      </c>
      <c r="G1301" t="n">
        <v>2267</v>
      </c>
      <c r="H1301" t="n">
        <v>2107</v>
      </c>
      <c r="I1301" t="n">
        <v>1972</v>
      </c>
      <c r="J1301" t="n">
        <v>1680</v>
      </c>
      <c r="K1301" s="27">
        <f>(H1301/D1301-1)</f>
        <v/>
      </c>
      <c r="L1301" s="27">
        <f>(I1301/D1301-1)</f>
        <v/>
      </c>
      <c r="M1301" s="27">
        <f>(J1301/D1301-1)</f>
        <v/>
      </c>
      <c r="N1301" t="n">
        <v>47.3</v>
      </c>
      <c r="O1301" s="28">
        <f>(N1301+F1301)/2</f>
        <v/>
      </c>
      <c r="P1301">
        <f>IF(O1301="計算不能","計算不能",IF(O1301&gt;=80,5,IF(O1301&gt;=60,4,IF(O1301&gt;=40,3,IF(O1301&gt;=28,2,1)))))</f>
        <v/>
      </c>
      <c r="Q1301" t="n">
        <v>348</v>
      </c>
      <c r="R1301" t="n">
        <v>0</v>
      </c>
      <c r="S1301" s="27">
        <f>R1301/Q1301</f>
        <v/>
      </c>
      <c r="T1301" t="inlineStr">
        <is>
          <t>海士町は2045年までに人口が約20.3%減と明確な減少トレンド。高齢化の進行と世帯数の縮小により、中長期では賃貸需要の構造的縮小に警戒が必要。</t>
        </is>
      </c>
      <c r="U1301" t="inlineStr">
        <is>
          <t>海士町は人口密度70人/km²と過疎的水準で、民間賃貸の新規需要は薄い。実需に裏付けられた格安戸建ての指値取得のみが現実的。 借家の空室率は約0%と需給は比較的引き締まっている。</t>
        </is>
      </c>
      <c r="V1301" t="inlineStr">
        <is>
          <t>海士町（島根県）：斐伊川・江の川の氾濫、日本海沿岸の津波、豪雪、石見の土砂災害に留意。</t>
        </is>
      </c>
    </row>
    <row r="1302">
      <c r="A1302" t="inlineStr">
        <is>
          <t>島根県</t>
        </is>
      </c>
      <c r="B1302" t="inlineStr">
        <is>
          <t>西ノ島町</t>
        </is>
      </c>
      <c r="C1302" t="n">
        <v>1480</v>
      </c>
      <c r="D1302" t="n">
        <v>2563</v>
      </c>
      <c r="E1302" s="6" t="n">
        <v>42.9</v>
      </c>
      <c r="F1302" s="7" t="n">
        <v>14.3</v>
      </c>
      <c r="G1302" t="n">
        <v>2788</v>
      </c>
      <c r="H1302" t="n">
        <v>2563</v>
      </c>
      <c r="I1302" t="n">
        <v>2371</v>
      </c>
      <c r="J1302" t="n">
        <v>1875</v>
      </c>
      <c r="K1302" s="27">
        <f>(H1302/D1302-1)</f>
        <v/>
      </c>
      <c r="L1302" s="27">
        <f>(I1302/D1302-1)</f>
        <v/>
      </c>
      <c r="M1302" s="27">
        <f>(J1302/D1302-1)</f>
        <v/>
      </c>
      <c r="N1302" t="n">
        <v>43.4</v>
      </c>
      <c r="O1302" s="28">
        <f>(N1302+F1302)/2</f>
        <v/>
      </c>
      <c r="P1302">
        <f>IF(O1302="計算不能","計算不能",IF(O1302&gt;=80,5,IF(O1302&gt;=60,4,IF(O1302&gt;=40,3,IF(O1302&gt;=28,2,1)))))</f>
        <v/>
      </c>
      <c r="Q1302" t="n">
        <v>402</v>
      </c>
      <c r="R1302" t="n">
        <v>0</v>
      </c>
      <c r="S1302" s="27">
        <f>R1302/Q1302</f>
        <v/>
      </c>
      <c r="T1302" t="inlineStr">
        <is>
          <t>西ノ島町は2045年までに人口が約26.8%減と明確な減少トレンド。高齢化の進行と世帯数の縮小により、中長期では賃貸需要の構造的縮小に警戒が必要。</t>
        </is>
      </c>
      <c r="U1302" t="inlineStr">
        <is>
          <t>西ノ島町は人口密度43人/km²と過疎的水準で、民間賃貸の新規需要は薄い。実需に裏付けられた格安戸建ての指値取得のみが現実的。 借家の空室率は約0%と需給は比較的引き締まっている。</t>
        </is>
      </c>
      <c r="V1302" t="inlineStr">
        <is>
          <t>西ノ島町（島根県）：斐伊川・江の川の氾濫、日本海沿岸の津波、豪雪、石見の土砂災害に留意。</t>
        </is>
      </c>
    </row>
    <row r="1303">
      <c r="A1303" t="inlineStr">
        <is>
          <t>島根県</t>
        </is>
      </c>
      <c r="B1303" t="inlineStr">
        <is>
          <t>知夫村</t>
        </is>
      </c>
      <c r="C1303" t="n">
        <v>351</v>
      </c>
      <c r="D1303" t="n">
        <v>584</v>
      </c>
      <c r="E1303" s="6" t="n">
        <v>42</v>
      </c>
      <c r="F1303" s="7" t="n">
        <v>14.2</v>
      </c>
      <c r="G1303" t="n">
        <v>634</v>
      </c>
      <c r="H1303" t="n">
        <v>584</v>
      </c>
      <c r="I1303" t="n">
        <v>547</v>
      </c>
      <c r="J1303" t="n">
        <v>475</v>
      </c>
      <c r="K1303" s="27">
        <f>(H1303/D1303-1)</f>
        <v/>
      </c>
      <c r="L1303" s="27">
        <f>(I1303/D1303-1)</f>
        <v/>
      </c>
      <c r="M1303" s="27">
        <f>(J1303/D1303-1)</f>
        <v/>
      </c>
      <c r="N1303" t="n">
        <v>46.5</v>
      </c>
      <c r="O1303" s="28">
        <f>(N1303+F1303)/2</f>
        <v/>
      </c>
      <c r="P1303">
        <f>IF(O1303="計算不能","計算不能",IF(O1303&gt;=80,5,IF(O1303&gt;=60,4,IF(O1303&gt;=40,3,IF(O1303&gt;=28,2,1)))))</f>
        <v/>
      </c>
      <c r="Q1303" t="n">
        <v>95</v>
      </c>
      <c r="R1303" t="n">
        <v>0</v>
      </c>
      <c r="S1303" s="27">
        <f>R1303/Q1303</f>
        <v/>
      </c>
      <c r="T1303" t="inlineStr">
        <is>
          <t>知夫村は2045年までに人口が約18.7%減と明確な減少トレンド。高齢化の進行と世帯数の縮小により、中長期では賃貸需要の構造的縮小に警戒が必要。</t>
        </is>
      </c>
      <c r="U1303" t="inlineStr">
        <is>
          <t>知夫村は人口密度42人/km²と過疎的水準で、民間賃貸の新規需要は薄い。実需に裏付けられた格安戸建ての指値取得のみが現実的。 借家の空室率は約0%と需給は比較的引き締まっている。</t>
        </is>
      </c>
      <c r="V1303" t="inlineStr">
        <is>
          <t>知夫村（島根県）：斐伊川・江の川の氾濫、日本海沿岸の津波、豪雪、石見の土砂災害に留意。</t>
        </is>
      </c>
    </row>
    <row r="1304">
      <c r="A1304" t="inlineStr">
        <is>
          <t>島根県</t>
        </is>
      </c>
      <c r="B1304" t="inlineStr">
        <is>
          <t>隠岐の島町</t>
        </is>
      </c>
      <c r="C1304" t="n">
        <v>6870</v>
      </c>
      <c r="D1304" t="n">
        <v>12367</v>
      </c>
      <c r="E1304" s="6" t="n">
        <v>51</v>
      </c>
      <c r="F1304" s="7" t="n">
        <v>15.1</v>
      </c>
      <c r="G1304" t="n">
        <v>13433</v>
      </c>
      <c r="H1304" t="n">
        <v>12367</v>
      </c>
      <c r="I1304" t="n">
        <v>11303</v>
      </c>
      <c r="J1304" t="n">
        <v>8396</v>
      </c>
      <c r="K1304" s="27">
        <f>(H1304/D1304-1)</f>
        <v/>
      </c>
      <c r="L1304" s="27">
        <f>(I1304/D1304-1)</f>
        <v/>
      </c>
      <c r="M1304" s="27">
        <f>(J1304/D1304-1)</f>
        <v/>
      </c>
      <c r="N1304" t="n">
        <v>41.9</v>
      </c>
      <c r="O1304" s="28">
        <f>(N1304+F1304)/2</f>
        <v/>
      </c>
      <c r="P1304">
        <f>IF(O1304="計算不能","計算不能",IF(O1304&gt;=80,5,IF(O1304&gt;=60,4,IF(O1304&gt;=40,3,IF(O1304&gt;=28,2,1)))))</f>
        <v/>
      </c>
      <c r="Q1304" t="n">
        <v>1868</v>
      </c>
      <c r="R1304" t="n">
        <v>0</v>
      </c>
      <c r="S1304" s="27">
        <f>R1304/Q1304</f>
        <v/>
      </c>
      <c r="T1304" t="inlineStr">
        <is>
          <t>隠岐の島町は2045年までに人口が約32.1%減と急激な過疎・超高齢化が進行。若年労働世代の流出と自然減が重なり、賃貸事業としての持続性は極めて限定的。</t>
        </is>
      </c>
      <c r="U1304" t="inlineStr">
        <is>
          <t>隠岐の島町は人口密度51人/km²と過疎的水準で、民間賃貸の新規需要は薄い。実需に裏付けられた格安戸建ての指値取得のみが現実的。 借家の空室率は約0%と需給は比較的引き締まっている。</t>
        </is>
      </c>
      <c r="V1304" t="inlineStr">
        <is>
          <t>隠岐の島町（島根県）：斐伊川・江の川の氾濫、日本海沿岸の津波、豪雪、石見の土砂災害に留意。</t>
        </is>
      </c>
    </row>
    <row r="1305">
      <c r="A1305" t="inlineStr">
        <is>
          <t>岡山県</t>
        </is>
      </c>
      <c r="B1305" t="inlineStr">
        <is>
          <t>岡山市</t>
        </is>
      </c>
      <c r="C1305" t="n">
        <v>332000</v>
      </c>
      <c r="D1305" t="n">
        <v>718255</v>
      </c>
      <c r="E1305" s="6" t="n">
        <v>896.2</v>
      </c>
      <c r="F1305" s="7" t="n">
        <v>52.9</v>
      </c>
      <c r="G1305" t="n">
        <v>724691</v>
      </c>
      <c r="H1305" t="n">
        <v>718255</v>
      </c>
      <c r="I1305" t="n">
        <v>708576</v>
      </c>
      <c r="J1305" t="n">
        <v>662469</v>
      </c>
      <c r="K1305" s="27">
        <f>(H1305/D1305-1)</f>
        <v/>
      </c>
      <c r="L1305" s="27">
        <f>(I1305/D1305-1)</f>
        <v/>
      </c>
      <c r="M1305" s="27">
        <f>(J1305/D1305-1)</f>
        <v/>
      </c>
      <c r="N1305" t="n">
        <v>68.40000000000001</v>
      </c>
      <c r="O1305" s="28">
        <f>(N1305+F1305)/2</f>
        <v/>
      </c>
      <c r="P1305">
        <f>IF(O1305="計算不能","計算不能",IF(O1305&gt;=80,5,IF(O1305&gt;=60,4,IF(O1305&gt;=40,3,IF(O1305&gt;=28,2,1)))))</f>
        <v/>
      </c>
      <c r="Q1305" t="n">
        <v>132800</v>
      </c>
      <c r="R1305" t="n">
        <v>30800</v>
      </c>
      <c r="S1305" s="27">
        <f>R1305/Q1305</f>
        <v/>
      </c>
      <c r="T1305" t="inlineStr">
        <is>
          <t>岡山市は2045年までに人口が約7.8%減と緩やかな減少局面。若年層の都市部流出と高齢化が進むが、当面の賃貸稼働は一定程度維持される見通し。</t>
        </is>
      </c>
      <c r="U1305" t="inlineStr">
        <is>
          <t>岡山市は人口密度896人/km²で、主要道路沿いや中心市街地に一定の賃貸需要が局在。立地選別が稼働を左右する。 借家の空室率は約23%とやや高めで、競合との差別化が必要。</t>
        </is>
      </c>
      <c r="V1305" t="inlineStr">
        <is>
          <t>岡山市（岡山県）：高梁川・旭川・吉井川の氾濫（西日本豪雨の被災記憶）、瀬戸内の高潮に注意。</t>
        </is>
      </c>
    </row>
    <row r="1306">
      <c r="A1306" t="inlineStr">
        <is>
          <t>岡山県</t>
        </is>
      </c>
      <c r="B1306" t="inlineStr">
        <is>
          <t>倉敷市</t>
        </is>
      </c>
      <c r="C1306" t="n">
        <v>201900</v>
      </c>
      <c r="D1306" t="n">
        <v>468858</v>
      </c>
      <c r="E1306" s="6" t="n">
        <v>1297.9</v>
      </c>
      <c r="F1306" s="7" t="n">
        <v>61</v>
      </c>
      <c r="G1306" t="n">
        <v>474592</v>
      </c>
      <c r="H1306" t="n">
        <v>468858</v>
      </c>
      <c r="I1306" t="n">
        <v>459581</v>
      </c>
      <c r="J1306" t="n">
        <v>423029</v>
      </c>
      <c r="K1306" s="27">
        <f>(H1306/D1306-1)</f>
        <v/>
      </c>
      <c r="L1306" s="27">
        <f>(I1306/D1306-1)</f>
        <v/>
      </c>
      <c r="M1306" s="27">
        <f>(J1306/D1306-1)</f>
        <v/>
      </c>
      <c r="N1306" t="n">
        <v>66.40000000000001</v>
      </c>
      <c r="O1306" s="28">
        <f>(N1306+F1306)/2</f>
        <v/>
      </c>
      <c r="P1306">
        <f>IF(O1306="計算不能","計算不能",IF(O1306&gt;=80,5,IF(O1306&gt;=60,4,IF(O1306&gt;=40,3,IF(O1306&gt;=28,2,1)))))</f>
        <v/>
      </c>
      <c r="Q1306" t="n">
        <v>61242</v>
      </c>
      <c r="R1306" t="n">
        <v>18330</v>
      </c>
      <c r="S1306" s="27">
        <f>R1306/Q1306</f>
        <v/>
      </c>
      <c r="T1306" t="inlineStr">
        <is>
          <t>倉敷市は2045年までに人口が約9.8%減と緩やかな減少局面。若年層の都市部流出と高齢化が進むが、当面の賃貸稼働は一定程度維持される見通し。</t>
        </is>
      </c>
      <c r="U1306" t="inlineStr">
        <is>
          <t>倉敷市は人口密度1,298人/km²で、主要道路沿いや中心市街地に一定の賃貸需要が局在。立地選別が稼働を左右する。 借家の空室率は約30%と供給過多気味で、空室長期化リスクに要警戒。</t>
        </is>
      </c>
      <c r="V1306" t="inlineStr">
        <is>
          <t>倉敷市（岡山県）：高梁川・旭川・吉井川の氾濫（西日本豪雨の被災記憶）、瀬戸内の高潮に注意。</t>
        </is>
      </c>
    </row>
    <row r="1307">
      <c r="A1307" t="inlineStr">
        <is>
          <t>岡山県</t>
        </is>
      </c>
      <c r="B1307" t="inlineStr">
        <is>
          <t>津山市</t>
        </is>
      </c>
      <c r="C1307" t="n">
        <v>39440</v>
      </c>
      <c r="D1307" t="n">
        <v>94363</v>
      </c>
      <c r="E1307" s="6" t="n">
        <v>182.9</v>
      </c>
      <c r="F1307" s="7" t="n">
        <v>28.3</v>
      </c>
      <c r="G1307" t="n">
        <v>99937</v>
      </c>
      <c r="H1307" t="n">
        <v>94363</v>
      </c>
      <c r="I1307" t="n">
        <v>89772</v>
      </c>
      <c r="J1307" t="n">
        <v>75513</v>
      </c>
      <c r="K1307" s="27">
        <f>(H1307/D1307-1)</f>
        <v/>
      </c>
      <c r="L1307" s="27">
        <f>(I1307/D1307-1)</f>
        <v/>
      </c>
      <c r="M1307" s="27">
        <f>(J1307/D1307-1)</f>
        <v/>
      </c>
      <c r="N1307" t="n">
        <v>51.2</v>
      </c>
      <c r="O1307" s="28">
        <f>(N1307+F1307)/2</f>
        <v/>
      </c>
      <c r="P1307">
        <f>IF(O1307="計算不能","計算不能",IF(O1307&gt;=80,5,IF(O1307&gt;=60,4,IF(O1307&gt;=40,3,IF(O1307&gt;=28,2,1)))))</f>
        <v/>
      </c>
      <c r="Q1307" t="n">
        <v>11963</v>
      </c>
      <c r="R1307" t="n">
        <v>3450</v>
      </c>
      <c r="S1307" s="27">
        <f>R1307/Q1307</f>
        <v/>
      </c>
      <c r="T1307" t="inlineStr">
        <is>
          <t>津山市は2045年までに人口が約20.0%減と明確な減少トレンド。高齢化の進行と世帯数の縮小により、中長期では賃貸需要の構造的縮小に警戒が必要。</t>
        </is>
      </c>
      <c r="U1307" t="inlineStr">
        <is>
          <t>津山市は人口密度183人/km²と過疎的水準で、民間賃貸の新規需要は薄い。実需に裏付けられた格安戸建ての指値取得のみが現実的。 借家の空室率は約29%と供給過多気味で、空室長期化リスクに要警戒。</t>
        </is>
      </c>
      <c r="V1307" t="inlineStr">
        <is>
          <t>津山市（岡山県）：高梁川・旭川・吉井川の氾濫（西日本豪雨の被災記憶）、瀬戸内の高潮に注意。</t>
        </is>
      </c>
    </row>
    <row r="1308">
      <c r="A1308" t="inlineStr">
        <is>
          <t>岡山県</t>
        </is>
      </c>
      <c r="B1308" t="inlineStr">
        <is>
          <t>玉野市</t>
        </is>
      </c>
      <c r="C1308" t="n">
        <v>23090</v>
      </c>
      <c r="D1308" t="n">
        <v>51334</v>
      </c>
      <c r="E1308" s="6" t="n">
        <v>502.5</v>
      </c>
      <c r="F1308" s="7" t="n">
        <v>45</v>
      </c>
      <c r="G1308" t="n">
        <v>56531</v>
      </c>
      <c r="H1308" t="n">
        <v>51334</v>
      </c>
      <c r="I1308" t="n">
        <v>47362</v>
      </c>
      <c r="J1308" t="n">
        <v>35440</v>
      </c>
      <c r="K1308" s="27">
        <f>(H1308/D1308-1)</f>
        <v/>
      </c>
      <c r="L1308" s="27">
        <f>(I1308/D1308-1)</f>
        <v/>
      </c>
      <c r="M1308" s="27">
        <f>(J1308/D1308-1)</f>
        <v/>
      </c>
      <c r="N1308" t="n">
        <v>41.3</v>
      </c>
      <c r="O1308" s="28">
        <f>(N1308+F1308)/2</f>
        <v/>
      </c>
      <c r="P1308">
        <f>IF(O1308="計算不能","計算不能",IF(O1308&gt;=80,5,IF(O1308&gt;=60,4,IF(O1308&gt;=40,3,IF(O1308&gt;=28,2,1)))))</f>
        <v/>
      </c>
      <c r="Q1308" t="n">
        <v>7003</v>
      </c>
      <c r="R1308" t="n">
        <v>1730</v>
      </c>
      <c r="S1308" s="27">
        <f>R1308/Q1308</f>
        <v/>
      </c>
      <c r="T1308" t="inlineStr">
        <is>
          <t>玉野市は2045年までに人口が約31.0%減と急激な過疎・超高齢化が進行。若年労働世代の流出と自然減が重なり、賃貸事業としての持続性は極めて限定的。</t>
        </is>
      </c>
      <c r="U1308" t="inlineStr">
        <is>
          <t>玉野市は人口密度502人/km²で、主要道路沿いや中心市街地に一定の賃貸需要が局在。立地選別が稼働を左右する。 借家の空室率は約25%とやや高めで、競合との差別化が必要。</t>
        </is>
      </c>
      <c r="V1308" t="inlineStr">
        <is>
          <t>玉野市（岡山県）：高梁川・旭川・吉井川の氾濫（西日本豪雨の被災記憶）、瀬戸内の高潮に注意。</t>
        </is>
      </c>
    </row>
    <row r="1309">
      <c r="A1309" t="inlineStr">
        <is>
          <t>岡山県</t>
        </is>
      </c>
      <c r="B1309" t="inlineStr">
        <is>
          <t>笠岡市</t>
        </is>
      </c>
      <c r="C1309" t="n">
        <v>18530</v>
      </c>
      <c r="D1309" t="n">
        <v>42405</v>
      </c>
      <c r="E1309" s="6" t="n">
        <v>304.3</v>
      </c>
      <c r="F1309" s="7" t="n">
        <v>35.2</v>
      </c>
      <c r="G1309" t="n">
        <v>46088</v>
      </c>
      <c r="H1309" t="n">
        <v>42405</v>
      </c>
      <c r="I1309" t="n">
        <v>38729</v>
      </c>
      <c r="J1309" t="n">
        <v>28447</v>
      </c>
      <c r="K1309" s="27">
        <f>(H1309/D1309-1)</f>
        <v/>
      </c>
      <c r="L1309" s="27">
        <f>(I1309/D1309-1)</f>
        <v/>
      </c>
      <c r="M1309" s="27">
        <f>(J1309/D1309-1)</f>
        <v/>
      </c>
      <c r="N1309" t="n">
        <v>41.6</v>
      </c>
      <c r="O1309" s="28">
        <f>(N1309+F1309)/2</f>
        <v/>
      </c>
      <c r="P1309">
        <f>IF(O1309="計算不能","計算不能",IF(O1309&gt;=80,5,IF(O1309&gt;=60,4,IF(O1309&gt;=40,3,IF(O1309&gt;=28,2,1)))))</f>
        <v/>
      </c>
      <c r="Q1309" t="n">
        <v>5620</v>
      </c>
      <c r="R1309" t="n">
        <v>1270</v>
      </c>
      <c r="S1309" s="27">
        <f>R1309/Q1309</f>
        <v/>
      </c>
      <c r="T1309" t="inlineStr">
        <is>
          <t>笠岡市は2045年までに人口が約32.9%減と急激な過疎・超高齢化が進行。若年労働世代の流出と自然減が重なり、賃貸事業としての持続性は極めて限定的。</t>
        </is>
      </c>
      <c r="U1309" t="inlineStr">
        <is>
          <t>笠岡市は人口密度304人/km²と低密度で、賃貸需要は限定的。持ち家比率が高く、駐車場完備の戸建て賃貸が有利。 借家の空室率は約23%とやや高めで、競合との差別化が必要。</t>
        </is>
      </c>
      <c r="V1309" t="inlineStr">
        <is>
          <t>笠岡市（岡山県）：高梁川・旭川・吉井川の氾濫（西日本豪雨の被災記憶）、瀬戸内の高潮に注意。</t>
        </is>
      </c>
    </row>
    <row r="1310">
      <c r="A1310" t="inlineStr">
        <is>
          <t>岡山県</t>
        </is>
      </c>
      <c r="B1310" t="inlineStr">
        <is>
          <t>井原市</t>
        </is>
      </c>
      <c r="C1310" t="n">
        <v>14320</v>
      </c>
      <c r="D1310" t="n">
        <v>35757</v>
      </c>
      <c r="E1310" s="6" t="n">
        <v>145.1</v>
      </c>
      <c r="F1310" s="7" t="n">
        <v>24.5</v>
      </c>
      <c r="G1310" t="n">
        <v>38384</v>
      </c>
      <c r="H1310" t="n">
        <v>35757</v>
      </c>
      <c r="I1310" t="n">
        <v>33205</v>
      </c>
      <c r="J1310" t="n">
        <v>25871</v>
      </c>
      <c r="K1310" s="27">
        <f>(H1310/D1310-1)</f>
        <v/>
      </c>
      <c r="L1310" s="27">
        <f>(I1310/D1310-1)</f>
        <v/>
      </c>
      <c r="M1310" s="27">
        <f>(J1310/D1310-1)</f>
        <v/>
      </c>
      <c r="N1310" t="n">
        <v>44.4</v>
      </c>
      <c r="O1310" s="28">
        <f>(N1310+F1310)/2</f>
        <v/>
      </c>
      <c r="P1310">
        <f>IF(O1310="計算不能","計算不能",IF(O1310&gt;=80,5,IF(O1310&gt;=60,4,IF(O1310&gt;=40,3,IF(O1310&gt;=28,2,1)))))</f>
        <v/>
      </c>
      <c r="Q1310" t="n">
        <v>4343</v>
      </c>
      <c r="R1310" t="n">
        <v>860</v>
      </c>
      <c r="S1310" s="27">
        <f>R1310/Q1310</f>
        <v/>
      </c>
      <c r="T1310" t="inlineStr">
        <is>
          <t>井原市は2045年までに人口が約27.6%減と明確な減少トレンド。高齢化の進行と世帯数の縮小により、中長期では賃貸需要の構造的縮小に警戒が必要。</t>
        </is>
      </c>
      <c r="U1310" t="inlineStr">
        <is>
          <t>井原市は人口密度145人/km²と過疎的水準で、民間賃貸の新規需要は薄い。実需に裏付けられた格安戸建ての指値取得のみが現実的。 借家の空室率は約20%とやや高めで、競合との差別化が必要。</t>
        </is>
      </c>
      <c r="V1310" t="inlineStr">
        <is>
          <t>井原市（岡山県）：高梁川・旭川・吉井川の氾濫（西日本豪雨の被災記憶）、瀬戸内の高潮に注意。</t>
        </is>
      </c>
    </row>
    <row r="1311">
      <c r="A1311" t="inlineStr">
        <is>
          <t>岡山県</t>
        </is>
      </c>
      <c r="B1311" t="inlineStr">
        <is>
          <t>総社市</t>
        </is>
      </c>
      <c r="C1311" t="n">
        <v>27310</v>
      </c>
      <c r="D1311" t="n">
        <v>68632</v>
      </c>
      <c r="E1311" s="6" t="n">
        <v>324.3</v>
      </c>
      <c r="F1311" s="7" t="n">
        <v>36.2</v>
      </c>
      <c r="G1311" t="n">
        <v>69030</v>
      </c>
      <c r="H1311" t="n">
        <v>68632</v>
      </c>
      <c r="I1311" t="n">
        <v>67729</v>
      </c>
      <c r="J1311" t="n">
        <v>63334</v>
      </c>
      <c r="K1311" s="27">
        <f>(H1311/D1311-1)</f>
        <v/>
      </c>
      <c r="L1311" s="27">
        <f>(I1311/D1311-1)</f>
        <v/>
      </c>
      <c r="M1311" s="27">
        <f>(J1311/D1311-1)</f>
        <v/>
      </c>
      <c r="N1311" t="n">
        <v>69.09999999999999</v>
      </c>
      <c r="O1311" s="28">
        <f>(N1311+F1311)/2</f>
        <v/>
      </c>
      <c r="P1311">
        <f>IF(O1311="計算不能","計算不能",IF(O1311&gt;=80,5,IF(O1311&gt;=60,4,IF(O1311&gt;=40,3,IF(O1311&gt;=28,2,1)))))</f>
        <v/>
      </c>
      <c r="Q1311" t="n">
        <v>8283</v>
      </c>
      <c r="R1311" t="n">
        <v>1320</v>
      </c>
      <c r="S1311" s="27">
        <f>R1311/Q1311</f>
        <v/>
      </c>
      <c r="T1311" t="inlineStr">
        <is>
          <t>総社市は2045年までに人口が約7.7%減と緩やかな減少局面。若年層の都市部流出と高齢化が進むが、当面の賃貸稼働は一定程度維持される見通し。</t>
        </is>
      </c>
      <c r="U1311" t="inlineStr">
        <is>
          <t>総社市は人口密度324人/km²と低密度で、賃貸需要は限定的。持ち家比率が高く、駐車場完備の戸建て賃貸が有利。 借家の空室率は約16%と需給は比較的引き締まっている。</t>
        </is>
      </c>
      <c r="V1311" t="inlineStr">
        <is>
          <t>総社市（岡山県）：高梁川・旭川・吉井川の氾濫（西日本豪雨の被災記憶）、瀬戸内の高潮に注意。</t>
        </is>
      </c>
    </row>
    <row r="1312">
      <c r="A1312" t="inlineStr">
        <is>
          <t>岡山県</t>
        </is>
      </c>
      <c r="B1312" t="inlineStr">
        <is>
          <t>高梁市</t>
        </is>
      </c>
      <c r="C1312" t="n">
        <v>11920</v>
      </c>
      <c r="D1312" t="n">
        <v>24755</v>
      </c>
      <c r="E1312" s="6" t="n">
        <v>46.8</v>
      </c>
      <c r="F1312" s="7" t="n">
        <v>14.7</v>
      </c>
      <c r="G1312" t="n">
        <v>29072</v>
      </c>
      <c r="H1312" t="n">
        <v>24755</v>
      </c>
      <c r="I1312" t="n">
        <v>22377</v>
      </c>
      <c r="J1312" t="n">
        <v>15861</v>
      </c>
      <c r="K1312" s="27">
        <f>(H1312/D1312-1)</f>
        <v/>
      </c>
      <c r="L1312" s="27">
        <f>(I1312/D1312-1)</f>
        <v/>
      </c>
      <c r="M1312" s="27">
        <f>(J1312/D1312-1)</f>
        <v/>
      </c>
      <c r="N1312" t="n">
        <v>34.6</v>
      </c>
      <c r="O1312" s="28">
        <f>(N1312+F1312)/2</f>
        <v/>
      </c>
      <c r="P1312">
        <f>IF(O1312="計算不能","計算不能",IF(O1312&gt;=80,5,IF(O1312&gt;=60,4,IF(O1312&gt;=40,3,IF(O1312&gt;=28,2,1)))))</f>
        <v/>
      </c>
      <c r="Q1312" t="n">
        <v>3615</v>
      </c>
      <c r="R1312" t="n">
        <v>2270</v>
      </c>
      <c r="S1312" s="27">
        <f>R1312/Q1312</f>
        <v/>
      </c>
      <c r="T1312" t="inlineStr">
        <is>
          <t>高梁市は2045年までに人口が約35.9%減と急激な過疎・超高齢化が進行。若年労働世代の流出と自然減が重なり、賃貸事業としての持続性は極めて限定的。</t>
        </is>
      </c>
      <c r="U1312" t="inlineStr">
        <is>
          <t>高梁市は人口密度47人/km²と過疎的水準で、民間賃貸の新規需要は薄い。実需に裏付けられた格安戸建ての指値取得のみが現実的。 借家の空室率は約63%と供給過多気味で、空室長期化リスクに要警戒。</t>
        </is>
      </c>
      <c r="V1312" t="inlineStr">
        <is>
          <t>高梁市（岡山県）：高梁川・旭川・吉井川の氾濫（西日本豪雨の被災記憶）、瀬戸内の高潮に注意。</t>
        </is>
      </c>
    </row>
    <row r="1313">
      <c r="A1313" t="inlineStr">
        <is>
          <t>岡山県</t>
        </is>
      </c>
      <c r="B1313" t="inlineStr">
        <is>
          <t>新見市</t>
        </is>
      </c>
      <c r="C1313" t="n">
        <v>11200</v>
      </c>
      <c r="D1313" t="n">
        <v>25336</v>
      </c>
      <c r="E1313" s="6" t="n">
        <v>31.4</v>
      </c>
      <c r="F1313" s="7" t="n">
        <v>13.1</v>
      </c>
      <c r="G1313" t="n">
        <v>28079</v>
      </c>
      <c r="H1313" t="n">
        <v>25336</v>
      </c>
      <c r="I1313" t="n">
        <v>22850</v>
      </c>
      <c r="J1313" t="n">
        <v>16536</v>
      </c>
      <c r="K1313" s="27">
        <f>(H1313/D1313-1)</f>
        <v/>
      </c>
      <c r="L1313" s="27">
        <f>(I1313/D1313-1)</f>
        <v/>
      </c>
      <c r="M1313" s="27">
        <f>(J1313/D1313-1)</f>
        <v/>
      </c>
      <c r="N1313" t="n">
        <v>39.3</v>
      </c>
      <c r="O1313" s="28">
        <f>(N1313+F1313)/2</f>
        <v/>
      </c>
      <c r="P1313">
        <f>IF(O1313="計算不能","計算不能",IF(O1313&gt;=80,5,IF(O1313&gt;=60,4,IF(O1313&gt;=40,3,IF(O1313&gt;=28,2,1)))))</f>
        <v/>
      </c>
      <c r="Q1313" t="n">
        <v>3397</v>
      </c>
      <c r="R1313" t="n">
        <v>490</v>
      </c>
      <c r="S1313" s="27">
        <f>R1313/Q1313</f>
        <v/>
      </c>
      <c r="T1313" t="inlineStr">
        <is>
          <t>新見市は2045年までに人口が約34.7%減と急激な過疎・超高齢化が進行。若年労働世代の流出と自然減が重なり、賃貸事業としての持続性は極めて限定的。</t>
        </is>
      </c>
      <c r="U1313" t="inlineStr">
        <is>
          <t>新見市は人口密度31人/km²と過疎的水準で、民間賃貸の新規需要は薄い。実需に裏付けられた格安戸建ての指値取得のみが現実的。 借家の空室率は約14%と需給は比較的引き締まっている。</t>
        </is>
      </c>
      <c r="V1313" t="inlineStr">
        <is>
          <t>新見市（岡山県）：高梁川・旭川・吉井川の氾濫（西日本豪雨の被災記憶）、瀬戸内の高潮に注意。</t>
        </is>
      </c>
    </row>
    <row r="1314">
      <c r="A1314" t="inlineStr">
        <is>
          <t>岡山県</t>
        </is>
      </c>
      <c r="B1314" t="inlineStr">
        <is>
          <t>備前市</t>
        </is>
      </c>
      <c r="C1314" t="n">
        <v>13030</v>
      </c>
      <c r="D1314" t="n">
        <v>28958</v>
      </c>
      <c r="E1314" s="6" t="n">
        <v>110.9</v>
      </c>
      <c r="F1314" s="7" t="n">
        <v>21.1</v>
      </c>
      <c r="G1314" t="n">
        <v>32320</v>
      </c>
      <c r="H1314" t="n">
        <v>28958</v>
      </c>
      <c r="I1314" t="n">
        <v>26316</v>
      </c>
      <c r="J1314" t="n">
        <v>18706</v>
      </c>
      <c r="K1314" s="27">
        <f>(H1314/D1314-1)</f>
        <v/>
      </c>
      <c r="L1314" s="27">
        <f>(I1314/D1314-1)</f>
        <v/>
      </c>
      <c r="M1314" s="27">
        <f>(J1314/D1314-1)</f>
        <v/>
      </c>
      <c r="N1314" t="n">
        <v>38.8</v>
      </c>
      <c r="O1314" s="28">
        <f>(N1314+F1314)/2</f>
        <v/>
      </c>
      <c r="P1314">
        <f>IF(O1314="計算不能","計算不能",IF(O1314&gt;=80,5,IF(O1314&gt;=60,4,IF(O1314&gt;=40,3,IF(O1314&gt;=28,2,1)))))</f>
        <v/>
      </c>
      <c r="Q1314" t="n">
        <v>3952</v>
      </c>
      <c r="R1314" t="n">
        <v>590</v>
      </c>
      <c r="S1314" s="27">
        <f>R1314/Q1314</f>
        <v/>
      </c>
      <c r="T1314" t="inlineStr">
        <is>
          <t>備前市は2045年までに人口が約35.4%減と急激な過疎・超高齢化が進行。若年労働世代の流出と自然減が重なり、賃貸事業としての持続性は極めて限定的。</t>
        </is>
      </c>
      <c r="U1314" t="inlineStr">
        <is>
          <t>備前市は人口密度111人/km²と過疎的水準で、民間賃貸の新規需要は薄い。実需に裏付けられた格安戸建ての指値取得のみが現実的。 借家の空室率は約15%と需給は比較的引き締まっている。</t>
        </is>
      </c>
      <c r="V1314" t="inlineStr">
        <is>
          <t>備前市（岡山県）：高梁川・旭川・吉井川の氾濫（西日本豪雨の被災記憶）、瀬戸内の高潮に注意。</t>
        </is>
      </c>
    </row>
    <row r="1315">
      <c r="A1315" t="inlineStr">
        <is>
          <t>岡山県</t>
        </is>
      </c>
      <c r="B1315" t="inlineStr">
        <is>
          <t>瀬戸内市</t>
        </is>
      </c>
      <c r="C1315" t="n">
        <v>13900</v>
      </c>
      <c r="D1315" t="n">
        <v>34644</v>
      </c>
      <c r="E1315" s="6" t="n">
        <v>276.3</v>
      </c>
      <c r="F1315" s="7" t="n">
        <v>33.8</v>
      </c>
      <c r="G1315" t="n">
        <v>36048</v>
      </c>
      <c r="H1315" t="n">
        <v>34644</v>
      </c>
      <c r="I1315" t="n">
        <v>33200</v>
      </c>
      <c r="J1315" t="n">
        <v>28338</v>
      </c>
      <c r="K1315" s="27">
        <f>(H1315/D1315-1)</f>
        <v/>
      </c>
      <c r="L1315" s="27">
        <f>(I1315/D1315-1)</f>
        <v/>
      </c>
      <c r="M1315" s="27">
        <f>(J1315/D1315-1)</f>
        <v/>
      </c>
      <c r="N1315" t="n">
        <v>55.7</v>
      </c>
      <c r="O1315" s="28">
        <f>(N1315+F1315)/2</f>
        <v/>
      </c>
      <c r="P1315">
        <f>IF(O1315="計算不能","計算不能",IF(O1315&gt;=80,5,IF(O1315&gt;=60,4,IF(O1315&gt;=40,3,IF(O1315&gt;=28,2,1)))))</f>
        <v/>
      </c>
      <c r="Q1315" t="n">
        <v>4216</v>
      </c>
      <c r="R1315" t="n">
        <v>300</v>
      </c>
      <c r="S1315" s="27">
        <f>R1315/Q1315</f>
        <v/>
      </c>
      <c r="T1315" t="inlineStr">
        <is>
          <t>瀬戸内市は2045年までに人口が約18.2%減と明確な減少トレンド。高齢化の進行と世帯数の縮小により、中長期では賃貸需要の構造的縮小に警戒が必要。</t>
        </is>
      </c>
      <c r="U1315" t="inlineStr">
        <is>
          <t>瀬戸内市は人口密度276人/km²と低密度で、賃貸需要は限定的。持ち家比率が高く、駐車場完備の戸建て賃貸が有利。 借家の空室率は約7%と需給は比較的引き締まっている。</t>
        </is>
      </c>
      <c r="V1315" t="inlineStr">
        <is>
          <t>瀬戸内市（岡山県）：高梁川・旭川・吉井川の氾濫（西日本豪雨の被災記憶）、瀬戸内の高潮に注意。</t>
        </is>
      </c>
    </row>
    <row r="1316">
      <c r="A1316" t="inlineStr">
        <is>
          <t>岡山県</t>
        </is>
      </c>
      <c r="B1316" t="inlineStr">
        <is>
          <t>赤磐市</t>
        </is>
      </c>
      <c r="C1316" t="n">
        <v>16400</v>
      </c>
      <c r="D1316" t="n">
        <v>41584</v>
      </c>
      <c r="E1316" s="6" t="n">
        <v>195.6</v>
      </c>
      <c r="F1316" s="7" t="n">
        <v>29.6</v>
      </c>
      <c r="G1316" t="n">
        <v>42661</v>
      </c>
      <c r="H1316" t="n">
        <v>41584</v>
      </c>
      <c r="I1316" t="n">
        <v>40250</v>
      </c>
      <c r="J1316" t="n">
        <v>35791</v>
      </c>
      <c r="K1316" s="27">
        <f>(H1316/D1316-1)</f>
        <v/>
      </c>
      <c r="L1316" s="27">
        <f>(I1316/D1316-1)</f>
        <v/>
      </c>
      <c r="M1316" s="27">
        <f>(J1316/D1316-1)</f>
        <v/>
      </c>
      <c r="N1316" t="n">
        <v>61</v>
      </c>
      <c r="O1316" s="28">
        <f>(N1316+F1316)/2</f>
        <v/>
      </c>
      <c r="P1316">
        <f>IF(O1316="計算不能","計算不能",IF(O1316&gt;=80,5,IF(O1316&gt;=60,4,IF(O1316&gt;=40,3,IF(O1316&gt;=28,2,1)))))</f>
        <v/>
      </c>
      <c r="Q1316" t="n">
        <v>4974</v>
      </c>
      <c r="R1316" t="n">
        <v>1110</v>
      </c>
      <c r="S1316" s="27">
        <f>R1316/Q1316</f>
        <v/>
      </c>
      <c r="T1316" t="inlineStr">
        <is>
          <t>赤磐市は2045年までに人口が約13.9%減と緩やかな減少局面。若年層の都市部流出と高齢化が進むが、当面の賃貸稼働は一定程度維持される見通し。</t>
        </is>
      </c>
      <c r="U1316" t="inlineStr">
        <is>
          <t>赤磐市は人口密度196人/km²と過疎的水準で、民間賃貸の新規需要は薄い。実需に裏付けられた格安戸建ての指値取得のみが現実的。 借家の空室率は約22%とやや高めで、競合との差別化が必要。</t>
        </is>
      </c>
      <c r="V1316" t="inlineStr">
        <is>
          <t>赤磐市（岡山県）：高梁川・旭川・吉井川の氾濫（西日本豪雨の被災記憶）、瀬戸内の高潮に注意。</t>
        </is>
      </c>
    </row>
    <row r="1317">
      <c r="A1317" t="inlineStr">
        <is>
          <t>岡山県</t>
        </is>
      </c>
      <c r="B1317" t="inlineStr">
        <is>
          <t>真庭市</t>
        </is>
      </c>
      <c r="C1317" t="n">
        <v>15420</v>
      </c>
      <c r="D1317" t="n">
        <v>38867</v>
      </c>
      <c r="E1317" s="6" t="n">
        <v>46.4</v>
      </c>
      <c r="F1317" s="7" t="n">
        <v>14.6</v>
      </c>
      <c r="G1317" t="n">
        <v>42725</v>
      </c>
      <c r="H1317" t="n">
        <v>38867</v>
      </c>
      <c r="I1317" t="n">
        <v>35658</v>
      </c>
      <c r="J1317" t="n">
        <v>27135</v>
      </c>
      <c r="K1317" s="27">
        <f>(H1317/D1317-1)</f>
        <v/>
      </c>
      <c r="L1317" s="27">
        <f>(I1317/D1317-1)</f>
        <v/>
      </c>
      <c r="M1317" s="27">
        <f>(J1317/D1317-1)</f>
        <v/>
      </c>
      <c r="N1317" t="n">
        <v>41.5</v>
      </c>
      <c r="O1317" s="28">
        <f>(N1317+F1317)/2</f>
        <v/>
      </c>
      <c r="P1317">
        <f>IF(O1317="計算不能","計算不能",IF(O1317&gt;=80,5,IF(O1317&gt;=60,4,IF(O1317&gt;=40,3,IF(O1317&gt;=28,2,1)))))</f>
        <v/>
      </c>
      <c r="Q1317" t="n">
        <v>4677</v>
      </c>
      <c r="R1317" t="n">
        <v>400</v>
      </c>
      <c r="S1317" s="27">
        <f>R1317/Q1317</f>
        <v/>
      </c>
      <c r="T1317" t="inlineStr">
        <is>
          <t>真庭市は2045年までに人口が約30.2%減と急激な過疎・超高齢化が進行。若年労働世代の流出と自然減が重なり、賃貸事業としての持続性は極めて限定的。</t>
        </is>
      </c>
      <c r="U1317" t="inlineStr">
        <is>
          <t>真庭市は人口密度46人/km²と過疎的水準で、民間賃貸の新規需要は薄い。実需に裏付けられた格安戸建ての指値取得のみが現実的。 借家の空室率は約9%と需給は比較的引き締まっている。</t>
        </is>
      </c>
      <c r="V1317" t="inlineStr">
        <is>
          <t>真庭市（岡山県）：高梁川・旭川・吉井川の氾濫（西日本豪雨の被災記憶）、瀬戸内の高潮に注意。</t>
        </is>
      </c>
    </row>
    <row r="1318">
      <c r="A1318" t="inlineStr">
        <is>
          <t>岡山県</t>
        </is>
      </c>
      <c r="B1318" t="inlineStr">
        <is>
          <t>美作市</t>
        </is>
      </c>
      <c r="C1318" t="n">
        <v>10450</v>
      </c>
      <c r="D1318" t="n">
        <v>23831</v>
      </c>
      <c r="E1318" s="6" t="n">
        <v>54</v>
      </c>
      <c r="F1318" s="7" t="n">
        <v>15.4</v>
      </c>
      <c r="G1318" t="n">
        <v>25939</v>
      </c>
      <c r="H1318" t="n">
        <v>23831</v>
      </c>
      <c r="I1318" t="n">
        <v>21839</v>
      </c>
      <c r="J1318" t="n">
        <v>16526</v>
      </c>
      <c r="K1318" s="27">
        <f>(H1318/D1318-1)</f>
        <v/>
      </c>
      <c r="L1318" s="27">
        <f>(I1318/D1318-1)</f>
        <v/>
      </c>
      <c r="M1318" s="27">
        <f>(J1318/D1318-1)</f>
        <v/>
      </c>
      <c r="N1318" t="n">
        <v>42.1</v>
      </c>
      <c r="O1318" s="28">
        <f>(N1318+F1318)/2</f>
        <v/>
      </c>
      <c r="P1318">
        <f>IF(O1318="計算不能","計算不能",IF(O1318&gt;=80,5,IF(O1318&gt;=60,4,IF(O1318&gt;=40,3,IF(O1318&gt;=28,2,1)))))</f>
        <v/>
      </c>
      <c r="Q1318" t="n">
        <v>3169</v>
      </c>
      <c r="R1318" t="n">
        <v>680</v>
      </c>
      <c r="S1318" s="27">
        <f>R1318/Q1318</f>
        <v/>
      </c>
      <c r="T1318" t="inlineStr">
        <is>
          <t>美作市は2045年までに人口が約30.7%減と急激な過疎・超高齢化が進行。若年労働世代の流出と自然減が重なり、賃貸事業としての持続性は極めて限定的。</t>
        </is>
      </c>
      <c r="U1318" t="inlineStr">
        <is>
          <t>美作市は人口密度54人/km²と過疎的水準で、民間賃貸の新規需要は薄い。実需に裏付けられた格安戸建ての指値取得のみが現実的。 借家の空室率は約21%とやや高めで、競合との差別化が必要。</t>
        </is>
      </c>
      <c r="V1318" t="inlineStr">
        <is>
          <t>美作市（岡山県）：高梁川・旭川・吉井川の氾濫（西日本豪雨の被災記憶）、瀬戸内の高潮に注意。</t>
        </is>
      </c>
    </row>
    <row r="1319">
      <c r="A1319" t="inlineStr">
        <is>
          <t>岡山県</t>
        </is>
      </c>
      <c r="B1319" t="inlineStr">
        <is>
          <t>浅口市</t>
        </is>
      </c>
      <c r="C1319" t="n">
        <v>12390</v>
      </c>
      <c r="D1319" t="n">
        <v>31040</v>
      </c>
      <c r="E1319" s="6" t="n">
        <v>455.9</v>
      </c>
      <c r="F1319" s="7" t="n">
        <v>42.8</v>
      </c>
      <c r="G1319" t="n">
        <v>32772</v>
      </c>
      <c r="H1319" t="n">
        <v>31040</v>
      </c>
      <c r="I1319" t="n">
        <v>29199</v>
      </c>
      <c r="J1319" t="n">
        <v>23623</v>
      </c>
      <c r="K1319" s="27">
        <f>(H1319/D1319-1)</f>
        <v/>
      </c>
      <c r="L1319" s="27">
        <f>(I1319/D1319-1)</f>
        <v/>
      </c>
      <c r="M1319" s="27">
        <f>(J1319/D1319-1)</f>
        <v/>
      </c>
      <c r="N1319" t="n">
        <v>49.2</v>
      </c>
      <c r="O1319" s="28">
        <f>(N1319+F1319)/2</f>
        <v/>
      </c>
      <c r="P1319">
        <f>IF(O1319="計算不能","計算不能",IF(O1319&gt;=80,5,IF(O1319&gt;=60,4,IF(O1319&gt;=40,3,IF(O1319&gt;=28,2,1)))))</f>
        <v/>
      </c>
      <c r="Q1319" t="n">
        <v>3758</v>
      </c>
      <c r="R1319" t="n">
        <v>210</v>
      </c>
      <c r="S1319" s="27">
        <f>R1319/Q1319</f>
        <v/>
      </c>
      <c r="T1319" t="inlineStr">
        <is>
          <t>浅口市は2045年までに人口が約23.9%減と明確な減少トレンド。高齢化の進行と世帯数の縮小により、中長期では賃貸需要の構造的縮小に警戒が必要。</t>
        </is>
      </c>
      <c r="U1319" t="inlineStr">
        <is>
          <t>浅口市は人口密度456人/km²と低密度で、賃貸需要は限定的。持ち家比率が高く、駐車場完備の戸建て賃貸が有利。 借家の空室率は約6%と需給は比較的引き締まっている。</t>
        </is>
      </c>
      <c r="V1319" t="inlineStr">
        <is>
          <t>浅口市（岡山県）：高梁川・旭川・吉井川の氾濫（西日本豪雨の被災記憶）、瀬戸内の高潮に注意。</t>
        </is>
      </c>
    </row>
    <row r="1320">
      <c r="A1320" t="inlineStr">
        <is>
          <t>岡山県</t>
        </is>
      </c>
      <c r="B1320" t="inlineStr">
        <is>
          <t>和気町</t>
        </is>
      </c>
      <c r="C1320" t="n">
        <v>6273</v>
      </c>
      <c r="D1320" t="n">
        <v>12684</v>
      </c>
      <c r="E1320" s="6" t="n">
        <v>85.5</v>
      </c>
      <c r="F1320" s="7" t="n">
        <v>18.6</v>
      </c>
      <c r="G1320" t="n">
        <v>13623</v>
      </c>
      <c r="H1320" t="n">
        <v>12684</v>
      </c>
      <c r="I1320" t="n">
        <v>11794</v>
      </c>
      <c r="J1320" t="n">
        <v>9127</v>
      </c>
      <c r="K1320" s="27">
        <f>(H1320/D1320-1)</f>
        <v/>
      </c>
      <c r="L1320" s="27">
        <f>(I1320/D1320-1)</f>
        <v/>
      </c>
      <c r="M1320" s="27">
        <f>(J1320/D1320-1)</f>
        <v/>
      </c>
      <c r="N1320" t="n">
        <v>44.3</v>
      </c>
      <c r="O1320" s="28">
        <f>(N1320+F1320)/2</f>
        <v/>
      </c>
      <c r="P1320">
        <f>IF(O1320="計算不能","計算不能",IF(O1320&gt;=80,5,IF(O1320&gt;=60,4,IF(O1320&gt;=40,3,IF(O1320&gt;=28,2,1)))))</f>
        <v/>
      </c>
      <c r="Q1320" t="n">
        <v>1902</v>
      </c>
      <c r="R1320" t="n">
        <v>0</v>
      </c>
      <c r="S1320" s="27">
        <f>R1320/Q1320</f>
        <v/>
      </c>
      <c r="T1320" t="inlineStr">
        <is>
          <t>和気町は2045年までに人口が約28.0%減と明確な減少トレンド。高齢化の進行と世帯数の縮小により、中長期では賃貸需要の構造的縮小に警戒が必要。</t>
        </is>
      </c>
      <c r="U1320" t="inlineStr">
        <is>
          <t>和気町は人口密度86人/km²と過疎的水準で、民間賃貸の新規需要は薄い。実需に裏付けられた格安戸建ての指値取得のみが現実的。 借家の空室率は約0%と需給は比較的引き締まっている。</t>
        </is>
      </c>
      <c r="V1320" t="inlineStr">
        <is>
          <t>和気町（岡山県）：高梁川・旭川・吉井川の氾濫（西日本豪雨の被災記憶）、瀬戸内の高潮に注意。</t>
        </is>
      </c>
    </row>
    <row r="1321">
      <c r="A1321" t="inlineStr">
        <is>
          <t>岡山県</t>
        </is>
      </c>
      <c r="B1321" t="inlineStr">
        <is>
          <t>早島町</t>
        </is>
      </c>
      <c r="C1321" t="n">
        <v>5297</v>
      </c>
      <c r="D1321" t="n">
        <v>12274</v>
      </c>
      <c r="E1321" s="6" t="n">
        <v>1651</v>
      </c>
      <c r="F1321" s="7" t="n">
        <v>66.5</v>
      </c>
      <c r="G1321" t="n">
        <v>12368</v>
      </c>
      <c r="H1321" t="n">
        <v>12274</v>
      </c>
      <c r="I1321" t="n">
        <v>12095</v>
      </c>
      <c r="J1321" t="n">
        <v>11399</v>
      </c>
      <c r="K1321" s="27">
        <f>(H1321/D1321-1)</f>
        <v/>
      </c>
      <c r="L1321" s="27">
        <f>(I1321/D1321-1)</f>
        <v/>
      </c>
      <c r="M1321" s="27">
        <f>(J1321/D1321-1)</f>
        <v/>
      </c>
      <c r="N1321" t="n">
        <v>68.90000000000001</v>
      </c>
      <c r="O1321" s="28">
        <f>(N1321+F1321)/2</f>
        <v/>
      </c>
      <c r="P1321">
        <f>IF(O1321="計算不能","計算不能",IF(O1321&gt;=80,5,IF(O1321&gt;=60,4,IF(O1321&gt;=40,3,IF(O1321&gt;=28,2,1)))))</f>
        <v/>
      </c>
      <c r="Q1321" t="n">
        <v>1606</v>
      </c>
      <c r="R1321" t="n">
        <v>0</v>
      </c>
      <c r="S1321" s="27">
        <f>R1321/Q1321</f>
        <v/>
      </c>
      <c r="T1321" t="inlineStr">
        <is>
          <t>早島町は2045年までに人口が約7.1%減と緩やかな減少局面。若年層の都市部流出と高齢化が進むが、当面の賃貸稼働は一定程度維持される見通し。</t>
        </is>
      </c>
      <c r="U1321" t="inlineStr">
        <is>
          <t>早島町は人口密度1,651人/km²の都市部で、駅周辺や生活利便施設沿いに安定した賃貸需要がある。適切な家賃設定で高稼働を期待できる。 借家の空室率は約0%と需給は比較的引き締まっている。</t>
        </is>
      </c>
      <c r="V1321" t="inlineStr">
        <is>
          <t>早島町（岡山県）：高梁川・旭川・吉井川の氾濫（西日本豪雨の被災記憶）、瀬戸内の高潮に注意。</t>
        </is>
      </c>
    </row>
    <row r="1322">
      <c r="A1322" t="inlineStr">
        <is>
          <t>岡山県</t>
        </is>
      </c>
      <c r="B1322" t="inlineStr">
        <is>
          <t>里庄町</t>
        </is>
      </c>
      <c r="C1322" t="n">
        <v>4665</v>
      </c>
      <c r="D1322" t="n">
        <v>10745</v>
      </c>
      <c r="E1322" s="6" t="n">
        <v>853.2</v>
      </c>
      <c r="F1322" s="7" t="n">
        <v>52.1</v>
      </c>
      <c r="G1322" t="n">
        <v>10950</v>
      </c>
      <c r="H1322" t="n">
        <v>10745</v>
      </c>
      <c r="I1322" t="n">
        <v>10442</v>
      </c>
      <c r="J1322" t="n">
        <v>9462</v>
      </c>
      <c r="K1322" s="27">
        <f>(H1322/D1322-1)</f>
        <v/>
      </c>
      <c r="L1322" s="27">
        <f>(I1322/D1322-1)</f>
        <v/>
      </c>
      <c r="M1322" s="27">
        <f>(J1322/D1322-1)</f>
        <v/>
      </c>
      <c r="N1322" t="n">
        <v>63.5</v>
      </c>
      <c r="O1322" s="28">
        <f>(N1322+F1322)/2</f>
        <v/>
      </c>
      <c r="P1322">
        <f>IF(O1322="計算不能","計算不能",IF(O1322&gt;=80,5,IF(O1322&gt;=60,4,IF(O1322&gt;=40,3,IF(O1322&gt;=28,2,1)))))</f>
        <v/>
      </c>
      <c r="Q1322" t="n">
        <v>1415</v>
      </c>
      <c r="R1322" t="n">
        <v>0</v>
      </c>
      <c r="S1322" s="27">
        <f>R1322/Q1322</f>
        <v/>
      </c>
      <c r="T1322" t="inlineStr">
        <is>
          <t>里庄町は2045年までに人口が約11.9%減と緩やかな減少局面。若年層の都市部流出と高齢化が進むが、当面の賃貸稼働は一定程度維持される見通し。</t>
        </is>
      </c>
      <c r="U1322" t="inlineStr">
        <is>
          <t>里庄町は人口密度853人/km²で、主要道路沿いや中心市街地に一定の賃貸需要が局在。立地選別が稼働を左右する。 借家の空室率は約0%と需給は比較的引き締まっている。</t>
        </is>
      </c>
      <c r="V1322" t="inlineStr">
        <is>
          <t>里庄町（岡山県）：高梁川・旭川・吉井川の氾濫（西日本豪雨の被災記憶）、瀬戸内の高潮に注意。</t>
        </is>
      </c>
    </row>
    <row r="1323">
      <c r="A1323" t="inlineStr">
        <is>
          <t>岡山県</t>
        </is>
      </c>
      <c r="B1323" t="inlineStr">
        <is>
          <t>矢掛町</t>
        </is>
      </c>
      <c r="C1323" t="n">
        <v>5514</v>
      </c>
      <c r="D1323" t="n">
        <v>12595</v>
      </c>
      <c r="E1323" s="6" t="n">
        <v>136.3</v>
      </c>
      <c r="F1323" s="7" t="n">
        <v>23.6</v>
      </c>
      <c r="G1323" t="n">
        <v>13414</v>
      </c>
      <c r="H1323" t="n">
        <v>12595</v>
      </c>
      <c r="I1323" t="n">
        <v>11804</v>
      </c>
      <c r="J1323" t="n">
        <v>9589</v>
      </c>
      <c r="K1323" s="27">
        <f>(H1323/D1323-1)</f>
        <v/>
      </c>
      <c r="L1323" s="27">
        <f>(I1323/D1323-1)</f>
        <v/>
      </c>
      <c r="M1323" s="27">
        <f>(J1323/D1323-1)</f>
        <v/>
      </c>
      <c r="N1323" t="n">
        <v>47.5</v>
      </c>
      <c r="O1323" s="28">
        <f>(N1323+F1323)/2</f>
        <v/>
      </c>
      <c r="P1323">
        <f>IF(O1323="計算不能","計算不能",IF(O1323&gt;=80,5,IF(O1323&gt;=60,4,IF(O1323&gt;=40,3,IF(O1323&gt;=28,2,1)))))</f>
        <v/>
      </c>
      <c r="Q1323" t="n">
        <v>1672</v>
      </c>
      <c r="R1323" t="n">
        <v>0</v>
      </c>
      <c r="S1323" s="27">
        <f>R1323/Q1323</f>
        <v/>
      </c>
      <c r="T1323" t="inlineStr">
        <is>
          <t>矢掛町は2045年までに人口が約23.9%減と明確な減少トレンド。高齢化の進行と世帯数の縮小により、中長期では賃貸需要の構造的縮小に警戒が必要。</t>
        </is>
      </c>
      <c r="U1323" t="inlineStr">
        <is>
          <t>矢掛町は人口密度136人/km²と過疎的水準で、民間賃貸の新規需要は薄い。実需に裏付けられた格安戸建ての指値取得のみが現実的。 借家の空室率は約0%と需給は比較的引き締まっている。</t>
        </is>
      </c>
      <c r="V1323" t="inlineStr">
        <is>
          <t>矢掛町（岡山県）：高梁川・旭川・吉井川の氾濫（西日本豪雨の被災記憶）、瀬戸内の高潮に注意。</t>
        </is>
      </c>
    </row>
    <row r="1324">
      <c r="A1324" t="inlineStr">
        <is>
          <t>岡山県</t>
        </is>
      </c>
      <c r="B1324" t="inlineStr">
        <is>
          <t>新庄村</t>
        </is>
      </c>
      <c r="C1324" t="n">
        <v>372</v>
      </c>
      <c r="D1324" t="n">
        <v>752</v>
      </c>
      <c r="E1324" s="6" t="n">
        <v>10.6</v>
      </c>
      <c r="F1324" s="7" t="n">
        <v>11.1</v>
      </c>
      <c r="G1324" t="n">
        <v>813</v>
      </c>
      <c r="H1324" t="n">
        <v>752</v>
      </c>
      <c r="I1324" t="n">
        <v>693</v>
      </c>
      <c r="J1324" t="n">
        <v>574</v>
      </c>
      <c r="K1324" s="27">
        <f>(H1324/D1324-1)</f>
        <v/>
      </c>
      <c r="L1324" s="27">
        <f>(I1324/D1324-1)</f>
        <v/>
      </c>
      <c r="M1324" s="27">
        <f>(J1324/D1324-1)</f>
        <v/>
      </c>
      <c r="N1324" t="n">
        <v>44.5</v>
      </c>
      <c r="O1324" s="28">
        <f>(N1324+F1324)/2</f>
        <v/>
      </c>
      <c r="P1324">
        <f>IF(O1324="計算不能","計算不能",IF(O1324&gt;=80,5,IF(O1324&gt;=60,4,IF(O1324&gt;=40,3,IF(O1324&gt;=28,2,1)))))</f>
        <v/>
      </c>
      <c r="Q1324" t="n">
        <v>112</v>
      </c>
      <c r="R1324" t="n">
        <v>0</v>
      </c>
      <c r="S1324" s="27">
        <f>R1324/Q1324</f>
        <v/>
      </c>
      <c r="T1324" t="inlineStr">
        <is>
          <t>新庄村は2045年までに人口が約23.7%減と明確な減少トレンド。高齢化の進行と世帯数の縮小により、中長期では賃貸需要の構造的縮小に警戒が必要。</t>
        </is>
      </c>
      <c r="U1324" t="inlineStr">
        <is>
          <t>新庄村は人口密度11人/km²と過疎的水準で、民間賃貸の新規需要は薄い。実需に裏付けられた格安戸建ての指値取得のみが現実的。 借家の空室率は約0%と需給は比較的引き締まっている。</t>
        </is>
      </c>
      <c r="V1324" t="inlineStr">
        <is>
          <t>新庄村（岡山県）：高梁川・旭川・吉井川の氾濫（西日本豪雨の被災記憶）、瀬戸内の高潮に注意。</t>
        </is>
      </c>
    </row>
    <row r="1325">
      <c r="A1325" t="inlineStr">
        <is>
          <t>岡山県</t>
        </is>
      </c>
      <c r="B1325" t="inlineStr">
        <is>
          <t>鏡野町</t>
        </is>
      </c>
      <c r="C1325" t="n">
        <v>5609</v>
      </c>
      <c r="D1325" t="n">
        <v>11408</v>
      </c>
      <c r="E1325" s="6" t="n">
        <v>26.5</v>
      </c>
      <c r="F1325" s="7" t="n">
        <v>12.7</v>
      </c>
      <c r="G1325" t="n">
        <v>12062</v>
      </c>
      <c r="H1325" t="n">
        <v>11408</v>
      </c>
      <c r="I1325" t="n">
        <v>10774</v>
      </c>
      <c r="J1325" t="n">
        <v>8977</v>
      </c>
      <c r="K1325" s="27">
        <f>(H1325/D1325-1)</f>
        <v/>
      </c>
      <c r="L1325" s="27">
        <f>(I1325/D1325-1)</f>
        <v/>
      </c>
      <c r="M1325" s="27">
        <f>(J1325/D1325-1)</f>
        <v/>
      </c>
      <c r="N1325" t="n">
        <v>50.4</v>
      </c>
      <c r="O1325" s="28">
        <f>(N1325+F1325)/2</f>
        <v/>
      </c>
      <c r="P1325">
        <f>IF(O1325="計算不能","計算不能",IF(O1325&gt;=80,5,IF(O1325&gt;=60,4,IF(O1325&gt;=40,3,IF(O1325&gt;=28,2,1)))))</f>
        <v/>
      </c>
      <c r="Q1325" t="n">
        <v>1701</v>
      </c>
      <c r="R1325" t="n">
        <v>0</v>
      </c>
      <c r="S1325" s="27">
        <f>R1325/Q1325</f>
        <v/>
      </c>
      <c r="T1325" t="inlineStr">
        <is>
          <t>鏡野町は2045年までに人口が約21.3%減と明確な減少トレンド。高齢化の進行と世帯数の縮小により、中長期では賃貸需要の構造的縮小に警戒が必要。</t>
        </is>
      </c>
      <c r="U1325" t="inlineStr">
        <is>
          <t>鏡野町は人口密度26人/km²と過疎的水準で、民間賃貸の新規需要は薄い。実需に裏付けられた格安戸建ての指値取得のみが現実的。 借家の空室率は約0%と需給は比較的引き締まっている。</t>
        </is>
      </c>
      <c r="V1325" t="inlineStr">
        <is>
          <t>鏡野町（岡山県）：高梁川・旭川・吉井川の氾濫（西日本豪雨の被災記憶）、瀬戸内の高潮に注意。</t>
        </is>
      </c>
    </row>
    <row r="1326">
      <c r="A1326" t="inlineStr">
        <is>
          <t>岡山県</t>
        </is>
      </c>
      <c r="B1326" t="inlineStr">
        <is>
          <t>勝央町</t>
        </is>
      </c>
      <c r="C1326" t="n">
        <v>4791</v>
      </c>
      <c r="D1326" t="n">
        <v>10580</v>
      </c>
      <c r="E1326" s="6" t="n">
        <v>192.2</v>
      </c>
      <c r="F1326" s="7" t="n">
        <v>29.2</v>
      </c>
      <c r="G1326" t="n">
        <v>10888</v>
      </c>
      <c r="H1326" t="n">
        <v>10580</v>
      </c>
      <c r="I1326" t="n">
        <v>10243</v>
      </c>
      <c r="J1326" t="n">
        <v>9235</v>
      </c>
      <c r="K1326" s="27">
        <f>(H1326/D1326-1)</f>
        <v/>
      </c>
      <c r="L1326" s="27">
        <f>(I1326/D1326-1)</f>
        <v/>
      </c>
      <c r="M1326" s="27">
        <f>(J1326/D1326-1)</f>
        <v/>
      </c>
      <c r="N1326" t="n">
        <v>61</v>
      </c>
      <c r="O1326" s="28">
        <f>(N1326+F1326)/2</f>
        <v/>
      </c>
      <c r="P1326">
        <f>IF(O1326="計算不能","計算不能",IF(O1326&gt;=80,5,IF(O1326&gt;=60,4,IF(O1326&gt;=40,3,IF(O1326&gt;=28,2,1)))))</f>
        <v/>
      </c>
      <c r="Q1326" t="n">
        <v>1453</v>
      </c>
      <c r="R1326" t="n">
        <v>0</v>
      </c>
      <c r="S1326" s="27">
        <f>R1326/Q1326</f>
        <v/>
      </c>
      <c r="T1326" t="inlineStr">
        <is>
          <t>勝央町は2045年までに人口が約12.7%減と緩やかな減少局面。若年層の都市部流出と高齢化が進むが、当面の賃貸稼働は一定程度維持される見通し。</t>
        </is>
      </c>
      <c r="U1326" t="inlineStr">
        <is>
          <t>勝央町は人口密度192人/km²と過疎的水準で、民間賃貸の新規需要は薄い。実需に裏付けられた格安戸建ての指値取得のみが現実的。 借家の空室率は約0%と需給は比較的引き締まっている。</t>
        </is>
      </c>
      <c r="V1326" t="inlineStr">
        <is>
          <t>勝央町（岡山県）：高梁川・旭川・吉井川の氾濫（西日本豪雨の被災記憶）、瀬戸内の高潮に注意。</t>
        </is>
      </c>
    </row>
    <row r="1327">
      <c r="A1327" t="inlineStr">
        <is>
          <t>岡山県</t>
        </is>
      </c>
      <c r="B1327" t="inlineStr">
        <is>
          <t>奈義町</t>
        </is>
      </c>
      <c r="C1327" t="n">
        <v>2444</v>
      </c>
      <c r="D1327" t="n">
        <v>5253</v>
      </c>
      <c r="E1327" s="6" t="n">
        <v>73.40000000000001</v>
      </c>
      <c r="F1327" s="7" t="n">
        <v>17.3</v>
      </c>
      <c r="G1327" t="n">
        <v>5578</v>
      </c>
      <c r="H1327" t="n">
        <v>5253</v>
      </c>
      <c r="I1327" t="n">
        <v>4930</v>
      </c>
      <c r="J1327" t="n">
        <v>3973</v>
      </c>
      <c r="K1327" s="27">
        <f>(H1327/D1327-1)</f>
        <v/>
      </c>
      <c r="L1327" s="27">
        <f>(I1327/D1327-1)</f>
        <v/>
      </c>
      <c r="M1327" s="27">
        <f>(J1327/D1327-1)</f>
        <v/>
      </c>
      <c r="N1327" t="n">
        <v>47.8</v>
      </c>
      <c r="O1327" s="28">
        <f>(N1327+F1327)/2</f>
        <v/>
      </c>
      <c r="P1327">
        <f>IF(O1327="計算不能","計算不能",IF(O1327&gt;=80,5,IF(O1327&gt;=60,4,IF(O1327&gt;=40,3,IF(O1327&gt;=28,2,1)))))</f>
        <v/>
      </c>
      <c r="Q1327" t="n">
        <v>741</v>
      </c>
      <c r="R1327" t="n">
        <v>0</v>
      </c>
      <c r="S1327" s="27">
        <f>R1327/Q1327</f>
        <v/>
      </c>
      <c r="T1327" t="inlineStr">
        <is>
          <t>奈義町は2045年までに人口が約24.4%減と明確な減少トレンド。高齢化の進行と世帯数の縮小により、中長期では賃貸需要の構造的縮小に警戒が必要。</t>
        </is>
      </c>
      <c r="U1327" t="inlineStr">
        <is>
          <t>奈義町は人口密度73人/km²と過疎的水準で、民間賃貸の新規需要は薄い。実需に裏付けられた格安戸建ての指値取得のみが現実的。 借家の空室率は約0%と需給は比較的引き締まっている。</t>
        </is>
      </c>
      <c r="V1327" t="inlineStr">
        <is>
          <t>奈義町（岡山県）：高梁川・旭川・吉井川の氾濫（西日本豪雨の被災記憶）、瀬戸内の高潮に注意。</t>
        </is>
      </c>
    </row>
    <row r="1328">
      <c r="A1328" t="inlineStr">
        <is>
          <t>岡山県</t>
        </is>
      </c>
      <c r="B1328" t="inlineStr">
        <is>
          <t>西粟倉村</t>
        </is>
      </c>
      <c r="C1328" t="n">
        <v>612</v>
      </c>
      <c r="D1328" t="n">
        <v>1305</v>
      </c>
      <c r="E1328" s="6" t="n">
        <v>21.5</v>
      </c>
      <c r="F1328" s="7" t="n">
        <v>12.2</v>
      </c>
      <c r="G1328" t="n">
        <v>1398</v>
      </c>
      <c r="H1328" t="n">
        <v>1305</v>
      </c>
      <c r="I1328" t="n">
        <v>1238</v>
      </c>
      <c r="J1328" t="n">
        <v>1086</v>
      </c>
      <c r="K1328" s="27">
        <f>(H1328/D1328-1)</f>
        <v/>
      </c>
      <c r="L1328" s="27">
        <f>(I1328/D1328-1)</f>
        <v/>
      </c>
      <c r="M1328" s="27">
        <f>(J1328/D1328-1)</f>
        <v/>
      </c>
      <c r="N1328" t="n">
        <v>50.5</v>
      </c>
      <c r="O1328" s="28">
        <f>(N1328+F1328)/2</f>
        <v/>
      </c>
      <c r="P1328">
        <f>IF(O1328="計算不能","計算不能",IF(O1328&gt;=80,5,IF(O1328&gt;=60,4,IF(O1328&gt;=40,3,IF(O1328&gt;=28,2,1)))))</f>
        <v/>
      </c>
      <c r="Q1328" t="n">
        <v>185</v>
      </c>
      <c r="R1328" t="n">
        <v>0</v>
      </c>
      <c r="S1328" s="27">
        <f>R1328/Q1328</f>
        <v/>
      </c>
      <c r="T1328" t="inlineStr">
        <is>
          <t>西粟倉村は2045年までに人口が約16.8%減と明確な減少トレンド。高齢化の進行と世帯数の縮小により、中長期では賃貸需要の構造的縮小に警戒が必要。</t>
        </is>
      </c>
      <c r="U1328" t="inlineStr">
        <is>
          <t>西粟倉村は人口密度22人/km²と過疎的水準で、民間賃貸の新規需要は薄い。実需に裏付けられた格安戸建ての指値取得のみが現実的。 借家の空室率は約0%と需給は比較的引き締まっている。</t>
        </is>
      </c>
      <c r="V1328" t="inlineStr">
        <is>
          <t>西粟倉村（岡山県）：高梁川・旭川・吉井川の氾濫（西日本豪雨の被災記憶）、瀬戸内の高潮に注意。</t>
        </is>
      </c>
    </row>
    <row r="1329">
      <c r="A1329" t="inlineStr">
        <is>
          <t>岡山県</t>
        </is>
      </c>
      <c r="B1329" t="inlineStr">
        <is>
          <t>久米南町</t>
        </is>
      </c>
      <c r="C1329" t="n">
        <v>2138</v>
      </c>
      <c r="D1329" t="n">
        <v>4112</v>
      </c>
      <c r="E1329" s="6" t="n">
        <v>51.4</v>
      </c>
      <c r="F1329" s="7" t="n">
        <v>15.1</v>
      </c>
      <c r="G1329" t="n">
        <v>4530</v>
      </c>
      <c r="H1329" t="n">
        <v>4112</v>
      </c>
      <c r="I1329" t="n">
        <v>3758</v>
      </c>
      <c r="J1329" t="n">
        <v>2832</v>
      </c>
      <c r="K1329" s="27">
        <f>(H1329/D1329-1)</f>
        <v/>
      </c>
      <c r="L1329" s="27">
        <f>(I1329/D1329-1)</f>
        <v/>
      </c>
      <c r="M1329" s="27">
        <f>(J1329/D1329-1)</f>
        <v/>
      </c>
      <c r="N1329" t="n">
        <v>41</v>
      </c>
      <c r="O1329" s="28">
        <f>(N1329+F1329)/2</f>
        <v/>
      </c>
      <c r="P1329">
        <f>IF(O1329="計算不能","計算不能",IF(O1329&gt;=80,5,IF(O1329&gt;=60,4,IF(O1329&gt;=40,3,IF(O1329&gt;=28,2,1)))))</f>
        <v/>
      </c>
      <c r="Q1329" t="n">
        <v>648</v>
      </c>
      <c r="R1329" t="n">
        <v>0</v>
      </c>
      <c r="S1329" s="27">
        <f>R1329/Q1329</f>
        <v/>
      </c>
      <c r="T1329" t="inlineStr">
        <is>
          <t>久米南町は2045年までに人口が約31.1%減と急激な過疎・超高齢化が進行。若年労働世代の流出と自然減が重なり、賃貸事業としての持続性は極めて限定的。</t>
        </is>
      </c>
      <c r="U1329" t="inlineStr">
        <is>
          <t>久米南町は人口密度51人/km²と過疎的水準で、民間賃貸の新規需要は薄い。実需に裏付けられた格安戸建ての指値取得のみが現実的。 借家の空室率は約0%と需給は比較的引き締まっている。</t>
        </is>
      </c>
      <c r="V1329" t="inlineStr">
        <is>
          <t>久米南町（岡山県）：高梁川・旭川・吉井川の氾濫（西日本豪雨の被災記憶）、瀬戸内の高潮に注意。</t>
        </is>
      </c>
    </row>
    <row r="1330">
      <c r="A1330" t="inlineStr">
        <is>
          <t>岡山県</t>
        </is>
      </c>
      <c r="B1330" t="inlineStr">
        <is>
          <t>美咲町</t>
        </is>
      </c>
      <c r="C1330" t="n">
        <v>5836</v>
      </c>
      <c r="D1330" t="n">
        <v>11881</v>
      </c>
      <c r="E1330" s="6" t="n">
        <v>50.1</v>
      </c>
      <c r="F1330" s="7" t="n">
        <v>15</v>
      </c>
      <c r="G1330" t="n">
        <v>13053</v>
      </c>
      <c r="H1330" t="n">
        <v>11881</v>
      </c>
      <c r="I1330" t="n">
        <v>10834</v>
      </c>
      <c r="J1330" t="n">
        <v>8081</v>
      </c>
      <c r="K1330" s="27">
        <f>(H1330/D1330-1)</f>
        <v/>
      </c>
      <c r="L1330" s="27">
        <f>(I1330/D1330-1)</f>
        <v/>
      </c>
      <c r="M1330" s="27">
        <f>(J1330/D1330-1)</f>
        <v/>
      </c>
      <c r="N1330" t="n">
        <v>40.9</v>
      </c>
      <c r="O1330" s="28">
        <f>(N1330+F1330)/2</f>
        <v/>
      </c>
      <c r="P1330">
        <f>IF(O1330="計算不能","計算不能",IF(O1330&gt;=80,5,IF(O1330&gt;=60,4,IF(O1330&gt;=40,3,IF(O1330&gt;=28,2,1)))))</f>
        <v/>
      </c>
      <c r="Q1330" t="n">
        <v>1770</v>
      </c>
      <c r="R1330" t="n">
        <v>0</v>
      </c>
      <c r="S1330" s="27">
        <f>R1330/Q1330</f>
        <v/>
      </c>
      <c r="T1330" t="inlineStr">
        <is>
          <t>美咲町は2045年までに人口が約32.0%減と急激な過疎・超高齢化が進行。若年労働世代の流出と自然減が重なり、賃貸事業としての持続性は極めて限定的。</t>
        </is>
      </c>
      <c r="U1330" t="inlineStr">
        <is>
          <t>美咲町は人口密度50人/km²と過疎的水準で、民間賃貸の新規需要は薄い。実需に裏付けられた格安戸建ての指値取得のみが現実的。 借家の空室率は約0%と需給は比較的引き締まっている。</t>
        </is>
      </c>
      <c r="V1330" t="inlineStr">
        <is>
          <t>美咲町（岡山県）：高梁川・旭川・吉井川の氾濫（西日本豪雨の被災記憶）、瀬戸内の高潮に注意。</t>
        </is>
      </c>
    </row>
    <row r="1331">
      <c r="A1331" t="inlineStr">
        <is>
          <t>岡山県</t>
        </is>
      </c>
      <c r="B1331" t="inlineStr">
        <is>
          <t>吉備中央町</t>
        </is>
      </c>
      <c r="C1331" t="n">
        <v>5161</v>
      </c>
      <c r="D1331" t="n">
        <v>9993</v>
      </c>
      <c r="E1331" s="6" t="n">
        <v>36.9</v>
      </c>
      <c r="F1331" s="7" t="n">
        <v>13.7</v>
      </c>
      <c r="G1331" t="n">
        <v>10886</v>
      </c>
      <c r="H1331" t="n">
        <v>9993</v>
      </c>
      <c r="I1331" t="n">
        <v>9160</v>
      </c>
      <c r="J1331" t="n">
        <v>6899</v>
      </c>
      <c r="K1331" s="27">
        <f>(H1331/D1331-1)</f>
        <v/>
      </c>
      <c r="L1331" s="27">
        <f>(I1331/D1331-1)</f>
        <v/>
      </c>
      <c r="M1331" s="27">
        <f>(J1331/D1331-1)</f>
        <v/>
      </c>
      <c r="N1331" t="n">
        <v>42</v>
      </c>
      <c r="O1331" s="28">
        <f>(N1331+F1331)/2</f>
        <v/>
      </c>
      <c r="P1331">
        <f>IF(O1331="計算不能","計算不能",IF(O1331&gt;=80,5,IF(O1331&gt;=60,4,IF(O1331&gt;=40,3,IF(O1331&gt;=28,2,1)))))</f>
        <v/>
      </c>
      <c r="Q1331" t="n">
        <v>1565</v>
      </c>
      <c r="R1331" t="n">
        <v>0</v>
      </c>
      <c r="S1331" s="27">
        <f>R1331/Q1331</f>
        <v/>
      </c>
      <c r="T1331" t="inlineStr">
        <is>
          <t>吉備中央町は2045年までに人口が約31.0%減と急激な過疎・超高齢化が進行。若年労働世代の流出と自然減が重なり、賃貸事業としての持続性は極めて限定的。</t>
        </is>
      </c>
      <c r="U1331" t="inlineStr">
        <is>
          <t>吉備中央町は人口密度37人/km²と過疎的水準で、民間賃貸の新規需要は薄い。実需に裏付けられた格安戸建ての指値取得のみが現実的。 借家の空室率は約0%と需給は比較的引き締まっている。</t>
        </is>
      </c>
      <c r="V1331" t="inlineStr">
        <is>
          <t>吉備中央町（岡山県）：高梁川・旭川・吉井川の氾濫（西日本豪雨の被災記憶）、瀬戸内の高潮に注意。</t>
        </is>
      </c>
    </row>
    <row r="1332">
      <c r="A1332" t="inlineStr">
        <is>
          <t>広島県</t>
        </is>
      </c>
      <c r="B1332" t="inlineStr">
        <is>
          <t>広島市</t>
        </is>
      </c>
      <c r="C1332" t="n">
        <v>556000</v>
      </c>
      <c r="D1332" t="n">
        <v>1183031</v>
      </c>
      <c r="E1332" s="6" t="n">
        <v>1293.1</v>
      </c>
      <c r="F1332" s="7" t="n">
        <v>60.9</v>
      </c>
      <c r="G1332" t="n">
        <v>1200754</v>
      </c>
      <c r="H1332" t="n">
        <v>1183031</v>
      </c>
      <c r="I1332" t="n">
        <v>1163450</v>
      </c>
      <c r="J1332" t="n">
        <v>1080147</v>
      </c>
      <c r="K1332" s="27">
        <f>(H1332/D1332-1)</f>
        <v/>
      </c>
      <c r="L1332" s="27">
        <f>(I1332/D1332-1)</f>
        <v/>
      </c>
      <c r="M1332" s="27">
        <f>(J1332/D1332-1)</f>
        <v/>
      </c>
      <c r="N1332" t="n">
        <v>66.59999999999999</v>
      </c>
      <c r="O1332" s="28">
        <f>(N1332+F1332)/2</f>
        <v/>
      </c>
      <c r="P1332">
        <f>IF(O1332="計算不能","計算不能",IF(O1332&gt;=80,5,IF(O1332&gt;=60,4,IF(O1332&gt;=40,3,IF(O1332&gt;=28,2,1)))))</f>
        <v/>
      </c>
      <c r="Q1332" t="n">
        <v>235900</v>
      </c>
      <c r="R1332" t="n">
        <v>47900</v>
      </c>
      <c r="S1332" s="27">
        <f>R1332/Q1332</f>
        <v/>
      </c>
      <c r="T1332" t="inlineStr">
        <is>
          <t>広島市は2045年までに人口が約8.7%減と緩やかな減少局面。若年層の都市部流出と高齢化が進むが、当面の賃貸稼働は一定程度維持される見通し。【最新動向】2025年3月の広島駅新駅ビル開業を機に駅周辺の地価が上昇、二葉の里では超高層複合（2026年竣工）が進行。中心部は再開発で集積が進む一方、市全体は2019年以降の人口減局面。</t>
        </is>
      </c>
      <c r="U1332" t="inlineStr">
        <is>
          <t>広島市は人口密度1,293人/km²で、主要道路沿いや中心市街地に一定の賃貸需要が局在。立地選別が稼働を左右する。 借家の空室率は約20%とやや高めで、競合との差別化が必要。【最新動向】紙屋町・八丁堀・広島駅周辺の都心部で安定した賃貸需要。中心部と郊外・島嶼部の格差が大きく、立地選別が稼働を左右する。</t>
        </is>
      </c>
      <c r="V1332" t="inlineStr">
        <is>
          <t>広島市（広島県）：花崗岩風化のまさ土による土砂災害リスクが全国最大級。太田川の氾濫、瀬戸内の高潮に最大級の留意。</t>
        </is>
      </c>
    </row>
    <row r="1333">
      <c r="A1333" t="inlineStr">
        <is>
          <t>広島県</t>
        </is>
      </c>
      <c r="B1333" t="inlineStr">
        <is>
          <t>呉市</t>
        </is>
      </c>
      <c r="C1333" t="n">
        <v>92690</v>
      </c>
      <c r="D1333" t="n">
        <v>195194</v>
      </c>
      <c r="E1333" s="6" t="n">
        <v>544.4</v>
      </c>
      <c r="F1333" s="7" t="n">
        <v>45.9</v>
      </c>
      <c r="G1333" t="n">
        <v>214592</v>
      </c>
      <c r="H1333" t="n">
        <v>195194</v>
      </c>
      <c r="I1333" t="n">
        <v>180931</v>
      </c>
      <c r="J1333" t="n">
        <v>140533</v>
      </c>
      <c r="K1333" s="27">
        <f>(H1333/D1333-1)</f>
        <v/>
      </c>
      <c r="L1333" s="27">
        <f>(I1333/D1333-1)</f>
        <v/>
      </c>
      <c r="M1333" s="27">
        <f>(J1333/D1333-1)</f>
        <v/>
      </c>
      <c r="N1333" t="n">
        <v>42.3</v>
      </c>
      <c r="O1333" s="28">
        <f>(N1333+F1333)/2</f>
        <v/>
      </c>
      <c r="P1333">
        <f>IF(O1333="計算不能","計算不能",IF(O1333&gt;=80,5,IF(O1333&gt;=60,4,IF(O1333&gt;=40,3,IF(O1333&gt;=28,2,1)))))</f>
        <v/>
      </c>
      <c r="Q1333" t="n">
        <v>31749</v>
      </c>
      <c r="R1333" t="n">
        <v>8810</v>
      </c>
      <c r="S1333" s="27">
        <f>R1333/Q1333</f>
        <v/>
      </c>
      <c r="T1333" t="inlineStr">
        <is>
          <t>呉市は2045年までに人口が約28.0%減と明確な減少トレンド。高齢化の進行と世帯数の縮小により、中長期では賃貸需要の構造的縮小に警戒が必要。</t>
        </is>
      </c>
      <c r="U1333" t="inlineStr">
        <is>
          <t>呉市は人口密度544人/km²で、主要道路沿いや中心市街地に一定の賃貸需要が局在。立地選別が稼働を左右する。 借家の空室率は約28%と供給過多気味で、空室長期化リスクに要警戒。</t>
        </is>
      </c>
      <c r="V1333" t="inlineStr">
        <is>
          <t>呉市（広島県）：花崗岩風化のまさ土による土砂災害リスクが全国最大級。太田川の氾濫、瀬戸内の高潮に最大級の留意。</t>
        </is>
      </c>
    </row>
    <row r="1334">
      <c r="A1334" t="inlineStr">
        <is>
          <t>広島県</t>
        </is>
      </c>
      <c r="B1334" t="inlineStr">
        <is>
          <t>竹原市</t>
        </is>
      </c>
      <c r="C1334" t="n">
        <v>9730</v>
      </c>
      <c r="D1334" t="n">
        <v>21410</v>
      </c>
      <c r="E1334" s="6" t="n">
        <v>184</v>
      </c>
      <c r="F1334" s="7" t="n">
        <v>28.4</v>
      </c>
      <c r="G1334" t="n">
        <v>23993</v>
      </c>
      <c r="H1334" t="n">
        <v>21410</v>
      </c>
      <c r="I1334" t="n">
        <v>19265</v>
      </c>
      <c r="J1334" t="n">
        <v>13294</v>
      </c>
      <c r="K1334" s="27">
        <f>(H1334/D1334-1)</f>
        <v/>
      </c>
      <c r="L1334" s="27">
        <f>(I1334/D1334-1)</f>
        <v/>
      </c>
      <c r="M1334" s="27">
        <f>(J1334/D1334-1)</f>
        <v/>
      </c>
      <c r="N1334" t="n">
        <v>37.6</v>
      </c>
      <c r="O1334" s="28">
        <f>(N1334+F1334)/2</f>
        <v/>
      </c>
      <c r="P1334">
        <f>IF(O1334="計算不能","計算不能",IF(O1334&gt;=80,5,IF(O1334&gt;=60,4,IF(O1334&gt;=40,3,IF(O1334&gt;=28,2,1)))))</f>
        <v/>
      </c>
      <c r="Q1334" t="n">
        <v>3332</v>
      </c>
      <c r="R1334" t="n">
        <v>1440</v>
      </c>
      <c r="S1334" s="27">
        <f>R1334/Q1334</f>
        <v/>
      </c>
      <c r="T1334" t="inlineStr">
        <is>
          <t>竹原市は2045年までに人口が約37.9%減と急激な過疎・超高齢化が進行。若年労働世代の流出と自然減が重なり、賃貸事業としての持続性は極めて限定的。</t>
        </is>
      </c>
      <c r="U1334" t="inlineStr">
        <is>
          <t>竹原市は人口密度184人/km²と過疎的水準で、民間賃貸の新規需要は薄い。実需に裏付けられた格安戸建ての指値取得のみが現実的。 借家の空室率は約43%と供給過多気味で、空室長期化リスクに要警戒。</t>
        </is>
      </c>
      <c r="V1334" t="inlineStr">
        <is>
          <t>竹原市（広島県）：花崗岩風化のまさ土による土砂災害リスクが全国最大級。太田川の氾濫、瀬戸内の高潮に最大級の留意。</t>
        </is>
      </c>
    </row>
    <row r="1335">
      <c r="A1335" t="inlineStr">
        <is>
          <t>広島県</t>
        </is>
      </c>
      <c r="B1335" t="inlineStr">
        <is>
          <t>三原市</t>
        </is>
      </c>
      <c r="C1335" t="n">
        <v>37760</v>
      </c>
      <c r="D1335" t="n">
        <v>82920</v>
      </c>
      <c r="E1335" s="6" t="n">
        <v>178</v>
      </c>
      <c r="F1335" s="7" t="n">
        <v>27.8</v>
      </c>
      <c r="G1335" t="n">
        <v>90573</v>
      </c>
      <c r="H1335" t="n">
        <v>82920</v>
      </c>
      <c r="I1335" t="n">
        <v>77379</v>
      </c>
      <c r="J1335" t="n">
        <v>61319</v>
      </c>
      <c r="K1335" s="27">
        <f>(H1335/D1335-1)</f>
        <v/>
      </c>
      <c r="L1335" s="27">
        <f>(I1335/D1335-1)</f>
        <v/>
      </c>
      <c r="M1335" s="27">
        <f>(J1335/D1335-1)</f>
        <v/>
      </c>
      <c r="N1335" t="n">
        <v>43.4</v>
      </c>
      <c r="O1335" s="28">
        <f>(N1335+F1335)/2</f>
        <v/>
      </c>
      <c r="P1335">
        <f>IF(O1335="計算不能","計算不能",IF(O1335&gt;=80,5,IF(O1335&gt;=60,4,IF(O1335&gt;=40,3,IF(O1335&gt;=28,2,1)))))</f>
        <v/>
      </c>
      <c r="Q1335" t="n">
        <v>12933</v>
      </c>
      <c r="R1335" t="n">
        <v>4070</v>
      </c>
      <c r="S1335" s="27">
        <f>R1335/Q1335</f>
        <v/>
      </c>
      <c r="T1335" t="inlineStr">
        <is>
          <t>三原市は2045年までに人口が約26.1%減と明確な減少トレンド。高齢化の進行と世帯数の縮小により、中長期では賃貸需要の構造的縮小に警戒が必要。</t>
        </is>
      </c>
      <c r="U1335" t="inlineStr">
        <is>
          <t>三原市は人口密度178人/km²と過疎的水準で、民間賃貸の新規需要は薄い。実需に裏付けられた格安戸建ての指値取得のみが現実的。 借家の空室率は約31%と供給過多気味で、空室長期化リスクに要警戒。</t>
        </is>
      </c>
      <c r="V1335" t="inlineStr">
        <is>
          <t>三原市（広島県）：花崗岩風化のまさ土による土砂災害リスクが全国最大級。太田川の氾濫、瀬戸内の高潮に最大級の留意。</t>
        </is>
      </c>
    </row>
    <row r="1336">
      <c r="A1336" t="inlineStr">
        <is>
          <t>広島県</t>
        </is>
      </c>
      <c r="B1336" t="inlineStr">
        <is>
          <t>尾道市</t>
        </is>
      </c>
      <c r="C1336" t="n">
        <v>54890</v>
      </c>
      <c r="D1336" t="n">
        <v>123948</v>
      </c>
      <c r="E1336" s="6" t="n">
        <v>422.4</v>
      </c>
      <c r="F1336" s="7" t="n">
        <v>41.1</v>
      </c>
      <c r="G1336" t="n">
        <v>131170</v>
      </c>
      <c r="H1336" t="n">
        <v>123948</v>
      </c>
      <c r="I1336" t="n">
        <v>116375</v>
      </c>
      <c r="J1336" t="n">
        <v>94437</v>
      </c>
      <c r="K1336" s="27">
        <f>(H1336/D1336-1)</f>
        <v/>
      </c>
      <c r="L1336" s="27">
        <f>(I1336/D1336-1)</f>
        <v/>
      </c>
      <c r="M1336" s="27">
        <f>(J1336/D1336-1)</f>
        <v/>
      </c>
      <c r="N1336" t="n">
        <v>48.7</v>
      </c>
      <c r="O1336" s="28">
        <f>(N1336+F1336)/2</f>
        <v/>
      </c>
      <c r="P1336">
        <f>IF(O1336="計算不能","計算不能",IF(O1336&gt;=80,5,IF(O1336&gt;=60,4,IF(O1336&gt;=40,3,IF(O1336&gt;=28,2,1)))))</f>
        <v/>
      </c>
      <c r="Q1336" t="n">
        <v>18801</v>
      </c>
      <c r="R1336" t="n">
        <v>3880</v>
      </c>
      <c r="S1336" s="27">
        <f>R1336/Q1336</f>
        <v/>
      </c>
      <c r="T1336" t="inlineStr">
        <is>
          <t>尾道市は2045年までに人口が約23.8%減と明確な減少トレンド。高齢化の進行と世帯数の縮小により、中長期では賃貸需要の構造的縮小に警戒が必要。</t>
        </is>
      </c>
      <c r="U1336" t="inlineStr">
        <is>
          <t>尾道市は人口密度422人/km²と低密度で、賃貸需要は限定的。持ち家比率が高く、駐車場完備の戸建て賃貸が有利。 借家の空室率は約21%とやや高めで、競合との差別化が必要。</t>
        </is>
      </c>
      <c r="V1336" t="inlineStr">
        <is>
          <t>尾道市（広島県）：花崗岩風化のまさ土による土砂災害リスクが全国最大級。太田川の氾濫、瀬戸内の高潮に最大級の留意。</t>
        </is>
      </c>
    </row>
    <row r="1337">
      <c r="A1337" t="inlineStr">
        <is>
          <t>広島県</t>
        </is>
      </c>
      <c r="B1337" t="inlineStr">
        <is>
          <t>福山市</t>
        </is>
      </c>
      <c r="C1337" t="n">
        <v>193760</v>
      </c>
      <c r="D1337" t="n">
        <v>443916</v>
      </c>
      <c r="E1337" s="6" t="n">
        <v>849.9</v>
      </c>
      <c r="F1337" s="7" t="n">
        <v>52</v>
      </c>
      <c r="G1337" t="n">
        <v>460930</v>
      </c>
      <c r="H1337" t="n">
        <v>443916</v>
      </c>
      <c r="I1337" t="n">
        <v>433829</v>
      </c>
      <c r="J1337" t="n">
        <v>396877</v>
      </c>
      <c r="K1337" s="27">
        <f>(H1337/D1337-1)</f>
        <v/>
      </c>
      <c r="L1337" s="27">
        <f>(I1337/D1337-1)</f>
        <v/>
      </c>
      <c r="M1337" s="27">
        <f>(J1337/D1337-1)</f>
        <v/>
      </c>
      <c r="N1337" t="n">
        <v>61</v>
      </c>
      <c r="O1337" s="28">
        <f>(N1337+F1337)/2</f>
        <v/>
      </c>
      <c r="P1337">
        <f>IF(O1337="計算不能","計算不能",IF(O1337&gt;=80,5,IF(O1337&gt;=60,4,IF(O1337&gt;=40,3,IF(O1337&gt;=28,2,1)))))</f>
        <v/>
      </c>
      <c r="Q1337" t="n">
        <v>66368</v>
      </c>
      <c r="R1337" t="n">
        <v>17030</v>
      </c>
      <c r="S1337" s="27">
        <f>R1337/Q1337</f>
        <v/>
      </c>
      <c r="T1337" t="inlineStr">
        <is>
          <t>福山市は2045年までに人口が約10.6%減と緩やかな減少局面。若年層の都市部流出と高齢化が進むが、当面の賃貸稼働は一定程度維持される見通し。</t>
        </is>
      </c>
      <c r="U1337" t="inlineStr">
        <is>
          <t>福山市は人口密度850人/km²で、主要道路沿いや中心市街地に一定の賃貸需要が局在。立地選別が稼働を左右する。 借家の空室率は約26%と供給過多気味で、空室長期化リスクに要警戒。</t>
        </is>
      </c>
      <c r="V1337" t="inlineStr">
        <is>
          <t>福山市（広島県）：花崗岩風化のまさ土による土砂災害リスクが全国最大級。太田川の氾濫、瀬戸内の高潮に最大級の留意。</t>
        </is>
      </c>
    </row>
    <row r="1338">
      <c r="A1338" t="inlineStr">
        <is>
          <t>広島県</t>
        </is>
      </c>
      <c r="B1338" t="inlineStr">
        <is>
          <t>府中市</t>
        </is>
      </c>
      <c r="C1338" t="n">
        <v>14050</v>
      </c>
      <c r="D1338" t="n">
        <v>34031</v>
      </c>
      <c r="E1338" s="6" t="n">
        <v>170.4</v>
      </c>
      <c r="F1338" s="7" t="n">
        <v>27</v>
      </c>
      <c r="G1338" t="n">
        <v>37655</v>
      </c>
      <c r="H1338" t="n">
        <v>34031</v>
      </c>
      <c r="I1338" t="n">
        <v>31162</v>
      </c>
      <c r="J1338" t="n">
        <v>23185</v>
      </c>
      <c r="K1338" s="27">
        <f>(H1338/D1338-1)</f>
        <v/>
      </c>
      <c r="L1338" s="27">
        <f>(I1338/D1338-1)</f>
        <v/>
      </c>
      <c r="M1338" s="27">
        <f>(J1338/D1338-1)</f>
        <v/>
      </c>
      <c r="N1338" t="n">
        <v>40.5</v>
      </c>
      <c r="O1338" s="28">
        <f>(N1338+F1338)/2</f>
        <v/>
      </c>
      <c r="P1338">
        <f>IF(O1338="計算不能","計算不能",IF(O1338&gt;=80,5,IF(O1338&gt;=60,4,IF(O1338&gt;=40,3,IF(O1338&gt;=28,2,1)))))</f>
        <v/>
      </c>
      <c r="Q1338" t="n">
        <v>4812</v>
      </c>
      <c r="R1338" t="n">
        <v>1540</v>
      </c>
      <c r="S1338" s="27">
        <f>R1338/Q1338</f>
        <v/>
      </c>
      <c r="T1338" t="inlineStr">
        <is>
          <t>府中市は2045年までに人口が約31.9%減と急激な過疎・超高齢化が進行。若年労働世代の流出と自然減が重なり、賃貸事業としての持続性は極めて限定的。</t>
        </is>
      </c>
      <c r="U1338" t="inlineStr">
        <is>
          <t>府中市は人口密度170人/km²と過疎的水準で、民間賃貸の新規需要は薄い。実需に裏付けられた格安戸建ての指値取得のみが現実的。 借家の空室率は約32%と供給過多気味で、空室長期化リスクに要警戒。</t>
        </is>
      </c>
      <c r="V1338" t="inlineStr">
        <is>
          <t>府中市（広島県）：花崗岩風化のまさ土による土砂災害リスクが全国最大級。太田川の氾濫、瀬戸内の高潮に最大級の留意。</t>
        </is>
      </c>
    </row>
    <row r="1339">
      <c r="A1339" t="inlineStr">
        <is>
          <t>広島県</t>
        </is>
      </c>
      <c r="B1339" t="inlineStr">
        <is>
          <t>三次市</t>
        </is>
      </c>
      <c r="C1339" t="n">
        <v>20230</v>
      </c>
      <c r="D1339" t="n">
        <v>47143</v>
      </c>
      <c r="E1339" s="6" t="n">
        <v>59.9</v>
      </c>
      <c r="F1339" s="7" t="n">
        <v>16</v>
      </c>
      <c r="G1339" t="n">
        <v>50681</v>
      </c>
      <c r="H1339" t="n">
        <v>47143</v>
      </c>
      <c r="I1339" t="n">
        <v>44370</v>
      </c>
      <c r="J1339" t="n">
        <v>36532</v>
      </c>
      <c r="K1339" s="27">
        <f>(H1339/D1339-1)</f>
        <v/>
      </c>
      <c r="L1339" s="27">
        <f>(I1339/D1339-1)</f>
        <v/>
      </c>
      <c r="M1339" s="27">
        <f>(J1339/D1339-1)</f>
        <v/>
      </c>
      <c r="N1339" t="n">
        <v>46.7</v>
      </c>
      <c r="O1339" s="28">
        <f>(N1339+F1339)/2</f>
        <v/>
      </c>
      <c r="P1339">
        <f>IF(O1339="計算不能","計算不能",IF(O1339&gt;=80,5,IF(O1339&gt;=60,4,IF(O1339&gt;=40,3,IF(O1339&gt;=28,2,1)))))</f>
        <v/>
      </c>
      <c r="Q1339" t="n">
        <v>6929</v>
      </c>
      <c r="R1339" t="n">
        <v>2120</v>
      </c>
      <c r="S1339" s="27">
        <f>R1339/Q1339</f>
        <v/>
      </c>
      <c r="T1339" t="inlineStr">
        <is>
          <t>三次市は2045年までに人口が約22.5%減と明確な減少トレンド。高齢化の進行と世帯数の縮小により、中長期では賃貸需要の構造的縮小に警戒が必要。</t>
        </is>
      </c>
      <c r="U1339" t="inlineStr">
        <is>
          <t>三次市は人口密度60人/km²と過疎的水準で、民間賃貸の新規需要は薄い。実需に裏付けられた格安戸建ての指値取得のみが現実的。 借家の空室率は約31%と供給過多気味で、空室長期化リスクに要警戒。</t>
        </is>
      </c>
      <c r="V1339" t="inlineStr">
        <is>
          <t>三次市（広島県）：花崗岩風化のまさ土による土砂災害リスクが全国最大級。太田川の氾濫、瀬戸内の高潮に最大級の留意。</t>
        </is>
      </c>
    </row>
    <row r="1340">
      <c r="A1340" t="inlineStr">
        <is>
          <t>広島県</t>
        </is>
      </c>
      <c r="B1340" t="inlineStr">
        <is>
          <t>庄原市</t>
        </is>
      </c>
      <c r="C1340" t="n">
        <v>13200</v>
      </c>
      <c r="D1340" t="n">
        <v>29909</v>
      </c>
      <c r="E1340" s="6" t="n">
        <v>23.7</v>
      </c>
      <c r="F1340" s="7" t="n">
        <v>12.4</v>
      </c>
      <c r="G1340" t="n">
        <v>33633</v>
      </c>
      <c r="H1340" t="n">
        <v>29909</v>
      </c>
      <c r="I1340" t="n">
        <v>27078</v>
      </c>
      <c r="J1340" t="n">
        <v>19951</v>
      </c>
      <c r="K1340" s="27">
        <f>(H1340/D1340-1)</f>
        <v/>
      </c>
      <c r="L1340" s="27">
        <f>(I1340/D1340-1)</f>
        <v/>
      </c>
      <c r="M1340" s="27">
        <f>(J1340/D1340-1)</f>
        <v/>
      </c>
      <c r="N1340" t="n">
        <v>38.6</v>
      </c>
      <c r="O1340" s="28">
        <f>(N1340+F1340)/2</f>
        <v/>
      </c>
      <c r="P1340">
        <f>IF(O1340="計算不能","計算不能",IF(O1340&gt;=80,5,IF(O1340&gt;=60,4,IF(O1340&gt;=40,3,IF(O1340&gt;=28,2,1)))))</f>
        <v/>
      </c>
      <c r="Q1340" t="n">
        <v>4521</v>
      </c>
      <c r="R1340" t="n">
        <v>1170</v>
      </c>
      <c r="S1340" s="27">
        <f>R1340/Q1340</f>
        <v/>
      </c>
      <c r="T1340" t="inlineStr">
        <is>
          <t>庄原市は2045年までに人口が約33.3%減と急激な過疎・超高齢化が進行。若年労働世代の流出と自然減が重なり、賃貸事業としての持続性は極めて限定的。</t>
        </is>
      </c>
      <c r="U1340" t="inlineStr">
        <is>
          <t>庄原市は人口密度24人/km²と過疎的水準で、民間賃貸の新規需要は薄い。実需に裏付けられた格安戸建ての指値取得のみが現実的。 借家の空室率は約26%と供給過多気味で、空室長期化リスクに要警戒。</t>
        </is>
      </c>
      <c r="V1340" t="inlineStr">
        <is>
          <t>庄原市（広島県）：花崗岩風化のまさ土による土砂災害リスクが全国最大級。太田川の氾濫、瀬戸内の高潮に最大級の留意。</t>
        </is>
      </c>
    </row>
    <row r="1341">
      <c r="A1341" t="inlineStr">
        <is>
          <t>広島県</t>
        </is>
      </c>
      <c r="B1341" t="inlineStr">
        <is>
          <t>大竹市</t>
        </is>
      </c>
      <c r="C1341" t="n">
        <v>11440</v>
      </c>
      <c r="D1341" t="n">
        <v>24892</v>
      </c>
      <c r="E1341" s="6" t="n">
        <v>313.4</v>
      </c>
      <c r="F1341" s="7" t="n">
        <v>35.7</v>
      </c>
      <c r="G1341" t="n">
        <v>26319</v>
      </c>
      <c r="H1341" t="n">
        <v>24892</v>
      </c>
      <c r="I1341" t="n">
        <v>23319</v>
      </c>
      <c r="J1341" t="n">
        <v>18672</v>
      </c>
      <c r="K1341" s="27">
        <f>(H1341/D1341-1)</f>
        <v/>
      </c>
      <c r="L1341" s="27">
        <f>(I1341/D1341-1)</f>
        <v/>
      </c>
      <c r="M1341" s="27">
        <f>(J1341/D1341-1)</f>
        <v/>
      </c>
      <c r="N1341" t="n">
        <v>48.2</v>
      </c>
      <c r="O1341" s="28">
        <f>(N1341+F1341)/2</f>
        <v/>
      </c>
      <c r="P1341">
        <f>IF(O1341="計算不能","計算不能",IF(O1341&gt;=80,5,IF(O1341&gt;=60,4,IF(O1341&gt;=40,3,IF(O1341&gt;=28,2,1)))))</f>
        <v/>
      </c>
      <c r="Q1341" t="n">
        <v>3918</v>
      </c>
      <c r="R1341" t="n">
        <v>860</v>
      </c>
      <c r="S1341" s="27">
        <f>R1341/Q1341</f>
        <v/>
      </c>
      <c r="T1341" t="inlineStr">
        <is>
          <t>大竹市は2045年までに人口が約25.0%減と明確な減少トレンド。高齢化の進行と世帯数の縮小により、中長期では賃貸需要の構造的縮小に警戒が必要。</t>
        </is>
      </c>
      <c r="U1341" t="inlineStr">
        <is>
          <t>大竹市は人口密度313人/km²と低密度で、賃貸需要は限定的。持ち家比率が高く、駐車場完備の戸建て賃貸が有利。 借家の空室率は約22%とやや高めで、競合との差別化が必要。</t>
        </is>
      </c>
      <c r="V1341" t="inlineStr">
        <is>
          <t>大竹市（広島県）：花崗岩風化のまさ土による土砂災害リスクが全国最大級。太田川の氾濫、瀬戸内の高潮に最大級の留意。</t>
        </is>
      </c>
    </row>
    <row r="1342">
      <c r="A1342" t="inlineStr">
        <is>
          <t>広島県</t>
        </is>
      </c>
      <c r="B1342" t="inlineStr">
        <is>
          <t>東広島市</t>
        </is>
      </c>
      <c r="C1342" t="n">
        <v>93450</v>
      </c>
      <c r="D1342" t="n">
        <v>197609</v>
      </c>
      <c r="E1342" s="6" t="n">
        <v>312.5</v>
      </c>
      <c r="F1342" s="7" t="n">
        <v>35.6</v>
      </c>
      <c r="G1342" t="n">
        <v>196608</v>
      </c>
      <c r="H1342" t="n">
        <v>197609</v>
      </c>
      <c r="I1342" t="n">
        <v>196148</v>
      </c>
      <c r="J1342" t="n">
        <v>184581</v>
      </c>
      <c r="K1342" s="27">
        <f>(H1342/D1342-1)</f>
        <v/>
      </c>
      <c r="L1342" s="27">
        <f>(I1342/D1342-1)</f>
        <v/>
      </c>
      <c r="M1342" s="27">
        <f>(J1342/D1342-1)</f>
        <v/>
      </c>
      <c r="N1342" t="n">
        <v>72.2</v>
      </c>
      <c r="O1342" s="28">
        <f>(N1342+F1342)/2</f>
        <v/>
      </c>
      <c r="P1342">
        <f>IF(O1342="計算不能","計算不能",IF(O1342&gt;=80,5,IF(O1342&gt;=60,4,IF(O1342&gt;=40,3,IF(O1342&gt;=28,2,1)))))</f>
        <v/>
      </c>
      <c r="Q1342" t="n">
        <v>32009</v>
      </c>
      <c r="R1342" t="n">
        <v>6340</v>
      </c>
      <c r="S1342" s="27">
        <f>R1342/Q1342</f>
        <v/>
      </c>
      <c r="T1342" t="inlineStr">
        <is>
          <t>東広島市は2045年までに人口が約6.6%減と緩やかな減少局面。若年層の都市部流出と高齢化が進むが、当面の賃貸稼働は一定程度維持される見通し。</t>
        </is>
      </c>
      <c r="U1342" t="inlineStr">
        <is>
          <t>東広島市は人口密度312人/km²と低密度で、賃貸需要は限定的。持ち家比率が高く、駐車場完備の戸建て賃貸が有利。 借家の空室率は約20%とやや高めで、競合との差別化が必要。</t>
        </is>
      </c>
      <c r="V1342" t="inlineStr">
        <is>
          <t>東広島市（広島県）：花崗岩風化のまさ土による土砂災害リスクが全国最大級。太田川の氾濫、瀬戸内の高潮に最大級の留意。</t>
        </is>
      </c>
    </row>
    <row r="1343">
      <c r="A1343" t="inlineStr">
        <is>
          <t>広島県</t>
        </is>
      </c>
      <c r="B1343" t="inlineStr">
        <is>
          <t>廿日市市</t>
        </is>
      </c>
      <c r="C1343" t="n">
        <v>46840</v>
      </c>
      <c r="D1343" t="n">
        <v>112234</v>
      </c>
      <c r="E1343" s="6" t="n">
        <v>228.7</v>
      </c>
      <c r="F1343" s="7" t="n">
        <v>31.4</v>
      </c>
      <c r="G1343" t="n">
        <v>114173</v>
      </c>
      <c r="H1343" t="n">
        <v>112234</v>
      </c>
      <c r="I1343" t="n">
        <v>109241</v>
      </c>
      <c r="J1343" t="n">
        <v>97873</v>
      </c>
      <c r="K1343" s="27">
        <f>(H1343/D1343-1)</f>
        <v/>
      </c>
      <c r="L1343" s="27">
        <f>(I1343/D1343-1)</f>
        <v/>
      </c>
      <c r="M1343" s="27">
        <f>(J1343/D1343-1)</f>
        <v/>
      </c>
      <c r="N1343" t="n">
        <v>63.5</v>
      </c>
      <c r="O1343" s="28">
        <f>(N1343+F1343)/2</f>
        <v/>
      </c>
      <c r="P1343">
        <f>IF(O1343="計算不能","計算不能",IF(O1343&gt;=80,5,IF(O1343&gt;=60,4,IF(O1343&gt;=40,3,IF(O1343&gt;=28,2,1)))))</f>
        <v/>
      </c>
      <c r="Q1343" t="n">
        <v>16044</v>
      </c>
      <c r="R1343" t="n">
        <v>2330</v>
      </c>
      <c r="S1343" s="27">
        <f>R1343/Q1343</f>
        <v/>
      </c>
      <c r="T1343" t="inlineStr">
        <is>
          <t>廿日市市は2045年までに人口が約12.8%減と緩やかな減少局面。若年層の都市部流出と高齢化が進むが、当面の賃貸稼働は一定程度維持される見通し。</t>
        </is>
      </c>
      <c r="U1343" t="inlineStr">
        <is>
          <t>廿日市市は人口密度229人/km²と低密度で、賃貸需要は限定的。持ち家比率が高く、駐車場完備の戸建て賃貸が有利。 借家の空室率は約15%と需給は比較的引き締まっている。</t>
        </is>
      </c>
      <c r="V1343" t="inlineStr">
        <is>
          <t>廿日市市（広島県）：花崗岩風化のまさ土による土砂災害リスクが全国最大級。太田川の氾濫、瀬戸内の高潮に最大級の留意。</t>
        </is>
      </c>
    </row>
    <row r="1344">
      <c r="A1344" t="inlineStr">
        <is>
          <t>広島県</t>
        </is>
      </c>
      <c r="B1344" t="inlineStr">
        <is>
          <t>安芸高田市</t>
        </is>
      </c>
      <c r="C1344" t="n">
        <v>10560</v>
      </c>
      <c r="D1344" t="n">
        <v>24251</v>
      </c>
      <c r="E1344" s="6" t="n">
        <v>46</v>
      </c>
      <c r="F1344" s="7" t="n">
        <v>14.6</v>
      </c>
      <c r="G1344" t="n">
        <v>26448</v>
      </c>
      <c r="H1344" t="n">
        <v>24251</v>
      </c>
      <c r="I1344" t="n">
        <v>22197</v>
      </c>
      <c r="J1344" t="n">
        <v>16515</v>
      </c>
      <c r="K1344" s="27">
        <f>(H1344/D1344-1)</f>
        <v/>
      </c>
      <c r="L1344" s="27">
        <f>(I1344/D1344-1)</f>
        <v/>
      </c>
      <c r="M1344" s="27">
        <f>(J1344/D1344-1)</f>
        <v/>
      </c>
      <c r="N1344" t="n">
        <v>41.7</v>
      </c>
      <c r="O1344" s="28">
        <f>(N1344+F1344)/2</f>
        <v/>
      </c>
      <c r="P1344">
        <f>IF(O1344="計算不能","計算不能",IF(O1344&gt;=80,5,IF(O1344&gt;=60,4,IF(O1344&gt;=40,3,IF(O1344&gt;=28,2,1)))))</f>
        <v/>
      </c>
      <c r="Q1344" t="n">
        <v>3617</v>
      </c>
      <c r="R1344" t="n">
        <v>230</v>
      </c>
      <c r="S1344" s="27">
        <f>R1344/Q1344</f>
        <v/>
      </c>
      <c r="T1344" t="inlineStr">
        <is>
          <t>安芸高田市は2045年までに人口が約31.9%減と急激な過疎・超高齢化が進行。若年労働世代の流出と自然減が重なり、賃貸事業としての持続性は極めて限定的。</t>
        </is>
      </c>
      <c r="U1344" t="inlineStr">
        <is>
          <t>安芸高田市は人口密度46人/km²と過疎的水準で、民間賃貸の新規需要は薄い。実需に裏付けられた格安戸建ての指値取得のみが現実的。 借家の空室率は約6%と需給は比較的引き締まっている。</t>
        </is>
      </c>
      <c r="V1344" t="inlineStr">
        <is>
          <t>安芸高田市（広島県）：花崗岩風化のまさ土による土砂災害リスクが全国最大級。太田川の氾濫、瀬戸内の高潮に最大級の留意。</t>
        </is>
      </c>
    </row>
    <row r="1345">
      <c r="A1345" t="inlineStr">
        <is>
          <t>広島県</t>
        </is>
      </c>
      <c r="B1345" t="inlineStr">
        <is>
          <t>江田島市</t>
        </is>
      </c>
      <c r="C1345" t="n">
        <v>9300</v>
      </c>
      <c r="D1345" t="n">
        <v>19673</v>
      </c>
      <c r="E1345" s="6" t="n">
        <v>196.2</v>
      </c>
      <c r="F1345" s="7" t="n">
        <v>29.6</v>
      </c>
      <c r="G1345" t="n">
        <v>21930</v>
      </c>
      <c r="H1345" t="n">
        <v>19673</v>
      </c>
      <c r="I1345" t="n">
        <v>17560</v>
      </c>
      <c r="J1345" t="n">
        <v>11780</v>
      </c>
      <c r="K1345" s="27">
        <f>(H1345/D1345-1)</f>
        <v/>
      </c>
      <c r="L1345" s="27">
        <f>(I1345/D1345-1)</f>
        <v/>
      </c>
      <c r="M1345" s="27">
        <f>(J1345/D1345-1)</f>
        <v/>
      </c>
      <c r="N1345" t="n">
        <v>37.3</v>
      </c>
      <c r="O1345" s="28">
        <f>(N1345+F1345)/2</f>
        <v/>
      </c>
      <c r="P1345">
        <f>IF(O1345="計算不能","計算不能",IF(O1345&gt;=80,5,IF(O1345&gt;=60,4,IF(O1345&gt;=40,3,IF(O1345&gt;=28,2,1)))))</f>
        <v/>
      </c>
      <c r="Q1345" t="n">
        <v>3185</v>
      </c>
      <c r="R1345" t="n">
        <v>520</v>
      </c>
      <c r="S1345" s="27">
        <f>R1345/Q1345</f>
        <v/>
      </c>
      <c r="T1345" t="inlineStr">
        <is>
          <t>江田島市は2045年までに人口が約40.1%減と急激な過疎・超高齢化が進行。若年労働世代の流出と自然減が重なり、賃貸事業としての持続性は極めて限定的。</t>
        </is>
      </c>
      <c r="U1345" t="inlineStr">
        <is>
          <t>江田島市は人口密度196人/km²と過疎的水準で、民間賃貸の新規需要は薄い。実需に裏付けられた格安戸建ての指値取得のみが現実的。 借家の空室率は約16%と需給は比較的引き締まっている。</t>
        </is>
      </c>
      <c r="V1345" t="inlineStr">
        <is>
          <t>江田島市（広島県）：花崗岩風化のまさ土による土砂災害リスクが全国最大級。太田川の氾濫、瀬戸内の高潮に最大級の留意。</t>
        </is>
      </c>
    </row>
    <row r="1346">
      <c r="A1346" t="inlineStr">
        <is>
          <t>広島県</t>
        </is>
      </c>
      <c r="B1346" t="inlineStr">
        <is>
          <t>府中町</t>
        </is>
      </c>
      <c r="C1346" t="n">
        <v>22300</v>
      </c>
      <c r="D1346" t="n">
        <v>51148</v>
      </c>
      <c r="E1346" s="6" t="n">
        <v>4919.6</v>
      </c>
      <c r="F1346" s="7" t="n">
        <v>80</v>
      </c>
      <c r="G1346" t="n">
        <v>51155</v>
      </c>
      <c r="H1346" t="n">
        <v>51148</v>
      </c>
      <c r="I1346" t="n">
        <v>49967</v>
      </c>
      <c r="J1346" t="n">
        <v>45965</v>
      </c>
      <c r="K1346" s="27">
        <f>(H1346/D1346-1)</f>
        <v/>
      </c>
      <c r="L1346" s="27">
        <f>(I1346/D1346-1)</f>
        <v/>
      </c>
      <c r="M1346" s="27">
        <f>(J1346/D1346-1)</f>
        <v/>
      </c>
      <c r="N1346" t="n">
        <v>68.3</v>
      </c>
      <c r="O1346" s="28">
        <f>(N1346+F1346)/2</f>
        <v/>
      </c>
      <c r="P1346">
        <f>IF(O1346="計算不能","計算不能",IF(O1346&gt;=80,5,IF(O1346&gt;=60,4,IF(O1346&gt;=40,3,IF(O1346&gt;=28,2,1)))))</f>
        <v/>
      </c>
      <c r="Q1346" t="n">
        <v>7638</v>
      </c>
      <c r="R1346" t="n">
        <v>1720</v>
      </c>
      <c r="S1346" s="27">
        <f>R1346/Q1346</f>
        <v/>
      </c>
      <c r="T1346" t="inlineStr">
        <is>
          <t>府中町は2045年までに人口が約10.1%減と緩やかな減少局面。若年層の都市部流出と高齢化が進むが、当面の賃貸稼働は一定程度維持される見通し。</t>
        </is>
      </c>
      <c r="U1346" t="inlineStr">
        <is>
          <t>府中町は人口密度4,920人/km²の都市部で、駅周辺や生活利便施設沿いに安定した賃貸需要がある。適切な家賃設定で高稼働を期待できる。 借家の空室率は約23%とやや高めで、競合との差別化が必要。</t>
        </is>
      </c>
      <c r="V1346" t="inlineStr">
        <is>
          <t>府中町（広島県）：花崗岩風化のまさ土による土砂災害リスクが全国最大級。太田川の氾濫、瀬戸内の高潮に最大級の留意。</t>
        </is>
      </c>
    </row>
    <row r="1347">
      <c r="A1347" t="inlineStr">
        <is>
          <t>広島県</t>
        </is>
      </c>
      <c r="B1347" t="inlineStr">
        <is>
          <t>海田町</t>
        </is>
      </c>
      <c r="C1347" t="n">
        <v>14750</v>
      </c>
      <c r="D1347" t="n">
        <v>29450</v>
      </c>
      <c r="E1347" s="6" t="n">
        <v>2179</v>
      </c>
      <c r="F1347" s="7" t="n">
        <v>71.8</v>
      </c>
      <c r="G1347" t="n">
        <v>29636</v>
      </c>
      <c r="H1347" t="n">
        <v>29450</v>
      </c>
      <c r="I1347" t="n">
        <v>28766</v>
      </c>
      <c r="J1347" t="n">
        <v>26298</v>
      </c>
      <c r="K1347" s="27">
        <f>(H1347/D1347-1)</f>
        <v/>
      </c>
      <c r="L1347" s="27">
        <f>(I1347/D1347-1)</f>
        <v/>
      </c>
      <c r="M1347" s="27">
        <f>(J1347/D1347-1)</f>
        <v/>
      </c>
      <c r="N1347" t="n">
        <v>66.8</v>
      </c>
      <c r="O1347" s="28">
        <f>(N1347+F1347)/2</f>
        <v/>
      </c>
      <c r="P1347">
        <f>IF(O1347="計算不能","計算不能",IF(O1347&gt;=80,5,IF(O1347&gt;=60,4,IF(O1347&gt;=40,3,IF(O1347&gt;=28,2,1)))))</f>
        <v/>
      </c>
      <c r="Q1347" t="n">
        <v>5052</v>
      </c>
      <c r="R1347" t="n">
        <v>1140</v>
      </c>
      <c r="S1347" s="27">
        <f>R1347/Q1347</f>
        <v/>
      </c>
      <c r="T1347" t="inlineStr">
        <is>
          <t>海田町は2045年までに人口が約10.7%減と緩やかな減少局面。若年層の都市部流出と高齢化が進むが、当面の賃貸稼働は一定程度維持される見通し。</t>
        </is>
      </c>
      <c r="U1347" t="inlineStr">
        <is>
          <t>海田町は人口密度2,179人/km²の都市部で、駅周辺や生活利便施設沿いに安定した賃貸需要がある。適切な家賃設定で高稼働を期待できる。 借家の空室率は約23%とやや高めで、競合との差別化が必要。</t>
        </is>
      </c>
      <c r="V1347" t="inlineStr">
        <is>
          <t>海田町（広島県）：花崗岩風化のまさ土による土砂災害リスクが全国最大級。太田川の氾濫、瀬戸内の高潮に最大級の留意。</t>
        </is>
      </c>
    </row>
    <row r="1348">
      <c r="A1348" t="inlineStr">
        <is>
          <t>広島県</t>
        </is>
      </c>
      <c r="B1348" t="inlineStr">
        <is>
          <t>熊野町</t>
        </is>
      </c>
      <c r="C1348" t="n">
        <v>9640</v>
      </c>
      <c r="D1348" t="n">
        <v>21644</v>
      </c>
      <c r="E1348" s="6" t="n">
        <v>664.8</v>
      </c>
      <c r="F1348" s="7" t="n">
        <v>48.3</v>
      </c>
      <c r="G1348" t="n">
        <v>22834</v>
      </c>
      <c r="H1348" t="n">
        <v>21644</v>
      </c>
      <c r="I1348" t="n">
        <v>20225</v>
      </c>
      <c r="J1348" t="n">
        <v>16028</v>
      </c>
      <c r="K1348" s="27">
        <f>(H1348/D1348-1)</f>
        <v/>
      </c>
      <c r="L1348" s="27">
        <f>(I1348/D1348-1)</f>
        <v/>
      </c>
      <c r="M1348" s="27">
        <f>(J1348/D1348-1)</f>
        <v/>
      </c>
      <c r="N1348" t="n">
        <v>47.9</v>
      </c>
      <c r="O1348" s="28">
        <f>(N1348+F1348)/2</f>
        <v/>
      </c>
      <c r="P1348">
        <f>IF(O1348="計算不能","計算不能",IF(O1348&gt;=80,5,IF(O1348&gt;=60,4,IF(O1348&gt;=40,3,IF(O1348&gt;=28,2,1)))))</f>
        <v/>
      </c>
      <c r="Q1348" t="n">
        <v>3301</v>
      </c>
      <c r="R1348" t="n">
        <v>580</v>
      </c>
      <c r="S1348" s="27">
        <f>R1348/Q1348</f>
        <v/>
      </c>
      <c r="T1348" t="inlineStr">
        <is>
          <t>熊野町は2045年までに人口が約25.9%減と明確な減少トレンド。高齢化の進行と世帯数の縮小により、中長期では賃貸需要の構造的縮小に警戒が必要。</t>
        </is>
      </c>
      <c r="U1348" t="inlineStr">
        <is>
          <t>熊野町は人口密度665人/km²で、主要道路沿いや中心市街地に一定の賃貸需要が局在。立地選別が稼働を左右する。 借家の空室率は約18%と需給は比較的引き締まっている。</t>
        </is>
      </c>
      <c r="V1348" t="inlineStr">
        <is>
          <t>熊野町（広島県）：花崗岩風化のまさ土による土砂災害リスクが全国最大級。太田川の氾濫、瀬戸内の高潮に最大級の留意。</t>
        </is>
      </c>
    </row>
    <row r="1349">
      <c r="A1349" t="inlineStr">
        <is>
          <t>広島県</t>
        </is>
      </c>
      <c r="B1349" t="inlineStr">
        <is>
          <t>坂町</t>
        </is>
      </c>
      <c r="C1349" t="n">
        <v>5797</v>
      </c>
      <c r="D1349" t="n">
        <v>12197</v>
      </c>
      <c r="E1349" s="6" t="n">
        <v>766.7</v>
      </c>
      <c r="F1349" s="7" t="n">
        <v>50.3</v>
      </c>
      <c r="G1349" t="n">
        <v>12582</v>
      </c>
      <c r="H1349" t="n">
        <v>12197</v>
      </c>
      <c r="I1349" t="n">
        <v>11725</v>
      </c>
      <c r="J1349" t="n">
        <v>10305</v>
      </c>
      <c r="K1349" s="27">
        <f>(H1349/D1349-1)</f>
        <v/>
      </c>
      <c r="L1349" s="27">
        <f>(I1349/D1349-1)</f>
        <v/>
      </c>
      <c r="M1349" s="27">
        <f>(J1349/D1349-1)</f>
        <v/>
      </c>
      <c r="N1349" t="n">
        <v>58.7</v>
      </c>
      <c r="O1349" s="28">
        <f>(N1349+F1349)/2</f>
        <v/>
      </c>
      <c r="P1349">
        <f>IF(O1349="計算不能","計算不能",IF(O1349&gt;=80,5,IF(O1349&gt;=60,4,IF(O1349&gt;=40,3,IF(O1349&gt;=28,2,1)))))</f>
        <v/>
      </c>
      <c r="Q1349" t="n">
        <v>1985</v>
      </c>
      <c r="R1349" t="n">
        <v>0</v>
      </c>
      <c r="S1349" s="27">
        <f>R1349/Q1349</f>
        <v/>
      </c>
      <c r="T1349" t="inlineStr">
        <is>
          <t>坂町は2045年までに人口が約15.5%減と明確な減少トレンド。高齢化の進行と世帯数の縮小により、中長期では賃貸需要の構造的縮小に警戒が必要。</t>
        </is>
      </c>
      <c r="U1349" t="inlineStr">
        <is>
          <t>坂町は人口密度767人/km²で、主要道路沿いや中心市街地に一定の賃貸需要が局在。立地選別が稼働を左右する。 借家の空室率は約0%と需給は比較的引き締まっている。</t>
        </is>
      </c>
      <c r="V1349" t="inlineStr">
        <is>
          <t>坂町（広島県）：花崗岩風化のまさ土による土砂災害リスクが全国最大級。太田川の氾濫、瀬戸内の高潮に最大級の留意。</t>
        </is>
      </c>
    </row>
    <row r="1350">
      <c r="A1350" t="inlineStr">
        <is>
          <t>広島県</t>
        </is>
      </c>
      <c r="B1350" t="inlineStr">
        <is>
          <t>安芸太田町</t>
        </is>
      </c>
      <c r="C1350" t="n">
        <v>2984</v>
      </c>
      <c r="D1350" t="n">
        <v>5061</v>
      </c>
      <c r="E1350" s="6" t="n">
        <v>14.8</v>
      </c>
      <c r="F1350" s="7" t="n">
        <v>11.5</v>
      </c>
      <c r="G1350" t="n">
        <v>5740</v>
      </c>
      <c r="H1350" t="n">
        <v>5061</v>
      </c>
      <c r="I1350" t="n">
        <v>4443</v>
      </c>
      <c r="J1350" t="n">
        <v>2979</v>
      </c>
      <c r="K1350" s="27">
        <f>(H1350/D1350-1)</f>
        <v/>
      </c>
      <c r="L1350" s="27">
        <f>(I1350/D1350-1)</f>
        <v/>
      </c>
      <c r="M1350" s="27">
        <f>(J1350/D1350-1)</f>
        <v/>
      </c>
      <c r="N1350" t="n">
        <v>35.3</v>
      </c>
      <c r="O1350" s="28">
        <f>(N1350+F1350)/2</f>
        <v/>
      </c>
      <c r="P1350">
        <f>IF(O1350="計算不能","計算不能",IF(O1350&gt;=80,5,IF(O1350&gt;=60,4,IF(O1350&gt;=40,3,IF(O1350&gt;=28,2,1)))))</f>
        <v/>
      </c>
      <c r="Q1350" t="n">
        <v>1022</v>
      </c>
      <c r="R1350" t="n">
        <v>0</v>
      </c>
      <c r="S1350" s="27">
        <f>R1350/Q1350</f>
        <v/>
      </c>
      <c r="T1350" t="inlineStr">
        <is>
          <t>安芸太田町は2045年までに人口が約41.1%減と急激な過疎・超高齢化が進行。若年労働世代の流出と自然減が重なり、賃貸事業としての持続性は極めて限定的。</t>
        </is>
      </c>
      <c r="U1350" t="inlineStr">
        <is>
          <t>安芸太田町は人口密度15人/km²と過疎的水準で、民間賃貸の新規需要は薄い。実需に裏付けられた格安戸建ての指値取得のみが現実的。 借家の空室率は約0%と需給は比較的引き締まっている。</t>
        </is>
      </c>
      <c r="V1350" t="inlineStr">
        <is>
          <t>安芸太田町（広島県）：花崗岩風化のまさ土による土砂災害リスクが全国最大級。太田川の氾濫、瀬戸内の高潮に最大級の留意。</t>
        </is>
      </c>
    </row>
    <row r="1351">
      <c r="A1351" t="inlineStr">
        <is>
          <t>広島県</t>
        </is>
      </c>
      <c r="B1351" t="inlineStr">
        <is>
          <t>北広島町</t>
        </is>
      </c>
      <c r="C1351" t="n">
        <v>7160</v>
      </c>
      <c r="D1351" t="n">
        <v>16620</v>
      </c>
      <c r="E1351" s="6" t="n">
        <v>24.7</v>
      </c>
      <c r="F1351" s="7" t="n">
        <v>12.5</v>
      </c>
      <c r="G1351" t="n">
        <v>17763</v>
      </c>
      <c r="H1351" t="n">
        <v>16620</v>
      </c>
      <c r="I1351" t="n">
        <v>15534</v>
      </c>
      <c r="J1351" t="n">
        <v>12533</v>
      </c>
      <c r="K1351" s="27">
        <f>(H1351/D1351-1)</f>
        <v/>
      </c>
      <c r="L1351" s="27">
        <f>(I1351/D1351-1)</f>
        <v/>
      </c>
      <c r="M1351" s="27">
        <f>(J1351/D1351-1)</f>
        <v/>
      </c>
      <c r="N1351" t="n">
        <v>46.3</v>
      </c>
      <c r="O1351" s="28">
        <f>(N1351+F1351)/2</f>
        <v/>
      </c>
      <c r="P1351">
        <f>IF(O1351="計算不能","計算不能",IF(O1351&gt;=80,5,IF(O1351&gt;=60,4,IF(O1351&gt;=40,3,IF(O1351&gt;=28,2,1)))))</f>
        <v/>
      </c>
      <c r="Q1351" t="n">
        <v>2452</v>
      </c>
      <c r="R1351" t="n">
        <v>450</v>
      </c>
      <c r="S1351" s="27">
        <f>R1351/Q1351</f>
        <v/>
      </c>
      <c r="T1351" t="inlineStr">
        <is>
          <t>北広島町は2045年までに人口が約24.6%減と明確な減少トレンド。高齢化の進行と世帯数の縮小により、中長期では賃貸需要の構造的縮小に警戒が必要。</t>
        </is>
      </c>
      <c r="U1351" t="inlineStr">
        <is>
          <t>北広島町は人口密度25人/km²と過疎的水準で、民間賃貸の新規需要は薄い。実需に裏付けられた格安戸建ての指値取得のみが現実的。 借家の空室率は約18%とやや高めで、競合との差別化が必要。</t>
        </is>
      </c>
      <c r="V1351" t="inlineStr">
        <is>
          <t>北広島町（広島県）：花崗岩風化のまさ土による土砂災害リスクが全国最大級。太田川の氾濫、瀬戸内の高潮に最大級の留意。</t>
        </is>
      </c>
    </row>
    <row r="1352">
      <c r="A1352" t="inlineStr">
        <is>
          <t>広島県</t>
        </is>
      </c>
      <c r="B1352" t="inlineStr">
        <is>
          <t>大崎上島町</t>
        </is>
      </c>
      <c r="C1352" t="n">
        <v>4198</v>
      </c>
      <c r="D1352" t="n">
        <v>6400</v>
      </c>
      <c r="E1352" s="6" t="n">
        <v>152.5</v>
      </c>
      <c r="F1352" s="7" t="n">
        <v>25.2</v>
      </c>
      <c r="G1352" t="n">
        <v>7158</v>
      </c>
      <c r="H1352" t="n">
        <v>6400</v>
      </c>
      <c r="I1352" t="n">
        <v>5742</v>
      </c>
      <c r="J1352" t="n">
        <v>4248</v>
      </c>
      <c r="K1352" s="27">
        <f>(H1352/D1352-1)</f>
        <v/>
      </c>
      <c r="L1352" s="27">
        <f>(I1352/D1352-1)</f>
        <v/>
      </c>
      <c r="M1352" s="27">
        <f>(J1352/D1352-1)</f>
        <v/>
      </c>
      <c r="N1352" t="n">
        <v>38.7</v>
      </c>
      <c r="O1352" s="28">
        <f>(N1352+F1352)/2</f>
        <v/>
      </c>
      <c r="P1352">
        <f>IF(O1352="計算不能","計算不能",IF(O1352&gt;=80,5,IF(O1352&gt;=60,4,IF(O1352&gt;=40,3,IF(O1352&gt;=28,2,1)))))</f>
        <v/>
      </c>
      <c r="Q1352" t="n">
        <v>1437</v>
      </c>
      <c r="R1352" t="n">
        <v>0</v>
      </c>
      <c r="S1352" s="27">
        <f>R1352/Q1352</f>
        <v/>
      </c>
      <c r="T1352" t="inlineStr">
        <is>
          <t>大崎上島町は2045年までに人口が約33.6%減と急激な過疎・超高齢化が進行。若年労働世代の流出と自然減が重なり、賃貸事業としての持続性は極めて限定的。</t>
        </is>
      </c>
      <c r="U1352" t="inlineStr">
        <is>
          <t>大崎上島町は人口密度152人/km²と過疎的水準で、民間賃貸の新規需要は薄い。実需に裏付けられた格安戸建ての指値取得のみが現実的。 借家の空室率は約0%と需給は比較的引き締まっている。</t>
        </is>
      </c>
      <c r="V1352" t="inlineStr">
        <is>
          <t>大崎上島町（広島県）：花崗岩風化のまさ土による土砂災害リスクが全国最大級。太田川の氾濫、瀬戸内の高潮に最大級の留意。</t>
        </is>
      </c>
    </row>
    <row r="1353">
      <c r="A1353" t="inlineStr">
        <is>
          <t>広島県</t>
        </is>
      </c>
      <c r="B1353" t="inlineStr">
        <is>
          <t>世羅町</t>
        </is>
      </c>
      <c r="C1353" t="n">
        <v>6030</v>
      </c>
      <c r="D1353" t="n">
        <v>13914</v>
      </c>
      <c r="E1353" s="6" t="n">
        <v>49</v>
      </c>
      <c r="F1353" s="7" t="n">
        <v>14.9</v>
      </c>
      <c r="G1353" t="n">
        <v>15125</v>
      </c>
      <c r="H1353" t="n">
        <v>13914</v>
      </c>
      <c r="I1353" t="n">
        <v>12738</v>
      </c>
      <c r="J1353" t="n">
        <v>9686</v>
      </c>
      <c r="K1353" s="27">
        <f>(H1353/D1353-1)</f>
        <v/>
      </c>
      <c r="L1353" s="27">
        <f>(I1353/D1353-1)</f>
        <v/>
      </c>
      <c r="M1353" s="27">
        <f>(J1353/D1353-1)</f>
        <v/>
      </c>
      <c r="N1353" t="n">
        <v>42.3</v>
      </c>
      <c r="O1353" s="28">
        <f>(N1353+F1353)/2</f>
        <v/>
      </c>
      <c r="P1353">
        <f>IF(O1353="計算不能","計算不能",IF(O1353&gt;=80,5,IF(O1353&gt;=60,4,IF(O1353&gt;=40,3,IF(O1353&gt;=28,2,1)))))</f>
        <v/>
      </c>
      <c r="Q1353" t="n">
        <v>2065</v>
      </c>
      <c r="R1353" t="n">
        <v>80</v>
      </c>
      <c r="S1353" s="27">
        <f>R1353/Q1353</f>
        <v/>
      </c>
      <c r="T1353" t="inlineStr">
        <is>
          <t>世羅町は2045年までに人口が約30.4%減と急激な過疎・超高齢化が進行。若年労働世代の流出と自然減が重なり、賃貸事業としての持続性は極めて限定的。</t>
        </is>
      </c>
      <c r="U1353" t="inlineStr">
        <is>
          <t>世羅町は人口密度49人/km²と過疎的水準で、民間賃貸の新規需要は薄い。実需に裏付けられた格安戸建ての指値取得のみが現実的。 借家の空室率は約4%と需給は比較的引き締まっている。</t>
        </is>
      </c>
      <c r="V1353" t="inlineStr">
        <is>
          <t>世羅町（広島県）：花崗岩風化のまさ土による土砂災害リスクが全国最大級。太田川の氾濫、瀬戸内の高潮に最大級の留意。</t>
        </is>
      </c>
    </row>
    <row r="1354">
      <c r="A1354" t="inlineStr">
        <is>
          <t>広島県</t>
        </is>
      </c>
      <c r="B1354" t="inlineStr">
        <is>
          <t>神石高原町</t>
        </is>
      </c>
      <c r="C1354" t="n">
        <v>3718</v>
      </c>
      <c r="D1354" t="n">
        <v>7302</v>
      </c>
      <c r="E1354" s="6" t="n">
        <v>19</v>
      </c>
      <c r="F1354" s="7" t="n">
        <v>11.9</v>
      </c>
      <c r="G1354" t="n">
        <v>8250</v>
      </c>
      <c r="H1354" t="n">
        <v>7302</v>
      </c>
      <c r="I1354" t="n">
        <v>6434</v>
      </c>
      <c r="J1354" t="n">
        <v>4388</v>
      </c>
      <c r="K1354" s="27">
        <f>(H1354/D1354-1)</f>
        <v/>
      </c>
      <c r="L1354" s="27">
        <f>(I1354/D1354-1)</f>
        <v/>
      </c>
      <c r="M1354" s="27">
        <f>(J1354/D1354-1)</f>
        <v/>
      </c>
      <c r="N1354" t="n">
        <v>36</v>
      </c>
      <c r="O1354" s="28">
        <f>(N1354+F1354)/2</f>
        <v/>
      </c>
      <c r="P1354">
        <f>IF(O1354="計算不能","計算不能",IF(O1354&gt;=80,5,IF(O1354&gt;=60,4,IF(O1354&gt;=40,3,IF(O1354&gt;=28,2,1)))))</f>
        <v/>
      </c>
      <c r="Q1354" t="n">
        <v>1273</v>
      </c>
      <c r="R1354" t="n">
        <v>0</v>
      </c>
      <c r="S1354" s="27">
        <f>R1354/Q1354</f>
        <v/>
      </c>
      <c r="T1354" t="inlineStr">
        <is>
          <t>神石高原町は2045年までに人口が約39.9%減と急激な過疎・超高齢化が進行。若年労働世代の流出と自然減が重なり、賃貸事業としての持続性は極めて限定的。</t>
        </is>
      </c>
      <c r="U1354" t="inlineStr">
        <is>
          <t>神石高原町は人口密度19人/km²と過疎的水準で、民間賃貸の新規需要は薄い。実需に裏付けられた格安戸建ての指値取得のみが現実的。 借家の空室率は約0%と需給は比較的引き締まっている。</t>
        </is>
      </c>
      <c r="V1354" t="inlineStr">
        <is>
          <t>神石高原町（広島県）：花崗岩風化のまさ土による土砂災害リスクが全国最大級。太田川の氾濫、瀬戸内の高潮に最大級の留意。</t>
        </is>
      </c>
    </row>
    <row r="1355">
      <c r="A1355" t="inlineStr">
        <is>
          <t>山口県</t>
        </is>
      </c>
      <c r="B1355" t="inlineStr">
        <is>
          <t>下関市</t>
        </is>
      </c>
      <c r="C1355" t="n">
        <v>112410</v>
      </c>
      <c r="D1355" t="n">
        <v>237719</v>
      </c>
      <c r="E1355" s="6" t="n">
        <v>332.1</v>
      </c>
      <c r="F1355" s="7" t="n">
        <v>36.6</v>
      </c>
      <c r="G1355" t="n">
        <v>255051</v>
      </c>
      <c r="H1355" t="n">
        <v>237719</v>
      </c>
      <c r="I1355" t="n">
        <v>222393</v>
      </c>
      <c r="J1355" t="n">
        <v>177938</v>
      </c>
      <c r="K1355" s="27">
        <f>(H1355/D1355-1)</f>
        <v/>
      </c>
      <c r="L1355" s="27">
        <f>(I1355/D1355-1)</f>
        <v/>
      </c>
      <c r="M1355" s="27">
        <f>(J1355/D1355-1)</f>
        <v/>
      </c>
      <c r="N1355" t="n">
        <v>45.5</v>
      </c>
      <c r="O1355" s="28">
        <f>(N1355+F1355)/2</f>
        <v/>
      </c>
      <c r="P1355">
        <f>IF(O1355="計算不能","計算不能",IF(O1355&gt;=80,5,IF(O1355&gt;=60,4,IF(O1355&gt;=40,3,IF(O1355&gt;=28,2,1)))))</f>
        <v/>
      </c>
      <c r="Q1355" t="n">
        <v>33251</v>
      </c>
      <c r="R1355" t="n">
        <v>10100</v>
      </c>
      <c r="S1355" s="27">
        <f>R1355/Q1355</f>
        <v/>
      </c>
      <c r="T1355" t="inlineStr">
        <is>
          <t>下関市は2045年までに人口が約25.1%減と明確な減少トレンド。高齢化の進行と世帯数の縮小により、中長期では賃貸需要の構造的縮小に警戒が必要。</t>
        </is>
      </c>
      <c r="U1355" t="inlineStr">
        <is>
          <t>下関市は人口密度332人/km²と低密度で、賃貸需要は限定的。持ち家比率が高く、駐車場完備の戸建て賃貸が有利。 借家の空室率は約30%と供給過多気味で、空室長期化リスクに要警戒。</t>
        </is>
      </c>
      <c r="V1355" t="inlineStr">
        <is>
          <t>下関市（山口県）：錦川・佐波川の氾濫、瀬戸内・日本海双方の沿岸災害、山地の土砂災害に注意。</t>
        </is>
      </c>
    </row>
    <row r="1356">
      <c r="A1356" t="inlineStr">
        <is>
          <t>山口県</t>
        </is>
      </c>
      <c r="B1356" t="inlineStr">
        <is>
          <t>宇部市</t>
        </is>
      </c>
      <c r="C1356" t="n">
        <v>69570</v>
      </c>
      <c r="D1356" t="n">
        <v>155567</v>
      </c>
      <c r="E1356" s="6" t="n">
        <v>532.3</v>
      </c>
      <c r="F1356" s="7" t="n">
        <v>45.6</v>
      </c>
      <c r="G1356" t="n">
        <v>162570</v>
      </c>
      <c r="H1356" t="n">
        <v>155567</v>
      </c>
      <c r="I1356" t="n">
        <v>147755</v>
      </c>
      <c r="J1356" t="n">
        <v>123252</v>
      </c>
      <c r="K1356" s="27">
        <f>(H1356/D1356-1)</f>
        <v/>
      </c>
      <c r="L1356" s="27">
        <f>(I1356/D1356-1)</f>
        <v/>
      </c>
      <c r="M1356" s="27">
        <f>(J1356/D1356-1)</f>
        <v/>
      </c>
      <c r="N1356" t="n">
        <v>53.1</v>
      </c>
      <c r="O1356" s="28">
        <f>(N1356+F1356)/2</f>
        <v/>
      </c>
      <c r="P1356">
        <f>IF(O1356="計算不能","計算不能",IF(O1356&gt;=80,5,IF(O1356&gt;=60,4,IF(O1356&gt;=40,3,IF(O1356&gt;=28,2,1)))))</f>
        <v/>
      </c>
      <c r="Q1356" t="n">
        <v>20579</v>
      </c>
      <c r="R1356" t="n">
        <v>8860</v>
      </c>
      <c r="S1356" s="27">
        <f>R1356/Q1356</f>
        <v/>
      </c>
      <c r="T1356" t="inlineStr">
        <is>
          <t>宇部市は2045年までに人口が約20.8%減と明確な減少トレンド。高齢化の進行と世帯数の縮小により、中長期では賃貸需要の構造的縮小に警戒が必要。</t>
        </is>
      </c>
      <c r="U1356" t="inlineStr">
        <is>
          <t>宇部市は人口密度532人/km²で、主要道路沿いや中心市街地に一定の賃貸需要が局在。立地選別が稼働を左右する。 借家の空室率は約43%と供給過多気味で、空室長期化リスクに要警戒。</t>
        </is>
      </c>
      <c r="V1356" t="inlineStr">
        <is>
          <t>宇部市（山口県）：錦川・佐波川の氾濫、瀬戸内・日本海双方の沿岸災害、山地の土砂災害に注意。</t>
        </is>
      </c>
    </row>
    <row r="1357">
      <c r="A1357" t="inlineStr">
        <is>
          <t>山口県</t>
        </is>
      </c>
      <c r="B1357" t="inlineStr">
        <is>
          <t>山口市</t>
        </is>
      </c>
      <c r="C1357" t="n">
        <v>87790</v>
      </c>
      <c r="D1357" t="n">
        <v>189460</v>
      </c>
      <c r="E1357" s="6" t="n">
        <v>186.1</v>
      </c>
      <c r="F1357" s="7" t="n">
        <v>28.6</v>
      </c>
      <c r="G1357" t="n">
        <v>193966</v>
      </c>
      <c r="H1357" t="n">
        <v>189460</v>
      </c>
      <c r="I1357" t="n">
        <v>183824</v>
      </c>
      <c r="J1357" t="n">
        <v>164807</v>
      </c>
      <c r="K1357" s="27">
        <f>(H1357/D1357-1)</f>
        <v/>
      </c>
      <c r="L1357" s="27">
        <f>(I1357/D1357-1)</f>
        <v/>
      </c>
      <c r="M1357" s="27">
        <f>(J1357/D1357-1)</f>
        <v/>
      </c>
      <c r="N1357" t="n">
        <v>62</v>
      </c>
      <c r="O1357" s="28">
        <f>(N1357+F1357)/2</f>
        <v/>
      </c>
      <c r="P1357">
        <f>IF(O1357="計算不能","計算不能",IF(O1357&gt;=80,5,IF(O1357&gt;=60,4,IF(O1357&gt;=40,3,IF(O1357&gt;=28,2,1)))))</f>
        <v/>
      </c>
      <c r="Q1357" t="n">
        <v>25968</v>
      </c>
      <c r="R1357" t="n">
        <v>9760</v>
      </c>
      <c r="S1357" s="27">
        <f>R1357/Q1357</f>
        <v/>
      </c>
      <c r="T1357" t="inlineStr">
        <is>
          <t>山口市は2045年までに人口が約13.0%減と緩やかな減少局面。若年層の都市部流出と高齢化が進むが、当面の賃貸稼働は一定程度維持される見通し。</t>
        </is>
      </c>
      <c r="U1357" t="inlineStr">
        <is>
          <t>山口市は人口密度186人/km²と過疎的水準で、民間賃貸の新規需要は薄い。実需に裏付けられた格安戸建ての指値取得のみが現実的。 借家の空室率は約38%と供給過多気味で、空室長期化リスクに要警戒。</t>
        </is>
      </c>
      <c r="V1357" t="inlineStr">
        <is>
          <t>山口市（山口県）：錦川・佐波川の氾濫、瀬戸内・日本海双方の沿岸災害、山地の土砂災害に注意。</t>
        </is>
      </c>
    </row>
    <row r="1358">
      <c r="A1358" t="inlineStr">
        <is>
          <t>山口県</t>
        </is>
      </c>
      <c r="B1358" t="inlineStr">
        <is>
          <t>萩市</t>
        </is>
      </c>
      <c r="C1358" t="n">
        <v>19640</v>
      </c>
      <c r="D1358" t="n">
        <v>39641</v>
      </c>
      <c r="E1358" s="6" t="n">
        <v>57</v>
      </c>
      <c r="F1358" s="7" t="n">
        <v>15.7</v>
      </c>
      <c r="G1358" t="n">
        <v>44626</v>
      </c>
      <c r="H1358" t="n">
        <v>39641</v>
      </c>
      <c r="I1358" t="n">
        <v>35436</v>
      </c>
      <c r="J1358" t="n">
        <v>24303</v>
      </c>
      <c r="K1358" s="27">
        <f>(H1358/D1358-1)</f>
        <v/>
      </c>
      <c r="L1358" s="27">
        <f>(I1358/D1358-1)</f>
        <v/>
      </c>
      <c r="M1358" s="27">
        <f>(J1358/D1358-1)</f>
        <v/>
      </c>
      <c r="N1358" t="n">
        <v>36.9</v>
      </c>
      <c r="O1358" s="28">
        <f>(N1358+F1358)/2</f>
        <v/>
      </c>
      <c r="P1358">
        <f>IF(O1358="計算不能","計算不能",IF(O1358&gt;=80,5,IF(O1358&gt;=60,4,IF(O1358&gt;=40,3,IF(O1358&gt;=28,2,1)))))</f>
        <v/>
      </c>
      <c r="Q1358" t="n">
        <v>5809</v>
      </c>
      <c r="R1358" t="n">
        <v>1330</v>
      </c>
      <c r="S1358" s="27">
        <f>R1358/Q1358</f>
        <v/>
      </c>
      <c r="T1358" t="inlineStr">
        <is>
          <t>萩市は2045年までに人口が約38.7%減と急激な過疎・超高齢化が進行。若年労働世代の流出と自然減が重なり、賃貸事業としての持続性は極めて限定的。</t>
        </is>
      </c>
      <c r="U1358" t="inlineStr">
        <is>
          <t>萩市は人口密度57人/km²と過疎的水準で、民間賃貸の新規需要は薄い。実需に裏付けられた格安戸建ての指値取得のみが現実的。 借家の空室率は約23%とやや高めで、競合との差別化が必要。</t>
        </is>
      </c>
      <c r="V1358" t="inlineStr">
        <is>
          <t>萩市（山口県）：錦川・佐波川の氾濫、瀬戸内・日本海双方の沿岸災害、山地の土砂災害に注意。</t>
        </is>
      </c>
    </row>
    <row r="1359">
      <c r="A1359" t="inlineStr">
        <is>
          <t>山口県</t>
        </is>
      </c>
      <c r="B1359" t="inlineStr">
        <is>
          <t>防府市</t>
        </is>
      </c>
      <c r="C1359" t="n">
        <v>48090</v>
      </c>
      <c r="D1359" t="n">
        <v>111483</v>
      </c>
      <c r="E1359" s="6" t="n">
        <v>579.5</v>
      </c>
      <c r="F1359" s="7" t="n">
        <v>46.6</v>
      </c>
      <c r="G1359" t="n">
        <v>113979</v>
      </c>
      <c r="H1359" t="n">
        <v>111483</v>
      </c>
      <c r="I1359" t="n">
        <v>108424</v>
      </c>
      <c r="J1359" t="n">
        <v>97653</v>
      </c>
      <c r="K1359" s="27">
        <f>(H1359/D1359-1)</f>
        <v/>
      </c>
      <c r="L1359" s="27">
        <f>(I1359/D1359-1)</f>
        <v/>
      </c>
      <c r="M1359" s="27">
        <f>(J1359/D1359-1)</f>
        <v/>
      </c>
      <c r="N1359" t="n">
        <v>62.7</v>
      </c>
      <c r="O1359" s="28">
        <f>(N1359+F1359)/2</f>
        <v/>
      </c>
      <c r="P1359">
        <f>IF(O1359="計算不能","計算不能",IF(O1359&gt;=80,5,IF(O1359&gt;=60,4,IF(O1359&gt;=40,3,IF(O1359&gt;=28,2,1)))))</f>
        <v/>
      </c>
      <c r="Q1359" t="n">
        <v>14225</v>
      </c>
      <c r="R1359" t="n">
        <v>4610</v>
      </c>
      <c r="S1359" s="27">
        <f>R1359/Q1359</f>
        <v/>
      </c>
      <c r="T1359" t="inlineStr">
        <is>
          <t>防府市は2045年までに人口が約12.4%減と緩やかな減少局面。若年層の都市部流出と高齢化が進むが、当面の賃貸稼働は一定程度維持される見通し。</t>
        </is>
      </c>
      <c r="U1359" t="inlineStr">
        <is>
          <t>防府市は人口密度580人/km²で、主要道路沿いや中心市街地に一定の賃貸需要が局在。立地選別が稼働を左右する。 借家の空室率は約32%と供給過多気味で、空室長期化リスクに要警戒。</t>
        </is>
      </c>
      <c r="V1359" t="inlineStr">
        <is>
          <t>防府市（山口県）：錦川・佐波川の氾濫、瀬戸内・日本海双方の沿岸災害、山地の土砂災害に注意。</t>
        </is>
      </c>
    </row>
    <row r="1360">
      <c r="A1360" t="inlineStr">
        <is>
          <t>山口県</t>
        </is>
      </c>
      <c r="B1360" t="inlineStr">
        <is>
          <t>下松市</t>
        </is>
      </c>
      <c r="C1360" t="n">
        <v>24840</v>
      </c>
      <c r="D1360" t="n">
        <v>55435</v>
      </c>
      <c r="E1360" s="6" t="n">
        <v>616.2</v>
      </c>
      <c r="F1360" s="7" t="n">
        <v>47.3</v>
      </c>
      <c r="G1360" t="n">
        <v>55887</v>
      </c>
      <c r="H1360" t="n">
        <v>55435</v>
      </c>
      <c r="I1360" t="n">
        <v>54350</v>
      </c>
      <c r="J1360" t="n">
        <v>50109</v>
      </c>
      <c r="K1360" s="27">
        <f>(H1360/D1360-1)</f>
        <v/>
      </c>
      <c r="L1360" s="27">
        <f>(I1360/D1360-1)</f>
        <v/>
      </c>
      <c r="M1360" s="27">
        <f>(J1360/D1360-1)</f>
        <v/>
      </c>
      <c r="N1360" t="n">
        <v>67.3</v>
      </c>
      <c r="O1360" s="28">
        <f>(N1360+F1360)/2</f>
        <v/>
      </c>
      <c r="P1360">
        <f>IF(O1360="計算不能","計算不能",IF(O1360&gt;=80,5,IF(O1360&gt;=60,4,IF(O1360&gt;=40,3,IF(O1360&gt;=28,2,1)))))</f>
        <v/>
      </c>
      <c r="Q1360" t="n">
        <v>7347</v>
      </c>
      <c r="R1360" t="n">
        <v>2040</v>
      </c>
      <c r="S1360" s="27">
        <f>R1360/Q1360</f>
        <v/>
      </c>
      <c r="T1360" t="inlineStr">
        <is>
          <t>下松市は2045年までに人口が約9.6%減と緩やかな減少局面。若年層の都市部流出と高齢化が進むが、当面の賃貸稼働は一定程度維持される見通し。</t>
        </is>
      </c>
      <c r="U1360" t="inlineStr">
        <is>
          <t>下松市は人口密度616人/km²で、主要道路沿いや中心市街地に一定の賃貸需要が局在。立地選別が稼働を左右する。 借家の空室率は約28%と供給過多気味で、空室長期化リスクに要警戒。</t>
        </is>
      </c>
      <c r="V1360" t="inlineStr">
        <is>
          <t>下松市（山口県）：錦川・佐波川の氾濫、瀬戸内・日本海双方の沿岸災害、山地の土砂災害に注意。</t>
        </is>
      </c>
    </row>
    <row r="1361">
      <c r="A1361" t="inlineStr">
        <is>
          <t>山口県</t>
        </is>
      </c>
      <c r="B1361" t="inlineStr">
        <is>
          <t>岩国市</t>
        </is>
      </c>
      <c r="C1361" t="n">
        <v>56370</v>
      </c>
      <c r="D1361" t="n">
        <v>121264</v>
      </c>
      <c r="E1361" s="6" t="n">
        <v>136.9</v>
      </c>
      <c r="F1361" s="7" t="n">
        <v>23.7</v>
      </c>
      <c r="G1361" t="n">
        <v>129125</v>
      </c>
      <c r="H1361" t="n">
        <v>121264</v>
      </c>
      <c r="I1361" t="n">
        <v>113227</v>
      </c>
      <c r="J1361" t="n">
        <v>90185</v>
      </c>
      <c r="K1361" s="27">
        <f>(H1361/D1361-1)</f>
        <v/>
      </c>
      <c r="L1361" s="27">
        <f>(I1361/D1361-1)</f>
        <v/>
      </c>
      <c r="M1361" s="27">
        <f>(J1361/D1361-1)</f>
        <v/>
      </c>
      <c r="N1361" t="n">
        <v>46.4</v>
      </c>
      <c r="O1361" s="28">
        <f>(N1361+F1361)/2</f>
        <v/>
      </c>
      <c r="P1361">
        <f>IF(O1361="計算不能","計算不能",IF(O1361&gt;=80,5,IF(O1361&gt;=60,4,IF(O1361&gt;=40,3,IF(O1361&gt;=28,2,1)))))</f>
        <v/>
      </c>
      <c r="Q1361" t="n">
        <v>16674</v>
      </c>
      <c r="R1361" t="n">
        <v>4450</v>
      </c>
      <c r="S1361" s="27">
        <f>R1361/Q1361</f>
        <v/>
      </c>
      <c r="T1361" t="inlineStr">
        <is>
          <t>岩国市は2045年までに人口が約25.6%減と明確な減少トレンド。高齢化の進行と世帯数の縮小により、中長期では賃貸需要の構造的縮小に警戒が必要。</t>
        </is>
      </c>
      <c r="U1361" t="inlineStr">
        <is>
          <t>岩国市は人口密度137人/km²と過疎的水準で、民間賃貸の新規需要は薄い。実需に裏付けられた格安戸建ての指値取得のみが現実的。 借家の空室率は約27%と供給過多気味で、空室長期化リスクに要警戒。</t>
        </is>
      </c>
      <c r="V1361" t="inlineStr">
        <is>
          <t>岩国市（山口県）：錦川・佐波川の氾濫、瀬戸内・日本海双方の沿岸災害、山地の土砂災害に注意。</t>
        </is>
      </c>
    </row>
    <row r="1362">
      <c r="A1362" t="inlineStr">
        <is>
          <t>山口県</t>
        </is>
      </c>
      <c r="B1362" t="inlineStr">
        <is>
          <t>光市</t>
        </is>
      </c>
      <c r="C1362" t="n">
        <v>21300</v>
      </c>
      <c r="D1362" t="n">
        <v>47522</v>
      </c>
      <c r="E1362" s="6" t="n">
        <v>502.9</v>
      </c>
      <c r="F1362" s="7" t="n">
        <v>45.1</v>
      </c>
      <c r="G1362" t="n">
        <v>49798</v>
      </c>
      <c r="H1362" t="n">
        <v>47522</v>
      </c>
      <c r="I1362" t="n">
        <v>44927</v>
      </c>
      <c r="J1362" t="n">
        <v>36920</v>
      </c>
      <c r="K1362" s="27">
        <f>(H1362/D1362-1)</f>
        <v/>
      </c>
      <c r="L1362" s="27">
        <f>(I1362/D1362-1)</f>
        <v/>
      </c>
      <c r="M1362" s="27">
        <f>(J1362/D1362-1)</f>
        <v/>
      </c>
      <c r="N1362" t="n">
        <v>51.6</v>
      </c>
      <c r="O1362" s="28">
        <f>(N1362+F1362)/2</f>
        <v/>
      </c>
      <c r="P1362">
        <f>IF(O1362="計算不能","計算不能",IF(O1362&gt;=80,5,IF(O1362&gt;=60,4,IF(O1362&gt;=40,3,IF(O1362&gt;=28,2,1)))))</f>
        <v/>
      </c>
      <c r="Q1362" t="n">
        <v>6300</v>
      </c>
      <c r="R1362" t="n">
        <v>1020</v>
      </c>
      <c r="S1362" s="27">
        <f>R1362/Q1362</f>
        <v/>
      </c>
      <c r="T1362" t="inlineStr">
        <is>
          <t>光市は2045年までに人口が約22.3%減と明確な減少トレンド。高齢化の進行と世帯数の縮小により、中長期では賃貸需要の構造的縮小に警戒が必要。</t>
        </is>
      </c>
      <c r="U1362" t="inlineStr">
        <is>
          <t>光市は人口密度503人/km²で、主要道路沿いや中心市街地に一定の賃貸需要が局在。立地選別が稼働を左右する。 借家の空室率は約16%と需給は比較的引き締まっている。</t>
        </is>
      </c>
      <c r="V1362" t="inlineStr">
        <is>
          <t>光市（山口県）：錦川・佐波川の氾濫、瀬戸内・日本海双方の沿岸災害、山地の土砂災害に注意。</t>
        </is>
      </c>
    </row>
    <row r="1363">
      <c r="A1363" t="inlineStr">
        <is>
          <t>山口県</t>
        </is>
      </c>
      <c r="B1363" t="inlineStr">
        <is>
          <t>長門市</t>
        </is>
      </c>
      <c r="C1363" t="n">
        <v>14020</v>
      </c>
      <c r="D1363" t="n">
        <v>29266</v>
      </c>
      <c r="E1363" s="6" t="n">
        <v>80.7</v>
      </c>
      <c r="F1363" s="7" t="n">
        <v>18.1</v>
      </c>
      <c r="G1363" t="n">
        <v>32519</v>
      </c>
      <c r="H1363" t="n">
        <v>29266</v>
      </c>
      <c r="I1363" t="n">
        <v>26345</v>
      </c>
      <c r="J1363" t="n">
        <v>18433</v>
      </c>
      <c r="K1363" s="27">
        <f>(H1363/D1363-1)</f>
        <v/>
      </c>
      <c r="L1363" s="27">
        <f>(I1363/D1363-1)</f>
        <v/>
      </c>
      <c r="M1363" s="27">
        <f>(J1363/D1363-1)</f>
        <v/>
      </c>
      <c r="N1363" t="n">
        <v>38.5</v>
      </c>
      <c r="O1363" s="28">
        <f>(N1363+F1363)/2</f>
        <v/>
      </c>
      <c r="P1363">
        <f>IF(O1363="計算不能","計算不能",IF(O1363&gt;=80,5,IF(O1363&gt;=60,4,IF(O1363&gt;=40,3,IF(O1363&gt;=28,2,1)))))</f>
        <v/>
      </c>
      <c r="Q1363" t="n">
        <v>4147</v>
      </c>
      <c r="R1363" t="n">
        <v>740</v>
      </c>
      <c r="S1363" s="27">
        <f>R1363/Q1363</f>
        <v/>
      </c>
      <c r="T1363" t="inlineStr">
        <is>
          <t>長門市は2045年までに人口が約37.0%減と急激な過疎・超高齢化が進行。若年労働世代の流出と自然減が重なり、賃貸事業としての持続性は極めて限定的。</t>
        </is>
      </c>
      <c r="U1363" t="inlineStr">
        <is>
          <t>長門市は人口密度81人/km²と過疎的水準で、民間賃貸の新規需要は薄い。実需に裏付けられた格安戸建ての指値取得のみが現実的。 借家の空室率は約18%と需給は比較的引き締まっている。</t>
        </is>
      </c>
      <c r="V1363" t="inlineStr">
        <is>
          <t>長門市（山口県）：錦川・佐波川の氾濫、瀬戸内・日本海双方の沿岸災害、山地の土砂災害に注意。</t>
        </is>
      </c>
    </row>
    <row r="1364">
      <c r="A1364" t="inlineStr">
        <is>
          <t>山口県</t>
        </is>
      </c>
      <c r="B1364" t="inlineStr">
        <is>
          <t>柳井市</t>
        </is>
      </c>
      <c r="C1364" t="n">
        <v>13190</v>
      </c>
      <c r="D1364" t="n">
        <v>28491</v>
      </c>
      <c r="E1364" s="6" t="n">
        <v>203.8</v>
      </c>
      <c r="F1364" s="7" t="n">
        <v>30.2</v>
      </c>
      <c r="G1364" t="n">
        <v>30799</v>
      </c>
      <c r="H1364" t="n">
        <v>28491</v>
      </c>
      <c r="I1364" t="n">
        <v>26548</v>
      </c>
      <c r="J1364" t="n">
        <v>20944</v>
      </c>
      <c r="K1364" s="27">
        <f>(H1364/D1364-1)</f>
        <v/>
      </c>
      <c r="L1364" s="27">
        <f>(I1364/D1364-1)</f>
        <v/>
      </c>
      <c r="M1364" s="27">
        <f>(J1364/D1364-1)</f>
        <v/>
      </c>
      <c r="N1364" t="n">
        <v>44.2</v>
      </c>
      <c r="O1364" s="28">
        <f>(N1364+F1364)/2</f>
        <v/>
      </c>
      <c r="P1364">
        <f>IF(O1364="計算不能","計算不能",IF(O1364&gt;=80,5,IF(O1364&gt;=60,4,IF(O1364&gt;=40,3,IF(O1364&gt;=28,2,1)))))</f>
        <v/>
      </c>
      <c r="Q1364" t="n">
        <v>3901</v>
      </c>
      <c r="R1364" t="n">
        <v>1160</v>
      </c>
      <c r="S1364" s="27">
        <f>R1364/Q1364</f>
        <v/>
      </c>
      <c r="T1364" t="inlineStr">
        <is>
          <t>柳井市は2045年までに人口が約26.5%減と明確な減少トレンド。高齢化の進行と世帯数の縮小により、中長期では賃貸需要の構造的縮小に警戒が必要。</t>
        </is>
      </c>
      <c r="U1364" t="inlineStr">
        <is>
          <t>柳井市は人口密度204人/km²と低密度で、賃貸需要は限定的。持ち家比率が高く、駐車場完備の戸建て賃貸が有利。 借家の空室率は約30%と供給過多気味で、空室長期化リスクに要警戒。</t>
        </is>
      </c>
      <c r="V1364" t="inlineStr">
        <is>
          <t>柳井市（山口県）：錦川・佐波川の氾濫、瀬戸内・日本海双方の沿岸災害、山地の土砂災害に注意。</t>
        </is>
      </c>
    </row>
    <row r="1365">
      <c r="A1365" t="inlineStr">
        <is>
          <t>山口県</t>
        </is>
      </c>
      <c r="B1365" t="inlineStr">
        <is>
          <t>美祢市</t>
        </is>
      </c>
      <c r="C1365" t="n">
        <v>9520</v>
      </c>
      <c r="D1365" t="n">
        <v>20073</v>
      </c>
      <c r="E1365" s="6" t="n">
        <v>42.6</v>
      </c>
      <c r="F1365" s="7" t="n">
        <v>14.3</v>
      </c>
      <c r="G1365" t="n">
        <v>23247</v>
      </c>
      <c r="H1365" t="n">
        <v>20073</v>
      </c>
      <c r="I1365" t="n">
        <v>18045</v>
      </c>
      <c r="J1365" t="n">
        <v>12508</v>
      </c>
      <c r="K1365" s="27">
        <f>(H1365/D1365-1)</f>
        <v/>
      </c>
      <c r="L1365" s="27">
        <f>(I1365/D1365-1)</f>
        <v/>
      </c>
      <c r="M1365" s="27">
        <f>(J1365/D1365-1)</f>
        <v/>
      </c>
      <c r="N1365" t="n">
        <v>35.2</v>
      </c>
      <c r="O1365" s="28">
        <f>(N1365+F1365)/2</f>
        <v/>
      </c>
      <c r="P1365">
        <f>IF(O1365="計算不能","計算不能",IF(O1365&gt;=80,5,IF(O1365&gt;=60,4,IF(O1365&gt;=40,3,IF(O1365&gt;=28,2,1)))))</f>
        <v/>
      </c>
      <c r="Q1365" t="n">
        <v>2816</v>
      </c>
      <c r="R1365" t="n">
        <v>1030</v>
      </c>
      <c r="S1365" s="27">
        <f>R1365/Q1365</f>
        <v/>
      </c>
      <c r="T1365" t="inlineStr">
        <is>
          <t>美祢市は2045年までに人口が約37.7%減と急激な過疎・超高齢化が進行。若年労働世代の流出と自然減が重なり、賃貸事業としての持続性は極めて限定的。</t>
        </is>
      </c>
      <c r="U1365" t="inlineStr">
        <is>
          <t>美祢市は人口密度43人/km²と過疎的水準で、民間賃貸の新規需要は薄い。実需に裏付けられた格安戸建ての指値取得のみが現実的。 借家の空室率は約37%と供給過多気味で、空室長期化リスクに要警戒。</t>
        </is>
      </c>
      <c r="V1365" t="inlineStr">
        <is>
          <t>美祢市（山口県）：錦川・佐波川の氾濫、瀬戸内・日本海双方の沿岸災害、山地の土砂災害に注意。</t>
        </is>
      </c>
    </row>
    <row r="1366">
      <c r="A1366" t="inlineStr">
        <is>
          <t>山口県</t>
        </is>
      </c>
      <c r="B1366" t="inlineStr">
        <is>
          <t>周南市</t>
        </is>
      </c>
      <c r="C1366" t="n">
        <v>63510</v>
      </c>
      <c r="D1366" t="n">
        <v>128307</v>
      </c>
      <c r="E1366" s="6" t="n">
        <v>199.9</v>
      </c>
      <c r="F1366" s="7" t="n">
        <v>30</v>
      </c>
      <c r="G1366" t="n">
        <v>137540</v>
      </c>
      <c r="H1366" t="n">
        <v>128307</v>
      </c>
      <c r="I1366" t="n">
        <v>121048</v>
      </c>
      <c r="J1366" t="n">
        <v>98471</v>
      </c>
      <c r="K1366" s="27">
        <f>(H1366/D1366-1)</f>
        <v/>
      </c>
      <c r="L1366" s="27">
        <f>(I1366/D1366-1)</f>
        <v/>
      </c>
      <c r="M1366" s="27">
        <f>(J1366/D1366-1)</f>
        <v/>
      </c>
      <c r="N1366" t="n">
        <v>47</v>
      </c>
      <c r="O1366" s="28">
        <f>(N1366+F1366)/2</f>
        <v/>
      </c>
      <c r="P1366">
        <f>IF(O1366="計算不能","計算不能",IF(O1366&gt;=80,5,IF(O1366&gt;=60,4,IF(O1366&gt;=40,3,IF(O1366&gt;=28,2,1)))))</f>
        <v/>
      </c>
      <c r="Q1366" t="n">
        <v>18786</v>
      </c>
      <c r="R1366" t="n">
        <v>5760</v>
      </c>
      <c r="S1366" s="27">
        <f>R1366/Q1366</f>
        <v/>
      </c>
      <c r="T1366" t="inlineStr">
        <is>
          <t>周南市は2045年までに人口が約23.3%減と明確な減少トレンド。高齢化の進行と世帯数の縮小により、中長期では賃貸需要の構造的縮小に警戒が必要。</t>
        </is>
      </c>
      <c r="U1366" t="inlineStr">
        <is>
          <t>周南市は人口密度200人/km²と過疎的水準で、民間賃貸の新規需要は薄い。実需に裏付けられた格安戸建ての指値取得のみが現実的。 借家の空室率は約31%と供給過多気味で、空室長期化リスクに要警戒。</t>
        </is>
      </c>
      <c r="V1366" t="inlineStr">
        <is>
          <t>周南市（山口県）：錦川・佐波川の氾濫、瀬戸内・日本海双方の沿岸災害、山地の土砂災害に注意。</t>
        </is>
      </c>
    </row>
    <row r="1367">
      <c r="A1367" t="inlineStr">
        <is>
          <t>山口県</t>
        </is>
      </c>
      <c r="B1367" t="inlineStr">
        <is>
          <t>山陽小野田市</t>
        </is>
      </c>
      <c r="C1367" t="n">
        <v>25410</v>
      </c>
      <c r="D1367" t="n">
        <v>56234</v>
      </c>
      <c r="E1367" s="6" t="n">
        <v>425.1</v>
      </c>
      <c r="F1367" s="7" t="n">
        <v>41.3</v>
      </c>
      <c r="G1367" t="n">
        <v>60326</v>
      </c>
      <c r="H1367" t="n">
        <v>56234</v>
      </c>
      <c r="I1367" t="n">
        <v>52987</v>
      </c>
      <c r="J1367" t="n">
        <v>43261</v>
      </c>
      <c r="K1367" s="27">
        <f>(H1367/D1367-1)</f>
        <v/>
      </c>
      <c r="L1367" s="27">
        <f>(I1367/D1367-1)</f>
        <v/>
      </c>
      <c r="M1367" s="27">
        <f>(J1367/D1367-1)</f>
        <v/>
      </c>
      <c r="N1367" t="n">
        <v>46.9</v>
      </c>
      <c r="O1367" s="28">
        <f>(N1367+F1367)/2</f>
        <v/>
      </c>
      <c r="P1367">
        <f>IF(O1367="計算不能","計算不能",IF(O1367&gt;=80,5,IF(O1367&gt;=60,4,IF(O1367&gt;=40,3,IF(O1367&gt;=28,2,1)))))</f>
        <v/>
      </c>
      <c r="Q1367" t="n">
        <v>7516</v>
      </c>
      <c r="R1367" t="n">
        <v>1580</v>
      </c>
      <c r="S1367" s="27">
        <f>R1367/Q1367</f>
        <v/>
      </c>
      <c r="T1367" t="inlineStr">
        <is>
          <t>山陽小野田市は2045年までに人口が約23.1%減と明確な減少トレンド。高齢化の進行と世帯数の縮小により、中長期では賃貸需要の構造的縮小に警戒が必要。</t>
        </is>
      </c>
      <c r="U1367" t="inlineStr">
        <is>
          <t>山陽小野田市は人口密度425人/km²と低密度で、賃貸需要は限定的。持ち家比率が高く、駐車場完備の戸建て賃貸が有利。 借家の空室率は約21%とやや高めで、競合との差別化が必要。</t>
        </is>
      </c>
      <c r="V1367" t="inlineStr">
        <is>
          <t>山陽小野田市（山口県）：錦川・佐波川の氾濫、瀬戸内・日本海双方の沿岸災害、山地の土砂災害に注意。</t>
        </is>
      </c>
    </row>
    <row r="1368">
      <c r="A1368" t="inlineStr">
        <is>
          <t>山口県</t>
        </is>
      </c>
      <c r="B1368" t="inlineStr">
        <is>
          <t>周防大島町</t>
        </is>
      </c>
      <c r="C1368" t="n">
        <v>8005</v>
      </c>
      <c r="D1368" t="n">
        <v>12988</v>
      </c>
      <c r="E1368" s="6" t="n">
        <v>93.09999999999999</v>
      </c>
      <c r="F1368" s="7" t="n">
        <v>19.3</v>
      </c>
      <c r="G1368" t="n">
        <v>14798</v>
      </c>
      <c r="H1368" t="n">
        <v>12988</v>
      </c>
      <c r="I1368" t="n">
        <v>11383</v>
      </c>
      <c r="J1368" t="n">
        <v>7384</v>
      </c>
      <c r="K1368" s="27">
        <f>(H1368/D1368-1)</f>
        <v/>
      </c>
      <c r="L1368" s="27">
        <f>(I1368/D1368-1)</f>
        <v/>
      </c>
      <c r="M1368" s="27">
        <f>(J1368/D1368-1)</f>
        <v/>
      </c>
      <c r="N1368" t="n">
        <v>34.5</v>
      </c>
      <c r="O1368" s="28">
        <f>(N1368+F1368)/2</f>
        <v/>
      </c>
      <c r="P1368">
        <f>IF(O1368="計算不能","計算不能",IF(O1368&gt;=80,5,IF(O1368&gt;=60,4,IF(O1368&gt;=40,3,IF(O1368&gt;=28,2,1)))))</f>
        <v/>
      </c>
      <c r="Q1368" t="n">
        <v>2367</v>
      </c>
      <c r="R1368" t="n">
        <v>0</v>
      </c>
      <c r="S1368" s="27">
        <f>R1368/Q1368</f>
        <v/>
      </c>
      <c r="T1368" t="inlineStr">
        <is>
          <t>周防大島町は2045年までに人口が約43.1%減と急激な過疎・超高齢化が進行。若年労働世代の流出と自然減が重なり、賃貸事業としての持続性は極めて限定的。</t>
        </is>
      </c>
      <c r="U1368" t="inlineStr">
        <is>
          <t>周防大島町は人口密度93人/km²と過疎的水準で、民間賃貸の新規需要は薄い。実需に裏付けられた格安戸建ての指値取得のみが現実的。 借家の空室率は約0%と需給は比較的引き締まっている。</t>
        </is>
      </c>
      <c r="V1368" t="inlineStr">
        <is>
          <t>周防大島町（山口県）：錦川・佐波川の氾濫、瀬戸内・日本海双方の沿岸災害、山地の土砂災害に注意。</t>
        </is>
      </c>
    </row>
    <row r="1369">
      <c r="A1369" t="inlineStr">
        <is>
          <t>山口県</t>
        </is>
      </c>
      <c r="B1369" t="inlineStr">
        <is>
          <t>和木町</t>
        </is>
      </c>
      <c r="C1369" t="n">
        <v>2573</v>
      </c>
      <c r="D1369" t="n">
        <v>5781</v>
      </c>
      <c r="E1369" s="6" t="n">
        <v>513.9</v>
      </c>
      <c r="F1369" s="7" t="n">
        <v>45.3</v>
      </c>
      <c r="G1369" t="n">
        <v>6034</v>
      </c>
      <c r="H1369" t="n">
        <v>5781</v>
      </c>
      <c r="I1369" t="n">
        <v>5536</v>
      </c>
      <c r="J1369" t="n">
        <v>4800</v>
      </c>
      <c r="K1369" s="27">
        <f>(H1369/D1369-1)</f>
        <v/>
      </c>
      <c r="L1369" s="27">
        <f>(I1369/D1369-1)</f>
        <v/>
      </c>
      <c r="M1369" s="27">
        <f>(J1369/D1369-1)</f>
        <v/>
      </c>
      <c r="N1369" t="n">
        <v>55.6</v>
      </c>
      <c r="O1369" s="28">
        <f>(N1369+F1369)/2</f>
        <v/>
      </c>
      <c r="P1369">
        <f>IF(O1369="計算不能","計算不能",IF(O1369&gt;=80,5,IF(O1369&gt;=60,4,IF(O1369&gt;=40,3,IF(O1369&gt;=28,2,1)))))</f>
        <v/>
      </c>
      <c r="Q1369" t="n">
        <v>761</v>
      </c>
      <c r="R1369" t="n">
        <v>0</v>
      </c>
      <c r="S1369" s="27">
        <f>R1369/Q1369</f>
        <v/>
      </c>
      <c r="T1369" t="inlineStr">
        <is>
          <t>和木町は2045年までに人口が約17.0%減と明確な減少トレンド。高齢化の進行と世帯数の縮小により、中長期では賃貸需要の構造的縮小に警戒が必要。</t>
        </is>
      </c>
      <c r="U1369" t="inlineStr">
        <is>
          <t>和木町は人口密度514人/km²で、主要道路沿いや中心市街地に一定の賃貸需要が局在。立地選別が稼働を左右する。 借家の空室率は約0%と需給は比較的引き締まっている。</t>
        </is>
      </c>
      <c r="V1369" t="inlineStr">
        <is>
          <t>和木町（山口県）：錦川・佐波川の氾濫、瀬戸内・日本海双方の沿岸災害、山地の土砂災害に注意。</t>
        </is>
      </c>
    </row>
    <row r="1370">
      <c r="A1370" t="inlineStr">
        <is>
          <t>山口県</t>
        </is>
      </c>
      <c r="B1370" t="inlineStr">
        <is>
          <t>上関町</t>
        </is>
      </c>
      <c r="C1370" t="n">
        <v>1320</v>
      </c>
      <c r="D1370" t="n">
        <v>2026</v>
      </c>
      <c r="E1370" s="6" t="n">
        <v>54.6</v>
      </c>
      <c r="F1370" s="7" t="n">
        <v>15.5</v>
      </c>
      <c r="G1370" t="n">
        <v>2342</v>
      </c>
      <c r="H1370" t="n">
        <v>2026</v>
      </c>
      <c r="I1370" t="n">
        <v>1757</v>
      </c>
      <c r="J1370" t="n">
        <v>1111</v>
      </c>
      <c r="K1370" s="27">
        <f>(H1370/D1370-1)</f>
        <v/>
      </c>
      <c r="L1370" s="27">
        <f>(I1370/D1370-1)</f>
        <v/>
      </c>
      <c r="M1370" s="27">
        <f>(J1370/D1370-1)</f>
        <v/>
      </c>
      <c r="N1370" t="n">
        <v>32.7</v>
      </c>
      <c r="O1370" s="28">
        <f>(N1370+F1370)/2</f>
        <v/>
      </c>
      <c r="P1370">
        <f>IF(O1370="計算不能","計算不能",IF(O1370&gt;=80,5,IF(O1370&gt;=60,4,IF(O1370&gt;=40,3,IF(O1370&gt;=28,2,1)))))</f>
        <v/>
      </c>
      <c r="Q1370" t="n">
        <v>390</v>
      </c>
      <c r="R1370" t="n">
        <v>0</v>
      </c>
      <c r="S1370" s="27">
        <f>R1370/Q1370</f>
        <v/>
      </c>
      <c r="T1370" t="inlineStr">
        <is>
          <t>上関町は2045年までに人口が約45.2%減と急激な過疎・超高齢化が進行。若年労働世代の流出と自然減が重なり、賃貸事業としての持続性は極めて限定的。</t>
        </is>
      </c>
      <c r="U1370" t="inlineStr">
        <is>
          <t>上関町は人口密度55人/km²と過疎的水準で、民間賃貸の新規需要は薄い。実需に裏付けられた格安戸建ての指値取得のみが現実的。 借家の空室率は約0%と需給は比較的引き締まっている。</t>
        </is>
      </c>
      <c r="V1370" t="inlineStr">
        <is>
          <t>上関町（山口県）：錦川・佐波川の氾濫、瀬戸内・日本海双方の沿岸災害、山地の土砂災害に注意。</t>
        </is>
      </c>
    </row>
    <row r="1371">
      <c r="A1371" t="inlineStr">
        <is>
          <t>山口県</t>
        </is>
      </c>
      <c r="B1371" t="inlineStr">
        <is>
          <t>田布施町</t>
        </is>
      </c>
      <c r="C1371" t="n">
        <v>6867</v>
      </c>
      <c r="D1371" t="n">
        <v>13266</v>
      </c>
      <c r="E1371" s="6" t="n">
        <v>265.7</v>
      </c>
      <c r="F1371" s="7" t="n">
        <v>33.3</v>
      </c>
      <c r="G1371" t="n">
        <v>14483</v>
      </c>
      <c r="H1371" t="n">
        <v>13266</v>
      </c>
      <c r="I1371" t="n">
        <v>12354</v>
      </c>
      <c r="J1371" t="n">
        <v>9748</v>
      </c>
      <c r="K1371" s="27">
        <f>(H1371/D1371-1)</f>
        <v/>
      </c>
      <c r="L1371" s="27">
        <f>(I1371/D1371-1)</f>
        <v/>
      </c>
      <c r="M1371" s="27">
        <f>(J1371/D1371-1)</f>
        <v/>
      </c>
      <c r="N1371" t="n">
        <v>43.3</v>
      </c>
      <c r="O1371" s="28">
        <f>(N1371+F1371)/2</f>
        <v/>
      </c>
      <c r="P1371">
        <f>IF(O1371="計算不能","計算不能",IF(O1371&gt;=80,5,IF(O1371&gt;=60,4,IF(O1371&gt;=40,3,IF(O1371&gt;=28,2,1)))))</f>
        <v/>
      </c>
      <c r="Q1371" t="n">
        <v>2031</v>
      </c>
      <c r="R1371" t="n">
        <v>0</v>
      </c>
      <c r="S1371" s="27">
        <f>R1371/Q1371</f>
        <v/>
      </c>
      <c r="T1371" t="inlineStr">
        <is>
          <t>田布施町は2045年までに人口が約26.5%減と明確な減少トレンド。高齢化の進行と世帯数の縮小により、中長期では賃貸需要の構造的縮小に警戒が必要。</t>
        </is>
      </c>
      <c r="U1371" t="inlineStr">
        <is>
          <t>田布施町は人口密度266人/km²と低密度で、賃貸需要は限定的。持ち家比率が高く、駐車場完備の戸建て賃貸が有利。 借家の空室率は約0%と需給は比較的引き締まっている。</t>
        </is>
      </c>
      <c r="V1371" t="inlineStr">
        <is>
          <t>田布施町（山口県）：錦川・佐波川の氾濫、瀬戸内・日本海双方の沿岸災害、山地の土砂災害に注意。</t>
        </is>
      </c>
    </row>
    <row r="1372">
      <c r="A1372" t="inlineStr">
        <is>
          <t>山口県</t>
        </is>
      </c>
      <c r="B1372" t="inlineStr">
        <is>
          <t>平生町</t>
        </is>
      </c>
      <c r="C1372" t="n">
        <v>5360</v>
      </c>
      <c r="D1372" t="n">
        <v>10979</v>
      </c>
      <c r="E1372" s="6" t="n">
        <v>312.4</v>
      </c>
      <c r="F1372" s="7" t="n">
        <v>35.6</v>
      </c>
      <c r="G1372" t="n">
        <v>11914</v>
      </c>
      <c r="H1372" t="n">
        <v>10979</v>
      </c>
      <c r="I1372" t="n">
        <v>10078</v>
      </c>
      <c r="J1372" t="n">
        <v>7482</v>
      </c>
      <c r="K1372" s="27">
        <f>(H1372/D1372-1)</f>
        <v/>
      </c>
      <c r="L1372" s="27">
        <f>(I1372/D1372-1)</f>
        <v/>
      </c>
      <c r="M1372" s="27">
        <f>(J1372/D1372-1)</f>
        <v/>
      </c>
      <c r="N1372" t="n">
        <v>42.2</v>
      </c>
      <c r="O1372" s="28">
        <f>(N1372+F1372)/2</f>
        <v/>
      </c>
      <c r="P1372">
        <f>IF(O1372="計算不能","計算不能",IF(O1372&gt;=80,5,IF(O1372&gt;=60,4,IF(O1372&gt;=40,3,IF(O1372&gt;=28,2,1)))))</f>
        <v/>
      </c>
      <c r="Q1372" t="n">
        <v>1585</v>
      </c>
      <c r="R1372" t="n">
        <v>0</v>
      </c>
      <c r="S1372" s="27">
        <f>R1372/Q1372</f>
        <v/>
      </c>
      <c r="T1372" t="inlineStr">
        <is>
          <t>平生町は2045年までに人口が約31.9%減と急激な過疎・超高齢化が進行。若年労働世代の流出と自然減が重なり、賃貸事業としての持続性は極めて限定的。</t>
        </is>
      </c>
      <c r="U1372" t="inlineStr">
        <is>
          <t>平生町は人口密度312人/km²と低密度で、賃貸需要は限定的。持ち家比率が高く、駐車場完備の戸建て賃貸が有利。 借家の空室率は約0%と需給は比較的引き締まっている。</t>
        </is>
      </c>
      <c r="V1372" t="inlineStr">
        <is>
          <t>平生町（山口県）：錦川・佐波川の氾濫、瀬戸内・日本海双方の沿岸災害、山地の土砂災害に注意。</t>
        </is>
      </c>
    </row>
    <row r="1373">
      <c r="A1373" t="inlineStr">
        <is>
          <t>山口県</t>
        </is>
      </c>
      <c r="B1373" t="inlineStr">
        <is>
          <t>阿武町</t>
        </is>
      </c>
      <c r="C1373" t="n">
        <v>1480</v>
      </c>
      <c r="D1373" t="n">
        <v>2745</v>
      </c>
      <c r="E1373" s="6" t="n">
        <v>23.3</v>
      </c>
      <c r="F1373" s="7" t="n">
        <v>12.3</v>
      </c>
      <c r="G1373" t="n">
        <v>3055</v>
      </c>
      <c r="H1373" t="n">
        <v>2745</v>
      </c>
      <c r="I1373" t="n">
        <v>2453</v>
      </c>
      <c r="J1373" t="n">
        <v>1706</v>
      </c>
      <c r="K1373" s="27">
        <f>(H1373/D1373-1)</f>
        <v/>
      </c>
      <c r="L1373" s="27">
        <f>(I1373/D1373-1)</f>
        <v/>
      </c>
      <c r="M1373" s="27">
        <f>(J1373/D1373-1)</f>
        <v/>
      </c>
      <c r="N1373" t="n">
        <v>38</v>
      </c>
      <c r="O1373" s="28">
        <f>(N1373+F1373)/2</f>
        <v/>
      </c>
      <c r="P1373">
        <f>IF(O1373="計算不能","計算不能",IF(O1373&gt;=80,5,IF(O1373&gt;=60,4,IF(O1373&gt;=40,3,IF(O1373&gt;=28,2,1)))))</f>
        <v/>
      </c>
      <c r="Q1373" t="n">
        <v>437</v>
      </c>
      <c r="R1373" t="n">
        <v>0</v>
      </c>
      <c r="S1373" s="27">
        <f>R1373/Q1373</f>
        <v/>
      </c>
      <c r="T1373" t="inlineStr">
        <is>
          <t>阿武町は2045年までに人口が約37.9%減と急激な過疎・超高齢化が進行。若年労働世代の流出と自然減が重なり、賃貸事業としての持続性は極めて限定的。</t>
        </is>
      </c>
      <c r="U1373" t="inlineStr">
        <is>
          <t>阿武町は人口密度23人/km²と過疎的水準で、民間賃貸の新規需要は薄い。実需に裏付けられた格安戸建ての指値取得のみが現実的。 借家の空室率は約0%と需給は比較的引き締まっている。</t>
        </is>
      </c>
      <c r="V1373" t="inlineStr">
        <is>
          <t>阿武町（山口県）：錦川・佐波川の氾濫、瀬戸内・日本海双方の沿岸災害、山地の土砂災害に注意。</t>
        </is>
      </c>
    </row>
    <row r="1374">
      <c r="A1374" t="inlineStr">
        <is>
          <t>徳島県</t>
        </is>
      </c>
      <c r="B1374" t="inlineStr">
        <is>
          <t>徳島市</t>
        </is>
      </c>
      <c r="C1374" t="n">
        <v>120040</v>
      </c>
      <c r="D1374" t="n">
        <v>244731</v>
      </c>
      <c r="E1374" s="6" t="n">
        <v>1258.7</v>
      </c>
      <c r="F1374" s="7" t="n">
        <v>60.2</v>
      </c>
      <c r="G1374" t="n">
        <v>252391</v>
      </c>
      <c r="H1374" t="n">
        <v>244731</v>
      </c>
      <c r="I1374" t="n">
        <v>235582</v>
      </c>
      <c r="J1374" t="n">
        <v>203711</v>
      </c>
      <c r="K1374" s="27">
        <f>(H1374/D1374-1)</f>
        <v/>
      </c>
      <c r="L1374" s="27">
        <f>(I1374/D1374-1)</f>
        <v/>
      </c>
      <c r="M1374" s="27">
        <f>(J1374/D1374-1)</f>
        <v/>
      </c>
      <c r="N1374" t="n">
        <v>58.3</v>
      </c>
      <c r="O1374" s="28">
        <f>(N1374+F1374)/2</f>
        <v/>
      </c>
      <c r="P1374">
        <f>IF(O1374="計算不能","計算不能",IF(O1374&gt;=80,5,IF(O1374&gt;=60,4,IF(O1374&gt;=40,3,IF(O1374&gt;=28,2,1)))))</f>
        <v/>
      </c>
      <c r="Q1374" t="n">
        <v>30929</v>
      </c>
      <c r="R1374" t="n">
        <v>14760</v>
      </c>
      <c r="S1374" s="27">
        <f>R1374/Q1374</f>
        <v/>
      </c>
      <c r="T1374" t="inlineStr">
        <is>
          <t>徳島市は2045年までに人口が約16.8%減と明確な減少トレンド。高齢化の進行と世帯数の縮小により、中長期では賃貸需要の構造的縮小に警戒が必要。</t>
        </is>
      </c>
      <c r="U1374" t="inlineStr">
        <is>
          <t>徳島市は人口密度1,259人/km²で、主要道路沿いや中心市街地に一定の賃貸需要が局在。立地選別が稼働を左右する。 借家の空室率は約48%と供給過多気味で、空室長期化リスクに要警戒。</t>
        </is>
      </c>
      <c r="V1374" t="inlineStr">
        <is>
          <t>徳島市（徳島県）：南海トラフ津波の想定が深刻。吉野川の氾濫、剣山系の土砂災害に最大級の留意。</t>
        </is>
      </c>
    </row>
    <row r="1375">
      <c r="A1375" t="inlineStr">
        <is>
          <t>徳島県</t>
        </is>
      </c>
      <c r="B1375" t="inlineStr">
        <is>
          <t>鳴門市</t>
        </is>
      </c>
      <c r="C1375" t="n">
        <v>22130</v>
      </c>
      <c r="D1375" t="n">
        <v>51328</v>
      </c>
      <c r="E1375" s="6" t="n">
        <v>376.3</v>
      </c>
      <c r="F1375" s="7" t="n">
        <v>38.8</v>
      </c>
      <c r="G1375" t="n">
        <v>54622</v>
      </c>
      <c r="H1375" t="n">
        <v>51328</v>
      </c>
      <c r="I1375" t="n">
        <v>47902</v>
      </c>
      <c r="J1375" t="n">
        <v>37129</v>
      </c>
      <c r="K1375" s="27">
        <f>(H1375/D1375-1)</f>
        <v/>
      </c>
      <c r="L1375" s="27">
        <f>(I1375/D1375-1)</f>
        <v/>
      </c>
      <c r="M1375" s="27">
        <f>(J1375/D1375-1)</f>
        <v/>
      </c>
      <c r="N1375" t="n">
        <v>45.6</v>
      </c>
      <c r="O1375" s="28">
        <f>(N1375+F1375)/2</f>
        <v/>
      </c>
      <c r="P1375">
        <f>IF(O1375="計算不能","計算不能",IF(O1375&gt;=80,5,IF(O1375&gt;=60,4,IF(O1375&gt;=40,3,IF(O1375&gt;=28,2,1)))))</f>
        <v/>
      </c>
      <c r="Q1375" t="n">
        <v>5702</v>
      </c>
      <c r="R1375" t="n">
        <v>2560</v>
      </c>
      <c r="S1375" s="27">
        <f>R1375/Q1375</f>
        <v/>
      </c>
      <c r="T1375" t="inlineStr">
        <is>
          <t>鳴門市は2045年までに人口が約27.7%減と明確な減少トレンド。高齢化の進行と世帯数の縮小により、中長期では賃貸需要の構造的縮小に警戒が必要。</t>
        </is>
      </c>
      <c r="U1375" t="inlineStr">
        <is>
          <t>鳴門市は人口密度376人/km²と低密度で、賃貸需要は限定的。持ち家比率が高く、駐車場完備の戸建て賃貸が有利。 借家の空室率は約45%と供給過多気味で、空室長期化リスクに要警戒。</t>
        </is>
      </c>
      <c r="V1375" t="inlineStr">
        <is>
          <t>鳴門市（徳島県）：南海トラフ津波の想定が深刻。吉野川の氾濫、剣山系の土砂災害に最大級の留意。</t>
        </is>
      </c>
    </row>
    <row r="1376">
      <c r="A1376" t="inlineStr">
        <is>
          <t>徳島県</t>
        </is>
      </c>
      <c r="B1376" t="inlineStr">
        <is>
          <t>小松島市</t>
        </is>
      </c>
      <c r="C1376" t="n">
        <v>14880</v>
      </c>
      <c r="D1376" t="n">
        <v>33277</v>
      </c>
      <c r="E1376" s="6" t="n">
        <v>749.2</v>
      </c>
      <c r="F1376" s="7" t="n">
        <v>50</v>
      </c>
      <c r="G1376" t="n">
        <v>36149</v>
      </c>
      <c r="H1376" t="n">
        <v>33277</v>
      </c>
      <c r="I1376" t="n">
        <v>30765</v>
      </c>
      <c r="J1376" t="n">
        <v>23163</v>
      </c>
      <c r="K1376" s="27">
        <f>(H1376/D1376-1)</f>
        <v/>
      </c>
      <c r="L1376" s="27">
        <f>(I1376/D1376-1)</f>
        <v/>
      </c>
      <c r="M1376" s="27">
        <f>(J1376/D1376-1)</f>
        <v/>
      </c>
      <c r="N1376" t="n">
        <v>42.6</v>
      </c>
      <c r="O1376" s="28">
        <f>(N1376+F1376)/2</f>
        <v/>
      </c>
      <c r="P1376">
        <f>IF(O1376="計算不能","計算不能",IF(O1376&gt;=80,5,IF(O1376&gt;=60,4,IF(O1376&gt;=40,3,IF(O1376&gt;=28,2,1)))))</f>
        <v/>
      </c>
      <c r="Q1376" t="n">
        <v>3834</v>
      </c>
      <c r="R1376" t="n">
        <v>2080</v>
      </c>
      <c r="S1376" s="27">
        <f>R1376/Q1376</f>
        <v/>
      </c>
      <c r="T1376" t="inlineStr">
        <is>
          <t>小松島市は2045年までに人口が約30.4%減と急激な過疎・超高齢化が進行。若年労働世代の流出と自然減が重なり、賃貸事業としての持続性は極めて限定的。</t>
        </is>
      </c>
      <c r="U1376" t="inlineStr">
        <is>
          <t>小松島市は人口密度749人/km²で、主要道路沿いや中心市街地に一定の賃貸需要が局在。立地選別が稼働を左右する。 借家の空室率は約54%と供給過多気味で、空室長期化リスクに要警戒。</t>
        </is>
      </c>
      <c r="V1376" t="inlineStr">
        <is>
          <t>小松島市（徳島県）：南海トラフ津波の想定が深刻。吉野川の氾濫、剣山系の土砂災害に最大級の留意。</t>
        </is>
      </c>
    </row>
    <row r="1377">
      <c r="A1377" t="inlineStr">
        <is>
          <t>徳島県</t>
        </is>
      </c>
      <c r="B1377" t="inlineStr">
        <is>
          <t>阿南市</t>
        </is>
      </c>
      <c r="C1377" t="n">
        <v>27150</v>
      </c>
      <c r="D1377" t="n">
        <v>64779</v>
      </c>
      <c r="E1377" s="6" t="n">
        <v>231.4</v>
      </c>
      <c r="F1377" s="7" t="n">
        <v>31.6</v>
      </c>
      <c r="G1377" t="n">
        <v>69470</v>
      </c>
      <c r="H1377" t="n">
        <v>64779</v>
      </c>
      <c r="I1377" t="n">
        <v>60577</v>
      </c>
      <c r="J1377" t="n">
        <v>48008</v>
      </c>
      <c r="K1377" s="27">
        <f>(H1377/D1377-1)</f>
        <v/>
      </c>
      <c r="L1377" s="27">
        <f>(I1377/D1377-1)</f>
        <v/>
      </c>
      <c r="M1377" s="27">
        <f>(J1377/D1377-1)</f>
        <v/>
      </c>
      <c r="N1377" t="n">
        <v>45.2</v>
      </c>
      <c r="O1377" s="28">
        <f>(N1377+F1377)/2</f>
        <v/>
      </c>
      <c r="P1377">
        <f>IF(O1377="計算不能","計算不能",IF(O1377&gt;=80,5,IF(O1377&gt;=60,4,IF(O1377&gt;=40,3,IF(O1377&gt;=28,2,1)))))</f>
        <v/>
      </c>
      <c r="Q1377" t="n">
        <v>6995</v>
      </c>
      <c r="R1377" t="n">
        <v>2740</v>
      </c>
      <c r="S1377" s="27">
        <f>R1377/Q1377</f>
        <v/>
      </c>
      <c r="T1377" t="inlineStr">
        <is>
          <t>阿南市は2045年までに人口が約25.9%減と明確な減少トレンド。高齢化の進行と世帯数の縮小により、中長期では賃貸需要の構造的縮小に警戒が必要。</t>
        </is>
      </c>
      <c r="U1377" t="inlineStr">
        <is>
          <t>阿南市は人口密度231人/km²と低密度で、賃貸需要は限定的。持ち家比率が高く、駐車場完備の戸建て賃貸が有利。 借家の空室率は約39%と供給過多気味で、空室長期化リスクに要警戒。</t>
        </is>
      </c>
      <c r="V1377" t="inlineStr">
        <is>
          <t>阿南市（徳島県）：南海トラフ津波の想定が深刻。吉野川の氾濫、剣山系の土砂災害に最大級の留意。</t>
        </is>
      </c>
    </row>
    <row r="1378">
      <c r="A1378" t="inlineStr">
        <is>
          <t>徳島県</t>
        </is>
      </c>
      <c r="B1378" t="inlineStr">
        <is>
          <t>吉野川市</t>
        </is>
      </c>
      <c r="C1378" t="n">
        <v>14690</v>
      </c>
      <c r="D1378" t="n">
        <v>35584</v>
      </c>
      <c r="E1378" s="6" t="n">
        <v>246.7</v>
      </c>
      <c r="F1378" s="7" t="n">
        <v>32.3</v>
      </c>
      <c r="G1378" t="n">
        <v>38772</v>
      </c>
      <c r="H1378" t="n">
        <v>35584</v>
      </c>
      <c r="I1378" t="n">
        <v>32929</v>
      </c>
      <c r="J1378" t="n">
        <v>25115</v>
      </c>
      <c r="K1378" s="27">
        <f>(H1378/D1378-1)</f>
        <v/>
      </c>
      <c r="L1378" s="27">
        <f>(I1378/D1378-1)</f>
        <v/>
      </c>
      <c r="M1378" s="27">
        <f>(J1378/D1378-1)</f>
        <v/>
      </c>
      <c r="N1378" t="n">
        <v>42.6</v>
      </c>
      <c r="O1378" s="28">
        <f>(N1378+F1378)/2</f>
        <v/>
      </c>
      <c r="P1378">
        <f>IF(O1378="計算不能","計算不能",IF(O1378&gt;=80,5,IF(O1378&gt;=60,4,IF(O1378&gt;=40,3,IF(O1378&gt;=28,2,1)))))</f>
        <v/>
      </c>
      <c r="Q1378" t="n">
        <v>3785</v>
      </c>
      <c r="R1378" t="n">
        <v>1130</v>
      </c>
      <c r="S1378" s="27">
        <f>R1378/Q1378</f>
        <v/>
      </c>
      <c r="T1378" t="inlineStr">
        <is>
          <t>吉野川市は2045年までに人口が約29.4%減と明確な減少トレンド。高齢化の進行と世帯数の縮小により、中長期では賃貸需要の構造的縮小に警戒が必要。</t>
        </is>
      </c>
      <c r="U1378" t="inlineStr">
        <is>
          <t>吉野川市は人口密度247人/km²と低密度で、賃貸需要は限定的。持ち家比率が高く、駐車場完備の戸建て賃貸が有利。 借家の空室率は約30%と供給過多気味で、空室長期化リスクに要警戒。</t>
        </is>
      </c>
      <c r="V1378" t="inlineStr">
        <is>
          <t>吉野川市（徳島県）：南海トラフ津波の想定が深刻。吉野川の氾濫、剣山系の土砂災害に最大級の留意。</t>
        </is>
      </c>
    </row>
    <row r="1379">
      <c r="A1379" t="inlineStr">
        <is>
          <t>徳島県</t>
        </is>
      </c>
      <c r="B1379" t="inlineStr">
        <is>
          <t>阿波市</t>
        </is>
      </c>
      <c r="C1379" t="n">
        <v>11970</v>
      </c>
      <c r="D1379" t="n">
        <v>31492</v>
      </c>
      <c r="E1379" s="6" t="n">
        <v>165.1</v>
      </c>
      <c r="F1379" s="7" t="n">
        <v>26.5</v>
      </c>
      <c r="G1379" t="n">
        <v>34713</v>
      </c>
      <c r="H1379" t="n">
        <v>31492</v>
      </c>
      <c r="I1379" t="n">
        <v>28897</v>
      </c>
      <c r="J1379" t="n">
        <v>21438</v>
      </c>
      <c r="K1379" s="27">
        <f>(H1379/D1379-1)</f>
        <v/>
      </c>
      <c r="L1379" s="27">
        <f>(I1379/D1379-1)</f>
        <v/>
      </c>
      <c r="M1379" s="27">
        <f>(J1379/D1379-1)</f>
        <v/>
      </c>
      <c r="N1379" t="n">
        <v>40.9</v>
      </c>
      <c r="O1379" s="28">
        <f>(N1379+F1379)/2</f>
        <v/>
      </c>
      <c r="P1379">
        <f>IF(O1379="計算不能","計算不能",IF(O1379&gt;=80,5,IF(O1379&gt;=60,4,IF(O1379&gt;=40,3,IF(O1379&gt;=28,2,1)))))</f>
        <v/>
      </c>
      <c r="Q1379" t="n">
        <v>3084</v>
      </c>
      <c r="R1379" t="n">
        <v>820</v>
      </c>
      <c r="S1379" s="27">
        <f>R1379/Q1379</f>
        <v/>
      </c>
      <c r="T1379" t="inlineStr">
        <is>
          <t>阿波市は2045年までに人口が約31.9%減と急激な過疎・超高齢化が進行。若年労働世代の流出と自然減が重なり、賃貸事業としての持続性は極めて限定的。</t>
        </is>
      </c>
      <c r="U1379" t="inlineStr">
        <is>
          <t>阿波市は人口密度165人/km²と過疎的水準で、民間賃貸の新規需要は薄い。実需に裏付けられた格安戸建ての指値取得のみが現実的。 借家の空室率は約27%と供給過多気味で、空室長期化リスクに要警戒。</t>
        </is>
      </c>
      <c r="V1379" t="inlineStr">
        <is>
          <t>阿波市（徳島県）：南海トラフ津波の想定が深刻。吉野川の氾濫、剣山系の土砂災害に最大級の留意。</t>
        </is>
      </c>
    </row>
    <row r="1380">
      <c r="A1380" t="inlineStr">
        <is>
          <t>徳島県</t>
        </is>
      </c>
      <c r="B1380" t="inlineStr">
        <is>
          <t>美馬市</t>
        </is>
      </c>
      <c r="C1380" t="n">
        <v>10940</v>
      </c>
      <c r="D1380" t="n">
        <v>25253</v>
      </c>
      <c r="E1380" s="6" t="n">
        <v>69.5</v>
      </c>
      <c r="F1380" s="7" t="n">
        <v>16.9</v>
      </c>
      <c r="G1380" t="n">
        <v>28055</v>
      </c>
      <c r="H1380" t="n">
        <v>25253</v>
      </c>
      <c r="I1380" t="n">
        <v>23027</v>
      </c>
      <c r="J1380" t="n">
        <v>16799</v>
      </c>
      <c r="K1380" s="27">
        <f>(H1380/D1380-1)</f>
        <v/>
      </c>
      <c r="L1380" s="27">
        <f>(I1380/D1380-1)</f>
        <v/>
      </c>
      <c r="M1380" s="27">
        <f>(J1380/D1380-1)</f>
        <v/>
      </c>
      <c r="N1380" t="n">
        <v>39.7</v>
      </c>
      <c r="O1380" s="28">
        <f>(N1380+F1380)/2</f>
        <v/>
      </c>
      <c r="P1380">
        <f>IF(O1380="計算不能","計算不能",IF(O1380&gt;=80,5,IF(O1380&gt;=60,4,IF(O1380&gt;=40,3,IF(O1380&gt;=28,2,1)))))</f>
        <v/>
      </c>
      <c r="Q1380" t="n">
        <v>2818</v>
      </c>
      <c r="R1380" t="n">
        <v>820</v>
      </c>
      <c r="S1380" s="27">
        <f>R1380/Q1380</f>
        <v/>
      </c>
      <c r="T1380" t="inlineStr">
        <is>
          <t>美馬市は2045年までに人口が約33.5%減と急激な過疎・超高齢化が進行。若年労働世代の流出と自然減が重なり、賃貸事業としての持続性は極めて限定的。</t>
        </is>
      </c>
      <c r="U1380" t="inlineStr">
        <is>
          <t>美馬市は人口密度70人/km²と過疎的水準で、民間賃貸の新規需要は薄い。実需に裏付けられた格安戸建ての指値取得のみが現実的。 借家の空室率は約29%と供給過多気味で、空室長期化リスクに要警戒。</t>
        </is>
      </c>
      <c r="V1380" t="inlineStr">
        <is>
          <t>美馬市（徳島県）：南海トラフ津波の想定が深刻。吉野川の氾濫、剣山系の土砂災害に最大級の留意。</t>
        </is>
      </c>
    </row>
    <row r="1381">
      <c r="A1381" t="inlineStr">
        <is>
          <t>徳島県</t>
        </is>
      </c>
      <c r="B1381" t="inlineStr">
        <is>
          <t>三好市</t>
        </is>
      </c>
      <c r="C1381" t="n">
        <v>9590</v>
      </c>
      <c r="D1381" t="n">
        <v>20352</v>
      </c>
      <c r="E1381" s="6" t="n">
        <v>28.5</v>
      </c>
      <c r="F1381" s="7" t="n">
        <v>12.8</v>
      </c>
      <c r="G1381" t="n">
        <v>23605</v>
      </c>
      <c r="H1381" t="n">
        <v>20352</v>
      </c>
      <c r="I1381" t="n">
        <v>17580</v>
      </c>
      <c r="J1381" t="n">
        <v>10949</v>
      </c>
      <c r="K1381" s="27">
        <f>(H1381/D1381-1)</f>
        <v/>
      </c>
      <c r="L1381" s="27">
        <f>(I1381/D1381-1)</f>
        <v/>
      </c>
      <c r="M1381" s="27">
        <f>(J1381/D1381-1)</f>
        <v/>
      </c>
      <c r="N1381" t="n">
        <v>32.2</v>
      </c>
      <c r="O1381" s="28">
        <f>(N1381+F1381)/2</f>
        <v/>
      </c>
      <c r="P1381">
        <f>IF(O1381="計算不能","計算不能",IF(O1381&gt;=80,5,IF(O1381&gt;=60,4,IF(O1381&gt;=40,3,IF(O1381&gt;=28,2,1)))))</f>
        <v/>
      </c>
      <c r="Q1381" t="n">
        <v>2470</v>
      </c>
      <c r="R1381" t="n">
        <v>1040</v>
      </c>
      <c r="S1381" s="27">
        <f>R1381/Q1381</f>
        <v/>
      </c>
      <c r="T1381" t="inlineStr">
        <is>
          <t>三好市は2045年までに人口が約46.2%減と急激な過疎・超高齢化が進行。若年労働世代の流出と自然減が重なり、賃貸事業としての持続性は極めて限定的。</t>
        </is>
      </c>
      <c r="U1381" t="inlineStr">
        <is>
          <t>三好市は人口密度28人/km²と過疎的水準で、民間賃貸の新規需要は薄い。実需に裏付けられた格安戸建ての指値取得のみが現実的。 借家の空室率は約42%と供給過多気味で、空室長期化リスクに要警戒。</t>
        </is>
      </c>
      <c r="V1381" t="inlineStr">
        <is>
          <t>三好市（徳島県）：南海トラフ津波の想定が深刻。吉野川の氾濫、剣山系の土砂災害に最大級の留意。</t>
        </is>
      </c>
    </row>
    <row r="1382">
      <c r="A1382" t="inlineStr">
        <is>
          <t>徳島県</t>
        </is>
      </c>
      <c r="B1382" t="inlineStr">
        <is>
          <t>勝浦町</t>
        </is>
      </c>
      <c r="C1382" t="n">
        <v>2109</v>
      </c>
      <c r="D1382" t="n">
        <v>4343</v>
      </c>
      <c r="E1382" s="6" t="n">
        <v>61</v>
      </c>
      <c r="F1382" s="7" t="n">
        <v>16.1</v>
      </c>
      <c r="G1382" t="n">
        <v>4837</v>
      </c>
      <c r="H1382" t="n">
        <v>4343</v>
      </c>
      <c r="I1382" t="n">
        <v>3881</v>
      </c>
      <c r="J1382" t="n">
        <v>2636</v>
      </c>
      <c r="K1382" s="27">
        <f>(H1382/D1382-1)</f>
        <v/>
      </c>
      <c r="L1382" s="27">
        <f>(I1382/D1382-1)</f>
        <v/>
      </c>
      <c r="M1382" s="27">
        <f>(J1382/D1382-1)</f>
        <v/>
      </c>
      <c r="N1382" t="n">
        <v>37.6</v>
      </c>
      <c r="O1382" s="28">
        <f>(N1382+F1382)/2</f>
        <v/>
      </c>
      <c r="P1382">
        <f>IF(O1382="計算不能","計算不能",IF(O1382&gt;=80,5,IF(O1382&gt;=60,4,IF(O1382&gt;=40,3,IF(O1382&gt;=28,2,1)))))</f>
        <v/>
      </c>
      <c r="Q1382" t="n">
        <v>543</v>
      </c>
      <c r="R1382" t="n">
        <v>0</v>
      </c>
      <c r="S1382" s="27">
        <f>R1382/Q1382</f>
        <v/>
      </c>
      <c r="T1382" t="inlineStr">
        <is>
          <t>勝浦町は2045年までに人口が約39.3%減と急激な過疎・超高齢化が進行。若年労働世代の流出と自然減が重なり、賃貸事業としての持続性は極めて限定的。</t>
        </is>
      </c>
      <c r="U1382" t="inlineStr">
        <is>
          <t>勝浦町は人口密度61人/km²と過疎的水準で、民間賃貸の新規需要は薄い。実需に裏付けられた格安戸建ての指値取得のみが現実的。 借家の空室率は約0%と需給は比較的引き締まっている。</t>
        </is>
      </c>
      <c r="V1382" t="inlineStr">
        <is>
          <t>勝浦町（徳島県）：南海トラフ津波の想定が深刻。吉野川の氾濫、剣山系の土砂災害に最大級の留意。</t>
        </is>
      </c>
    </row>
    <row r="1383">
      <c r="A1383" t="inlineStr">
        <is>
          <t>徳島県</t>
        </is>
      </c>
      <c r="B1383" t="inlineStr">
        <is>
          <t>上勝町</t>
        </is>
      </c>
      <c r="C1383" t="n">
        <v>710</v>
      </c>
      <c r="D1383" t="n">
        <v>1220</v>
      </c>
      <c r="E1383" s="6" t="n">
        <v>10.9</v>
      </c>
      <c r="F1383" s="7" t="n">
        <v>11.1</v>
      </c>
      <c r="G1383" t="n">
        <v>1380</v>
      </c>
      <c r="H1383" t="n">
        <v>1220</v>
      </c>
      <c r="I1383" t="n">
        <v>1068</v>
      </c>
      <c r="J1383" t="n">
        <v>737</v>
      </c>
      <c r="K1383" s="27">
        <f>(H1383/D1383-1)</f>
        <v/>
      </c>
      <c r="L1383" s="27">
        <f>(I1383/D1383-1)</f>
        <v/>
      </c>
      <c r="M1383" s="27">
        <f>(J1383/D1383-1)</f>
        <v/>
      </c>
      <c r="N1383" t="n">
        <v>35.8</v>
      </c>
      <c r="O1383" s="28">
        <f>(N1383+F1383)/2</f>
        <v/>
      </c>
      <c r="P1383">
        <f>IF(O1383="計算不能","計算不能",IF(O1383&gt;=80,5,IF(O1383&gt;=60,4,IF(O1383&gt;=40,3,IF(O1383&gt;=28,2,1)))))</f>
        <v/>
      </c>
      <c r="Q1383" t="n">
        <v>182</v>
      </c>
      <c r="R1383" t="n">
        <v>0</v>
      </c>
      <c r="S1383" s="27">
        <f>R1383/Q1383</f>
        <v/>
      </c>
      <c r="T1383" t="inlineStr">
        <is>
          <t>上勝町は2045年までに人口が約39.6%減と急激な過疎・超高齢化が進行。若年労働世代の流出と自然減が重なり、賃貸事業としての持続性は極めて限定的。</t>
        </is>
      </c>
      <c r="U1383" t="inlineStr">
        <is>
          <t>上勝町は人口密度11人/km²と過疎的水準で、民間賃貸の新規需要は薄い。実需に裏付けられた格安戸建ての指値取得のみが現実的。 借家の空室率は約0%と需給は比較的引き締まっている。</t>
        </is>
      </c>
      <c r="V1383" t="inlineStr">
        <is>
          <t>上勝町（徳島県）：南海トラフ津波の想定が深刻。吉野川の氾濫、剣山系の土砂災害に最大級の留意。</t>
        </is>
      </c>
    </row>
    <row r="1384">
      <c r="A1384" t="inlineStr">
        <is>
          <t>徳島県</t>
        </is>
      </c>
      <c r="B1384" t="inlineStr">
        <is>
          <t>佐那河内村</t>
        </is>
      </c>
      <c r="C1384" t="n">
        <v>945</v>
      </c>
      <c r="D1384" t="n">
        <v>1829</v>
      </c>
      <c r="E1384" s="6" t="n">
        <v>44.1</v>
      </c>
      <c r="F1384" s="7" t="n">
        <v>14.4</v>
      </c>
      <c r="G1384" t="n">
        <v>2058</v>
      </c>
      <c r="H1384" t="n">
        <v>1829</v>
      </c>
      <c r="I1384" t="n">
        <v>1620</v>
      </c>
      <c r="J1384" t="n">
        <v>1036</v>
      </c>
      <c r="K1384" s="27">
        <f>(H1384/D1384-1)</f>
        <v/>
      </c>
      <c r="L1384" s="27">
        <f>(I1384/D1384-1)</f>
        <v/>
      </c>
      <c r="M1384" s="27">
        <f>(J1384/D1384-1)</f>
        <v/>
      </c>
      <c r="N1384" t="n">
        <v>35.7</v>
      </c>
      <c r="O1384" s="28">
        <f>(N1384+F1384)/2</f>
        <v/>
      </c>
      <c r="P1384">
        <f>IF(O1384="計算不能","計算不能",IF(O1384&gt;=80,5,IF(O1384&gt;=60,4,IF(O1384&gt;=40,3,IF(O1384&gt;=28,2,1)))))</f>
        <v/>
      </c>
      <c r="Q1384" t="n">
        <v>243</v>
      </c>
      <c r="R1384" t="n">
        <v>0</v>
      </c>
      <c r="S1384" s="27">
        <f>R1384/Q1384</f>
        <v/>
      </c>
      <c r="T1384" t="inlineStr">
        <is>
          <t>佐那河内村は2045年までに人口が約43.4%減と急激な過疎・超高齢化が進行。若年労働世代の流出と自然減が重なり、賃貸事業としての持続性は極めて限定的。</t>
        </is>
      </c>
      <c r="U1384" t="inlineStr">
        <is>
          <t>佐那河内村は人口密度44人/km²と過疎的水準で、民間賃貸の新規需要は薄い。実需に裏付けられた格安戸建ての指値取得のみが現実的。 借家の空室率は約0%と需給は比較的引き締まっている。</t>
        </is>
      </c>
      <c r="V1384" t="inlineStr">
        <is>
          <t>佐那河内村（徳島県）：南海トラフ津波の想定が深刻。吉野川の氾濫、剣山系の土砂災害に最大級の留意。</t>
        </is>
      </c>
    </row>
    <row r="1385">
      <c r="A1385" t="inlineStr">
        <is>
          <t>徳島県</t>
        </is>
      </c>
      <c r="B1385" t="inlineStr">
        <is>
          <t>石井町</t>
        </is>
      </c>
      <c r="C1385" t="n">
        <v>9650</v>
      </c>
      <c r="D1385" t="n">
        <v>23991</v>
      </c>
      <c r="E1385" s="6" t="n">
        <v>819.6</v>
      </c>
      <c r="F1385" s="7" t="n">
        <v>51.4</v>
      </c>
      <c r="G1385" t="n">
        <v>24833</v>
      </c>
      <c r="H1385" t="n">
        <v>23991</v>
      </c>
      <c r="I1385" t="n">
        <v>23035</v>
      </c>
      <c r="J1385" t="n">
        <v>19624</v>
      </c>
      <c r="K1385" s="27">
        <f>(H1385/D1385-1)</f>
        <v/>
      </c>
      <c r="L1385" s="27">
        <f>(I1385/D1385-1)</f>
        <v/>
      </c>
      <c r="M1385" s="27">
        <f>(J1385/D1385-1)</f>
        <v/>
      </c>
      <c r="N1385" t="n">
        <v>56.7</v>
      </c>
      <c r="O1385" s="28">
        <f>(N1385+F1385)/2</f>
        <v/>
      </c>
      <c r="P1385">
        <f>IF(O1385="計算不能","計算不能",IF(O1385&gt;=80,5,IF(O1385&gt;=60,4,IF(O1385&gt;=40,3,IF(O1385&gt;=28,2,1)))))</f>
        <v/>
      </c>
      <c r="Q1385" t="n">
        <v>2486</v>
      </c>
      <c r="R1385" t="n">
        <v>340</v>
      </c>
      <c r="S1385" s="27">
        <f>R1385/Q1385</f>
        <v/>
      </c>
      <c r="T1385" t="inlineStr">
        <is>
          <t>石井町は2045年までに人口が約18.2%減と明確な減少トレンド。高齢化の進行と世帯数の縮小により、中長期では賃貸需要の構造的縮小に警戒が必要。</t>
        </is>
      </c>
      <c r="U1385" t="inlineStr">
        <is>
          <t>石井町は人口密度820人/km²で、主要道路沿いや中心市街地に一定の賃貸需要が局在。立地選別が稼働を左右する。 借家の空室率は約14%と需給は比較的引き締まっている。</t>
        </is>
      </c>
      <c r="V1385" t="inlineStr">
        <is>
          <t>石井町（徳島県）：南海トラフ津波の想定が深刻。吉野川の氾濫、剣山系の土砂災害に最大級の留意。</t>
        </is>
      </c>
    </row>
    <row r="1386">
      <c r="A1386" t="inlineStr">
        <is>
          <t>徳島県</t>
        </is>
      </c>
      <c r="B1386" t="inlineStr">
        <is>
          <t>神山町</t>
        </is>
      </c>
      <c r="C1386" t="n">
        <v>2422</v>
      </c>
      <c r="D1386" t="n">
        <v>4025</v>
      </c>
      <c r="E1386" s="6" t="n">
        <v>24.1</v>
      </c>
      <c r="F1386" s="7" t="n">
        <v>12.4</v>
      </c>
      <c r="G1386" t="n">
        <v>4647</v>
      </c>
      <c r="H1386" t="n">
        <v>4025</v>
      </c>
      <c r="I1386" t="n">
        <v>3477</v>
      </c>
      <c r="J1386" t="n">
        <v>2179</v>
      </c>
      <c r="K1386" s="27">
        <f>(H1386/D1386-1)</f>
        <v/>
      </c>
      <c r="L1386" s="27">
        <f>(I1386/D1386-1)</f>
        <v/>
      </c>
      <c r="M1386" s="27">
        <f>(J1386/D1386-1)</f>
        <v/>
      </c>
      <c r="N1386" t="n">
        <v>32.6</v>
      </c>
      <c r="O1386" s="28">
        <f>(N1386+F1386)/2</f>
        <v/>
      </c>
      <c r="P1386">
        <f>IF(O1386="計算不能","計算不能",IF(O1386&gt;=80,5,IF(O1386&gt;=60,4,IF(O1386&gt;=40,3,IF(O1386&gt;=28,2,1)))))</f>
        <v/>
      </c>
      <c r="Q1386" t="n">
        <v>624</v>
      </c>
      <c r="R1386" t="n">
        <v>0</v>
      </c>
      <c r="S1386" s="27">
        <f>R1386/Q1386</f>
        <v/>
      </c>
      <c r="T1386" t="inlineStr">
        <is>
          <t>神山町は2045年までに人口が約45.9%減と急激な過疎・超高齢化が進行。若年労働世代の流出と自然減が重なり、賃貸事業としての持続性は極めて限定的。</t>
        </is>
      </c>
      <c r="U1386" t="inlineStr">
        <is>
          <t>神山町は人口密度24人/km²と過疎的水準で、民間賃貸の新規需要は薄い。実需に裏付けられた格安戸建ての指値取得のみが現実的。 借家の空室率は約0%と需給は比較的引き締まっている。</t>
        </is>
      </c>
      <c r="V1386" t="inlineStr">
        <is>
          <t>神山町（徳島県）：南海トラフ津波の想定が深刻。吉野川の氾濫、剣山系の土砂災害に最大級の留意。</t>
        </is>
      </c>
    </row>
    <row r="1387">
      <c r="A1387" t="inlineStr">
        <is>
          <t>徳島県</t>
        </is>
      </c>
      <c r="B1387" t="inlineStr">
        <is>
          <t>那賀町</t>
        </is>
      </c>
      <c r="C1387" t="n">
        <v>3634</v>
      </c>
      <c r="D1387" t="n">
        <v>6304</v>
      </c>
      <c r="E1387" s="6" t="n">
        <v>9</v>
      </c>
      <c r="F1387" s="7" t="n">
        <v>10.9</v>
      </c>
      <c r="G1387" t="n">
        <v>7367</v>
      </c>
      <c r="H1387" t="n">
        <v>6304</v>
      </c>
      <c r="I1387" t="n">
        <v>5364</v>
      </c>
      <c r="J1387" t="n">
        <v>3145</v>
      </c>
      <c r="K1387" s="27">
        <f>(H1387/D1387-1)</f>
        <v/>
      </c>
      <c r="L1387" s="27">
        <f>(I1387/D1387-1)</f>
        <v/>
      </c>
      <c r="M1387" s="27">
        <f>(J1387/D1387-1)</f>
        <v/>
      </c>
      <c r="N1387" t="n">
        <v>30.4</v>
      </c>
      <c r="O1387" s="28">
        <f>(N1387+F1387)/2</f>
        <v/>
      </c>
      <c r="P1387">
        <f>IF(O1387="計算不能","計算不能",IF(O1387&gt;=80,5,IF(O1387&gt;=60,4,IF(O1387&gt;=40,3,IF(O1387&gt;=28,2,1)))))</f>
        <v/>
      </c>
      <c r="Q1387" t="n">
        <v>936</v>
      </c>
      <c r="R1387" t="n">
        <v>0</v>
      </c>
      <c r="S1387" s="27">
        <f>R1387/Q1387</f>
        <v/>
      </c>
      <c r="T1387" t="inlineStr">
        <is>
          <t>那賀町は2045年までに人口が約50.1%減と急激な過疎・超高齢化が進行。若年労働世代の流出と自然減が重なり、賃貸事業としての持続性は極めて限定的。</t>
        </is>
      </c>
      <c r="U1387" t="inlineStr">
        <is>
          <t>那賀町は人口密度9人/km²と過疎的水準で、民間賃貸の新規需要は薄い。実需に裏付けられた格安戸建ての指値取得のみが現実的。 借家の空室率は約0%と需給は比較的引き締まっている。</t>
        </is>
      </c>
      <c r="V1387" t="inlineStr">
        <is>
          <t>那賀町（徳島県）：南海トラフ津波の想定が深刻。吉野川の氾濫、剣山系の土砂災害に最大級の留意。</t>
        </is>
      </c>
    </row>
    <row r="1388">
      <c r="A1388" t="inlineStr">
        <is>
          <t>徳島県</t>
        </is>
      </c>
      <c r="B1388" t="inlineStr">
        <is>
          <t>牟岐町</t>
        </is>
      </c>
      <c r="C1388" t="n">
        <v>1877</v>
      </c>
      <c r="D1388" t="n">
        <v>3249</v>
      </c>
      <c r="E1388" s="6" t="n">
        <v>55.5</v>
      </c>
      <c r="F1388" s="7" t="n">
        <v>15.6</v>
      </c>
      <c r="G1388" t="n">
        <v>3743</v>
      </c>
      <c r="H1388" t="n">
        <v>3249</v>
      </c>
      <c r="I1388" t="n">
        <v>2792</v>
      </c>
      <c r="J1388" t="n">
        <v>1671</v>
      </c>
      <c r="K1388" s="27">
        <f>(H1388/D1388-1)</f>
        <v/>
      </c>
      <c r="L1388" s="27">
        <f>(I1388/D1388-1)</f>
        <v/>
      </c>
      <c r="M1388" s="27">
        <f>(J1388/D1388-1)</f>
        <v/>
      </c>
      <c r="N1388" t="n">
        <v>32</v>
      </c>
      <c r="O1388" s="28">
        <f>(N1388+F1388)/2</f>
        <v/>
      </c>
      <c r="P1388">
        <f>IF(O1388="計算不能","計算不能",IF(O1388&gt;=80,5,IF(O1388&gt;=60,4,IF(O1388&gt;=40,3,IF(O1388&gt;=28,2,1)))))</f>
        <v/>
      </c>
      <c r="Q1388" t="n">
        <v>483</v>
      </c>
      <c r="R1388" t="n">
        <v>0</v>
      </c>
      <c r="S1388" s="27">
        <f>R1388/Q1388</f>
        <v/>
      </c>
      <c r="T1388" t="inlineStr">
        <is>
          <t>牟岐町は2045年までに人口が約48.6%減と急激な過疎・超高齢化が進行。若年労働世代の流出と自然減が重なり、賃貸事業としての持続性は極めて限定的。</t>
        </is>
      </c>
      <c r="U1388" t="inlineStr">
        <is>
          <t>牟岐町は人口密度56人/km²と過疎的水準で、民間賃貸の新規需要は薄い。実需に裏付けられた格安戸建ての指値取得のみが現実的。 借家の空室率は約0%と需給は比較的引き締まっている。</t>
        </is>
      </c>
      <c r="V1388" t="inlineStr">
        <is>
          <t>牟岐町（徳島県）：南海トラフ津波の想定が深刻。吉野川の氾濫、剣山系の土砂災害に最大級の留意。</t>
        </is>
      </c>
    </row>
    <row r="1389">
      <c r="A1389" t="inlineStr">
        <is>
          <t>徳島県</t>
        </is>
      </c>
      <c r="B1389" t="inlineStr">
        <is>
          <t>美波町</t>
        </is>
      </c>
      <c r="C1389" t="n">
        <v>3042</v>
      </c>
      <c r="D1389" t="n">
        <v>5489</v>
      </c>
      <c r="E1389" s="6" t="n">
        <v>38.6</v>
      </c>
      <c r="F1389" s="7" t="n">
        <v>13.9</v>
      </c>
      <c r="G1389" t="n">
        <v>6222</v>
      </c>
      <c r="H1389" t="n">
        <v>5489</v>
      </c>
      <c r="I1389" t="n">
        <v>4807</v>
      </c>
      <c r="J1389" t="n">
        <v>3078</v>
      </c>
      <c r="K1389" s="27">
        <f>(H1389/D1389-1)</f>
        <v/>
      </c>
      <c r="L1389" s="27">
        <f>(I1389/D1389-1)</f>
        <v/>
      </c>
      <c r="M1389" s="27">
        <f>(J1389/D1389-1)</f>
        <v/>
      </c>
      <c r="N1389" t="n">
        <v>34.7</v>
      </c>
      <c r="O1389" s="28">
        <f>(N1389+F1389)/2</f>
        <v/>
      </c>
      <c r="P1389">
        <f>IF(O1389="計算不能","計算不能",IF(O1389&gt;=80,5,IF(O1389&gt;=60,4,IF(O1389&gt;=40,3,IF(O1389&gt;=28,2,1)))))</f>
        <v/>
      </c>
      <c r="Q1389" t="n">
        <v>783</v>
      </c>
      <c r="R1389" t="n">
        <v>0</v>
      </c>
      <c r="S1389" s="27">
        <f>R1389/Q1389</f>
        <v/>
      </c>
      <c r="T1389" t="inlineStr">
        <is>
          <t>美波町は2045年までに人口が約43.9%減と急激な過疎・超高齢化が進行。若年労働世代の流出と自然減が重なり、賃貸事業としての持続性は極めて限定的。</t>
        </is>
      </c>
      <c r="U1389" t="inlineStr">
        <is>
          <t>美波町は人口密度39人/km²と過疎的水準で、民間賃貸の新規需要は薄い。実需に裏付けられた格安戸建ての指値取得のみが現実的。 借家の空室率は約0%と需給は比較的引き締まっている。</t>
        </is>
      </c>
      <c r="V1389" t="inlineStr">
        <is>
          <t>美波町（徳島県）：南海トラフ津波の想定が深刻。吉野川の氾濫、剣山系の土砂災害に最大級の留意。</t>
        </is>
      </c>
    </row>
    <row r="1390">
      <c r="A1390" t="inlineStr">
        <is>
          <t>徳島県</t>
        </is>
      </c>
      <c r="B1390" t="inlineStr">
        <is>
          <t>海陽町</t>
        </is>
      </c>
      <c r="C1390" t="n">
        <v>4427</v>
      </c>
      <c r="D1390" t="n">
        <v>7453</v>
      </c>
      <c r="E1390" s="6" t="n">
        <v>22.6</v>
      </c>
      <c r="F1390" s="7" t="n">
        <v>12.3</v>
      </c>
      <c r="G1390" t="n">
        <v>8358</v>
      </c>
      <c r="H1390" t="n">
        <v>7453</v>
      </c>
      <c r="I1390" t="n">
        <v>6600</v>
      </c>
      <c r="J1390" t="n">
        <v>4351</v>
      </c>
      <c r="K1390" s="27">
        <f>(H1390/D1390-1)</f>
        <v/>
      </c>
      <c r="L1390" s="27">
        <f>(I1390/D1390-1)</f>
        <v/>
      </c>
      <c r="M1390" s="27">
        <f>(J1390/D1390-1)</f>
        <v/>
      </c>
      <c r="N1390" t="n">
        <v>36.3</v>
      </c>
      <c r="O1390" s="28">
        <f>(N1390+F1390)/2</f>
        <v/>
      </c>
      <c r="P1390">
        <f>IF(O1390="計算不能","計算不能",IF(O1390&gt;=80,5,IF(O1390&gt;=60,4,IF(O1390&gt;=40,3,IF(O1390&gt;=28,2,1)))))</f>
        <v/>
      </c>
      <c r="Q1390" t="n">
        <v>1140</v>
      </c>
      <c r="R1390" t="n">
        <v>0</v>
      </c>
      <c r="S1390" s="27">
        <f>R1390/Q1390</f>
        <v/>
      </c>
      <c r="T1390" t="inlineStr">
        <is>
          <t>海陽町は2045年までに人口が約41.6%減と急激な過疎・超高齢化が進行。若年労働世代の流出と自然減が重なり、賃貸事業としての持続性は極めて限定的。</t>
        </is>
      </c>
      <c r="U1390" t="inlineStr">
        <is>
          <t>海陽町は人口密度23人/km²と過疎的水準で、民間賃貸の新規需要は薄い。実需に裏付けられた格安戸建ての指値取得のみが現実的。 借家の空室率は約0%と需給は比較的引き締まっている。</t>
        </is>
      </c>
      <c r="V1390" t="inlineStr">
        <is>
          <t>海陽町（徳島県）：南海トラフ津波の想定が深刻。吉野川の氾濫、剣山系の土砂災害に最大級の留意。</t>
        </is>
      </c>
    </row>
    <row r="1391">
      <c r="A1391" t="inlineStr">
        <is>
          <t>徳島県</t>
        </is>
      </c>
      <c r="B1391" t="inlineStr">
        <is>
          <t>松茂町</t>
        </is>
      </c>
      <c r="C1391" t="n">
        <v>6986</v>
      </c>
      <c r="D1391" t="n">
        <v>14192</v>
      </c>
      <c r="E1391" s="6" t="n">
        <v>982.8</v>
      </c>
      <c r="F1391" s="7" t="n">
        <v>54.7</v>
      </c>
      <c r="G1391" t="n">
        <v>14583</v>
      </c>
      <c r="H1391" t="n">
        <v>14192</v>
      </c>
      <c r="I1391" t="n">
        <v>13690</v>
      </c>
      <c r="J1391" t="n">
        <v>11736</v>
      </c>
      <c r="K1391" s="27">
        <f>(H1391/D1391-1)</f>
        <v/>
      </c>
      <c r="L1391" s="27">
        <f>(I1391/D1391-1)</f>
        <v/>
      </c>
      <c r="M1391" s="27">
        <f>(J1391/D1391-1)</f>
        <v/>
      </c>
      <c r="N1391" t="n">
        <v>58.8</v>
      </c>
      <c r="O1391" s="28">
        <f>(N1391+F1391)/2</f>
        <v/>
      </c>
      <c r="P1391">
        <f>IF(O1391="計算不能","計算不能",IF(O1391&gt;=80,5,IF(O1391&gt;=60,4,IF(O1391&gt;=40,3,IF(O1391&gt;=28,2,1)))))</f>
        <v/>
      </c>
      <c r="Q1391" t="n">
        <v>1800</v>
      </c>
      <c r="R1391" t="n">
        <v>0</v>
      </c>
      <c r="S1391" s="27">
        <f>R1391/Q1391</f>
        <v/>
      </c>
      <c r="T1391" t="inlineStr">
        <is>
          <t>松茂町は2045年までに人口が約17.3%減と明確な減少トレンド。高齢化の進行と世帯数の縮小により、中長期では賃貸需要の構造的縮小に警戒が必要。</t>
        </is>
      </c>
      <c r="U1391" t="inlineStr">
        <is>
          <t>松茂町は人口密度983人/km²で、主要道路沿いや中心市街地に一定の賃貸需要が局在。立地選別が稼働を左右する。 借家の空室率は約0%と需給は比較的引き締まっている。</t>
        </is>
      </c>
      <c r="V1391" t="inlineStr">
        <is>
          <t>松茂町（徳島県）：南海トラフ津波の想定が深刻。吉野川の氾濫、剣山系の土砂災害に最大級の留意。</t>
        </is>
      </c>
    </row>
    <row r="1392">
      <c r="A1392" t="inlineStr">
        <is>
          <t>徳島県</t>
        </is>
      </c>
      <c r="B1392" t="inlineStr">
        <is>
          <t>北島町</t>
        </is>
      </c>
      <c r="C1392" t="n">
        <v>9780</v>
      </c>
      <c r="D1392" t="n">
        <v>22821</v>
      </c>
      <c r="E1392" s="6" t="n">
        <v>2620.7</v>
      </c>
      <c r="F1392" s="7" t="n">
        <v>76.2</v>
      </c>
      <c r="G1392" t="n">
        <v>22745</v>
      </c>
      <c r="H1392" t="n">
        <v>22821</v>
      </c>
      <c r="I1392" t="n">
        <v>22640</v>
      </c>
      <c r="J1392" t="n">
        <v>21266</v>
      </c>
      <c r="K1392" s="27">
        <f>(H1392/D1392-1)</f>
        <v/>
      </c>
      <c r="L1392" s="27">
        <f>(I1392/D1392-1)</f>
        <v/>
      </c>
      <c r="M1392" s="27">
        <f>(J1392/D1392-1)</f>
        <v/>
      </c>
      <c r="N1392" t="n">
        <v>71.7</v>
      </c>
      <c r="O1392" s="28">
        <f>(N1392+F1392)/2</f>
        <v/>
      </c>
      <c r="P1392">
        <f>IF(O1392="計算不能","計算不能",IF(O1392&gt;=80,5,IF(O1392&gt;=60,4,IF(O1392&gt;=40,3,IF(O1392&gt;=28,2,1)))))</f>
        <v/>
      </c>
      <c r="Q1392" t="n">
        <v>2519</v>
      </c>
      <c r="R1392" t="n">
        <v>620</v>
      </c>
      <c r="S1392" s="27">
        <f>R1392/Q1392</f>
        <v/>
      </c>
      <c r="T1392" t="inlineStr">
        <is>
          <t>北島町は2045年までに人口が約6.8%減と緩やかな減少局面。若年層の都市部流出と高齢化が進むが、当面の賃貸稼働は一定程度維持される見通し。</t>
        </is>
      </c>
      <c r="U1392" t="inlineStr">
        <is>
          <t>北島町は人口密度2,621人/km²の都市部で、駅周辺や生活利便施設沿いに安定した賃貸需要がある。適切な家賃設定で高稼働を期待できる。 借家の空室率は約25%とやや高めで、競合との差別化が必要。</t>
        </is>
      </c>
      <c r="V1392" t="inlineStr">
        <is>
          <t>北島町（徳島県）：南海トラフ津波の想定が深刻。吉野川の氾濫、剣山系の土砂災害に最大級の留意。</t>
        </is>
      </c>
    </row>
    <row r="1393">
      <c r="A1393" t="inlineStr">
        <is>
          <t>徳島県</t>
        </is>
      </c>
      <c r="B1393" t="inlineStr">
        <is>
          <t>藍住町</t>
        </is>
      </c>
      <c r="C1393" t="n">
        <v>14540</v>
      </c>
      <c r="D1393" t="n">
        <v>35228</v>
      </c>
      <c r="E1393" s="6" t="n">
        <v>2148.9</v>
      </c>
      <c r="F1393" s="7" t="n">
        <v>71.5</v>
      </c>
      <c r="G1393" t="n">
        <v>35246</v>
      </c>
      <c r="H1393" t="n">
        <v>35228</v>
      </c>
      <c r="I1393" t="n">
        <v>34806</v>
      </c>
      <c r="J1393" t="n">
        <v>32024</v>
      </c>
      <c r="K1393" s="27">
        <f>(H1393/D1393-1)</f>
        <v/>
      </c>
      <c r="L1393" s="27">
        <f>(I1393/D1393-1)</f>
        <v/>
      </c>
      <c r="M1393" s="27">
        <f>(J1393/D1393-1)</f>
        <v/>
      </c>
      <c r="N1393" t="n">
        <v>69.5</v>
      </c>
      <c r="O1393" s="28">
        <f>(N1393+F1393)/2</f>
        <v/>
      </c>
      <c r="P1393">
        <f>IF(O1393="計算不能","計算不能",IF(O1393&gt;=80,5,IF(O1393&gt;=60,4,IF(O1393&gt;=40,3,IF(O1393&gt;=28,2,1)))))</f>
        <v/>
      </c>
      <c r="Q1393" t="n">
        <v>3746</v>
      </c>
      <c r="R1393" t="n">
        <v>720</v>
      </c>
      <c r="S1393" s="27">
        <f>R1393/Q1393</f>
        <v/>
      </c>
      <c r="T1393" t="inlineStr">
        <is>
          <t>藍住町は2045年までに人口が約9.1%減と緩やかな減少局面。若年層の都市部流出と高齢化が進むが、当面の賃貸稼働は一定程度維持される見通し。</t>
        </is>
      </c>
      <c r="U1393" t="inlineStr">
        <is>
          <t>藍住町は人口密度2,149人/km²の都市部で、駅周辺や生活利便施設沿いに安定した賃貸需要がある。適切な家賃設定で高稼働を期待できる。 借家の空室率は約19%とやや高めで、競合との差別化が必要。</t>
        </is>
      </c>
      <c r="V1393" t="inlineStr">
        <is>
          <t>藍住町（徳島県）：南海トラフ津波の想定が深刻。吉野川の氾濫、剣山系の土砂災害に最大級の留意。</t>
        </is>
      </c>
    </row>
    <row r="1394">
      <c r="A1394" t="inlineStr">
        <is>
          <t>徳島県</t>
        </is>
      </c>
      <c r="B1394" t="inlineStr">
        <is>
          <t>板野町</t>
        </is>
      </c>
      <c r="C1394" t="n">
        <v>5853</v>
      </c>
      <c r="D1394" t="n">
        <v>12289</v>
      </c>
      <c r="E1394" s="6" t="n">
        <v>343</v>
      </c>
      <c r="F1394" s="7" t="n">
        <v>37.1</v>
      </c>
      <c r="G1394" t="n">
        <v>13042</v>
      </c>
      <c r="H1394" t="n">
        <v>12289</v>
      </c>
      <c r="I1394" t="n">
        <v>11718</v>
      </c>
      <c r="J1394" t="n">
        <v>9655</v>
      </c>
      <c r="K1394" s="27">
        <f>(H1394/D1394-1)</f>
        <v/>
      </c>
      <c r="L1394" s="27">
        <f>(I1394/D1394-1)</f>
        <v/>
      </c>
      <c r="M1394" s="27">
        <f>(J1394/D1394-1)</f>
        <v/>
      </c>
      <c r="N1394" t="n">
        <v>50.3</v>
      </c>
      <c r="O1394" s="28">
        <f>(N1394+F1394)/2</f>
        <v/>
      </c>
      <c r="P1394">
        <f>IF(O1394="計算不能","計算不能",IF(O1394&gt;=80,5,IF(O1394&gt;=60,4,IF(O1394&gt;=40,3,IF(O1394&gt;=28,2,1)))))</f>
        <v/>
      </c>
      <c r="Q1394" t="n">
        <v>1508</v>
      </c>
      <c r="R1394" t="n">
        <v>0</v>
      </c>
      <c r="S1394" s="27">
        <f>R1394/Q1394</f>
        <v/>
      </c>
      <c r="T1394" t="inlineStr">
        <is>
          <t>板野町は2045年までに人口が約21.4%減と明確な減少トレンド。高齢化の進行と世帯数の縮小により、中長期では賃貸需要の構造的縮小に警戒が必要。</t>
        </is>
      </c>
      <c r="U1394" t="inlineStr">
        <is>
          <t>板野町は人口密度343人/km²と低密度で、賃貸需要は限定的。持ち家比率が高く、駐車場完備の戸建て賃貸が有利。 借家の空室率は約0%と需給は比較的引き締まっている。</t>
        </is>
      </c>
      <c r="V1394" t="inlineStr">
        <is>
          <t>板野町（徳島県）：南海トラフ津波の想定が深刻。吉野川の氾濫、剣山系の土砂災害に最大級の留意。</t>
        </is>
      </c>
    </row>
    <row r="1395">
      <c r="A1395" t="inlineStr">
        <is>
          <t>徳島県</t>
        </is>
      </c>
      <c r="B1395" t="inlineStr">
        <is>
          <t>上板町</t>
        </is>
      </c>
      <c r="C1395" t="n">
        <v>5033</v>
      </c>
      <c r="D1395" t="n">
        <v>10664</v>
      </c>
      <c r="E1395" s="6" t="n">
        <v>304.5</v>
      </c>
      <c r="F1395" s="7" t="n">
        <v>35.2</v>
      </c>
      <c r="G1395" t="n">
        <v>11384</v>
      </c>
      <c r="H1395" t="n">
        <v>10664</v>
      </c>
      <c r="I1395" t="n">
        <v>9937</v>
      </c>
      <c r="J1395" t="n">
        <v>7642</v>
      </c>
      <c r="K1395" s="27">
        <f>(H1395/D1395-1)</f>
        <v/>
      </c>
      <c r="L1395" s="27">
        <f>(I1395/D1395-1)</f>
        <v/>
      </c>
      <c r="M1395" s="27">
        <f>(J1395/D1395-1)</f>
        <v/>
      </c>
      <c r="N1395" t="n">
        <v>44.8</v>
      </c>
      <c r="O1395" s="28">
        <f>(N1395+F1395)/2</f>
        <v/>
      </c>
      <c r="P1395">
        <f>IF(O1395="計算不能","計算不能",IF(O1395&gt;=80,5,IF(O1395&gt;=60,4,IF(O1395&gt;=40,3,IF(O1395&gt;=28,2,1)))))</f>
        <v/>
      </c>
      <c r="Q1395" t="n">
        <v>1296</v>
      </c>
      <c r="R1395" t="n">
        <v>0</v>
      </c>
      <c r="S1395" s="27">
        <f>R1395/Q1395</f>
        <v/>
      </c>
      <c r="T1395" t="inlineStr">
        <is>
          <t>上板町は2045年までに人口が約28.3%減と明確な減少トレンド。高齢化の進行と世帯数の縮小により、中長期では賃貸需要の構造的縮小に警戒が必要。</t>
        </is>
      </c>
      <c r="U1395" t="inlineStr">
        <is>
          <t>上板町は人口密度304人/km²と低密度で、賃貸需要は限定的。持ち家比率が高く、駐車場完備の戸建て賃貸が有利。 借家の空室率は約0%と需給は比較的引き締まっている。</t>
        </is>
      </c>
      <c r="V1395" t="inlineStr">
        <is>
          <t>上板町（徳島県）：南海トラフ津波の想定が深刻。吉野川の氾濫、剣山系の土砂災害に最大級の留意。</t>
        </is>
      </c>
    </row>
    <row r="1396">
      <c r="A1396" t="inlineStr">
        <is>
          <t>徳島県</t>
        </is>
      </c>
      <c r="B1396" t="inlineStr">
        <is>
          <t>つるぎ町</t>
        </is>
      </c>
      <c r="C1396" t="n">
        <v>3798</v>
      </c>
      <c r="D1396" t="n">
        <v>6713</v>
      </c>
      <c r="E1396" s="6" t="n">
        <v>33.7</v>
      </c>
      <c r="F1396" s="7" t="n">
        <v>13.4</v>
      </c>
      <c r="G1396" t="n">
        <v>7715</v>
      </c>
      <c r="H1396" t="n">
        <v>6713</v>
      </c>
      <c r="I1396" t="n">
        <v>5851</v>
      </c>
      <c r="J1396" t="n">
        <v>3669</v>
      </c>
      <c r="K1396" s="27">
        <f>(H1396/D1396-1)</f>
        <v/>
      </c>
      <c r="L1396" s="27">
        <f>(I1396/D1396-1)</f>
        <v/>
      </c>
      <c r="M1396" s="27">
        <f>(J1396/D1396-1)</f>
        <v/>
      </c>
      <c r="N1396" t="n">
        <v>33.2</v>
      </c>
      <c r="O1396" s="28">
        <f>(N1396+F1396)/2</f>
        <v/>
      </c>
      <c r="P1396">
        <f>IF(O1396="計算不能","計算不能",IF(O1396&gt;=80,5,IF(O1396&gt;=60,4,IF(O1396&gt;=40,3,IF(O1396&gt;=28,2,1)))))</f>
        <v/>
      </c>
      <c r="Q1396" t="n">
        <v>978</v>
      </c>
      <c r="R1396" t="n">
        <v>0</v>
      </c>
      <c r="S1396" s="27">
        <f>R1396/Q1396</f>
        <v/>
      </c>
      <c r="T1396" t="inlineStr">
        <is>
          <t>つるぎ町は2045年までに人口が約45.3%減と急激な過疎・超高齢化が進行。若年労働世代の流出と自然減が重なり、賃貸事業としての持続性は極めて限定的。</t>
        </is>
      </c>
      <c r="U1396" t="inlineStr">
        <is>
          <t>つるぎ町は人口密度34人/km²と過疎的水準で、民間賃貸の新規需要は薄い。実需に裏付けられた格安戸建ての指値取得のみが現実的。 借家の空室率は約0%と需給は比較的引き締まっている。</t>
        </is>
      </c>
      <c r="V1396" t="inlineStr">
        <is>
          <t>つるぎ町（徳島県）：南海トラフ津波の想定が深刻。吉野川の氾濫、剣山系の土砂災害に最大級の留意。</t>
        </is>
      </c>
    </row>
    <row r="1397">
      <c r="A1397" t="inlineStr">
        <is>
          <t>徳島県</t>
        </is>
      </c>
      <c r="B1397" t="inlineStr">
        <is>
          <t>東みよし町</t>
        </is>
      </c>
      <c r="C1397" t="n">
        <v>6229</v>
      </c>
      <c r="D1397" t="n">
        <v>12418</v>
      </c>
      <c r="E1397" s="6" t="n">
        <v>103.9</v>
      </c>
      <c r="F1397" s="7" t="n">
        <v>20.4</v>
      </c>
      <c r="G1397" t="n">
        <v>13622</v>
      </c>
      <c r="H1397" t="n">
        <v>12418</v>
      </c>
      <c r="I1397" t="n">
        <v>11619</v>
      </c>
      <c r="J1397" t="n">
        <v>9049</v>
      </c>
      <c r="K1397" s="27">
        <f>(H1397/D1397-1)</f>
        <v/>
      </c>
      <c r="L1397" s="27">
        <f>(I1397/D1397-1)</f>
        <v/>
      </c>
      <c r="M1397" s="27">
        <f>(J1397/D1397-1)</f>
        <v/>
      </c>
      <c r="N1397" t="n">
        <v>42.9</v>
      </c>
      <c r="O1397" s="28">
        <f>(N1397+F1397)/2</f>
        <v/>
      </c>
      <c r="P1397">
        <f>IF(O1397="計算不能","計算不能",IF(O1397&gt;=80,5,IF(O1397&gt;=60,4,IF(O1397&gt;=40,3,IF(O1397&gt;=28,2,1)))))</f>
        <v/>
      </c>
      <c r="Q1397" t="n">
        <v>1604</v>
      </c>
      <c r="R1397" t="n">
        <v>0</v>
      </c>
      <c r="S1397" s="27">
        <f>R1397/Q1397</f>
        <v/>
      </c>
      <c r="T1397" t="inlineStr">
        <is>
          <t>東みよし町は2045年までに人口が約27.1%減と明確な減少トレンド。高齢化の進行と世帯数の縮小により、中長期では賃貸需要の構造的縮小に警戒が必要。</t>
        </is>
      </c>
      <c r="U1397" t="inlineStr">
        <is>
          <t>東みよし町は人口密度104人/km²と過疎的水準で、民間賃貸の新規需要は薄い。実需に裏付けられた格安戸建ての指値取得のみが現実的。 借家の空室率は約0%と需給は比較的引き締まっている。</t>
        </is>
      </c>
      <c r="V1397" t="inlineStr">
        <is>
          <t>東みよし町（徳島県）：南海トラフ津波の想定が深刻。吉野川の氾濫、剣山系の土砂災害に最大級の留意。</t>
        </is>
      </c>
    </row>
    <row r="1398">
      <c r="A1398" t="inlineStr">
        <is>
          <t>香川県</t>
        </is>
      </c>
      <c r="B1398" t="inlineStr">
        <is>
          <t>高松市</t>
        </is>
      </c>
      <c r="C1398" t="n">
        <v>188410</v>
      </c>
      <c r="D1398" t="n">
        <v>404897</v>
      </c>
      <c r="E1398" s="6" t="n">
        <v>1084.3</v>
      </c>
      <c r="F1398" s="7" t="n">
        <v>56.7</v>
      </c>
      <c r="G1398" t="n">
        <v>417496</v>
      </c>
      <c r="H1398" t="n">
        <v>404897</v>
      </c>
      <c r="I1398" t="n">
        <v>395778</v>
      </c>
      <c r="J1398" t="n">
        <v>363138</v>
      </c>
      <c r="K1398" s="27">
        <f>(H1398/D1398-1)</f>
        <v/>
      </c>
      <c r="L1398" s="27">
        <f>(I1398/D1398-1)</f>
        <v/>
      </c>
      <c r="M1398" s="27">
        <f>(J1398/D1398-1)</f>
        <v/>
      </c>
      <c r="N1398" t="n">
        <v>62.4</v>
      </c>
      <c r="O1398" s="28">
        <f>(N1398+F1398)/2</f>
        <v/>
      </c>
      <c r="P1398">
        <f>IF(O1398="計算不能","計算不能",IF(O1398&gt;=80,5,IF(O1398&gt;=60,4,IF(O1398&gt;=40,3,IF(O1398&gt;=28,2,1)))))</f>
        <v/>
      </c>
      <c r="Q1398" t="n">
        <v>50146</v>
      </c>
      <c r="R1398" t="n">
        <v>18870</v>
      </c>
      <c r="S1398" s="27">
        <f>R1398/Q1398</f>
        <v/>
      </c>
      <c r="T1398" t="inlineStr">
        <is>
          <t>高松市は2045年までに人口が約10.3%減と緩やかな減少局面。若年層の都市部流出と高齢化が進むが、当面の賃貸稼働は一定程度維持される見通し。</t>
        </is>
      </c>
      <c r="U1398" t="inlineStr">
        <is>
          <t>高松市は人口密度1,084人/km²で、主要道路沿いや中心市街地に一定の賃貸需要が局在。立地選別が稼働を左右する。 借家の空室率は約38%と供給過多気味で、空室長期化リスクに要警戒。</t>
        </is>
      </c>
      <c r="V1398" t="inlineStr">
        <is>
          <t>高松市（香川県）：渇水リスクと都市河川の氾濫、瀬戸内の高潮・津波、ため池決壊に注意。</t>
        </is>
      </c>
    </row>
    <row r="1399">
      <c r="A1399" t="inlineStr">
        <is>
          <t>香川県</t>
        </is>
      </c>
      <c r="B1399" t="inlineStr">
        <is>
          <t>丸亀市</t>
        </is>
      </c>
      <c r="C1399" t="n">
        <v>45480</v>
      </c>
      <c r="D1399" t="n">
        <v>107778</v>
      </c>
      <c r="E1399" s="6" t="n">
        <v>955</v>
      </c>
      <c r="F1399" s="7" t="n">
        <v>54.1</v>
      </c>
      <c r="G1399" t="n">
        <v>109513</v>
      </c>
      <c r="H1399" t="n">
        <v>107778</v>
      </c>
      <c r="I1399" t="n">
        <v>105335</v>
      </c>
      <c r="J1399" t="n">
        <v>96199</v>
      </c>
      <c r="K1399" s="27">
        <f>(H1399/D1399-1)</f>
        <v/>
      </c>
      <c r="L1399" s="27">
        <f>(I1399/D1399-1)</f>
        <v/>
      </c>
      <c r="M1399" s="27">
        <f>(J1399/D1399-1)</f>
        <v/>
      </c>
      <c r="N1399" t="n">
        <v>65</v>
      </c>
      <c r="O1399" s="28">
        <f>(N1399+F1399)/2</f>
        <v/>
      </c>
      <c r="P1399">
        <f>IF(O1399="計算不能","計算不能",IF(O1399&gt;=80,5,IF(O1399&gt;=60,4,IF(O1399&gt;=40,3,IF(O1399&gt;=28,2,1)))))</f>
        <v/>
      </c>
      <c r="Q1399" t="n">
        <v>12104</v>
      </c>
      <c r="R1399" t="n">
        <v>4530</v>
      </c>
      <c r="S1399" s="27">
        <f>R1399/Q1399</f>
        <v/>
      </c>
      <c r="T1399" t="inlineStr">
        <is>
          <t>丸亀市は2045年までに人口が約10.7%減と緩やかな減少局面。若年層の都市部流出と高齢化が進むが、当面の賃貸稼働は一定程度維持される見通し。</t>
        </is>
      </c>
      <c r="U1399" t="inlineStr">
        <is>
          <t>丸亀市は人口密度955人/km²で、主要道路沿いや中心市街地に一定の賃貸需要が局在。立地選別が稼働を左右する。 借家の空室率は約37%と供給過多気味で、空室長期化リスクに要警戒。</t>
        </is>
      </c>
      <c r="V1399" t="inlineStr">
        <is>
          <t>丸亀市（香川県）：渇水リスクと都市河川の氾濫、瀬戸内の高潮・津波、ため池決壊に注意。</t>
        </is>
      </c>
    </row>
    <row r="1400">
      <c r="A1400" t="inlineStr">
        <is>
          <t>香川県</t>
        </is>
      </c>
      <c r="B1400" t="inlineStr">
        <is>
          <t>坂出市</t>
        </is>
      </c>
      <c r="C1400" t="n">
        <v>20520</v>
      </c>
      <c r="D1400" t="n">
        <v>48036</v>
      </c>
      <c r="E1400" s="6" t="n">
        <v>516.6</v>
      </c>
      <c r="F1400" s="7" t="n">
        <v>45.3</v>
      </c>
      <c r="G1400" t="n">
        <v>50624</v>
      </c>
      <c r="H1400" t="n">
        <v>48036</v>
      </c>
      <c r="I1400" t="n">
        <v>45369</v>
      </c>
      <c r="J1400" t="n">
        <v>37488</v>
      </c>
      <c r="K1400" s="27">
        <f>(H1400/D1400-1)</f>
        <v/>
      </c>
      <c r="L1400" s="27">
        <f>(I1400/D1400-1)</f>
        <v/>
      </c>
      <c r="M1400" s="27">
        <f>(J1400/D1400-1)</f>
        <v/>
      </c>
      <c r="N1400" t="n">
        <v>50.7</v>
      </c>
      <c r="O1400" s="28">
        <f>(N1400+F1400)/2</f>
        <v/>
      </c>
      <c r="P1400">
        <f>IF(O1400="計算不能","計算不能",IF(O1400&gt;=80,5,IF(O1400&gt;=60,4,IF(O1400&gt;=40,3,IF(O1400&gt;=28,2,1)))))</f>
        <v/>
      </c>
      <c r="Q1400" t="n">
        <v>5461</v>
      </c>
      <c r="R1400" t="n">
        <v>2460</v>
      </c>
      <c r="S1400" s="27">
        <f>R1400/Q1400</f>
        <v/>
      </c>
      <c r="T1400" t="inlineStr">
        <is>
          <t>坂出市は2045年までに人口が約22.0%減と明確な減少トレンド。高齢化の進行と世帯数の縮小により、中長期では賃貸需要の構造的縮小に警戒が必要。</t>
        </is>
      </c>
      <c r="U1400" t="inlineStr">
        <is>
          <t>坂出市は人口密度517人/km²で、主要道路沿いや中心市街地に一定の賃貸需要が局在。立地選別が稼働を左右する。 借家の空室率は約45%と供給過多気味で、空室長期化リスクに要警戒。</t>
        </is>
      </c>
      <c r="V1400" t="inlineStr">
        <is>
          <t>坂出市（香川県）：渇水リスクと都市河川の氾濫、瀬戸内の高潮・津波、ため池決壊に注意。</t>
        </is>
      </c>
    </row>
    <row r="1401">
      <c r="A1401" t="inlineStr">
        <is>
          <t>香川県</t>
        </is>
      </c>
      <c r="B1401" t="inlineStr">
        <is>
          <t>善通寺市</t>
        </is>
      </c>
      <c r="C1401" t="n">
        <v>12950</v>
      </c>
      <c r="D1401" t="n">
        <v>29419</v>
      </c>
      <c r="E1401" s="6" t="n">
        <v>743.9</v>
      </c>
      <c r="F1401" s="7" t="n">
        <v>49.9</v>
      </c>
      <c r="G1401" t="n">
        <v>31631</v>
      </c>
      <c r="H1401" t="n">
        <v>29419</v>
      </c>
      <c r="I1401" t="n">
        <v>27914</v>
      </c>
      <c r="J1401" t="n">
        <v>23376</v>
      </c>
      <c r="K1401" s="27">
        <f>(H1401/D1401-1)</f>
        <v/>
      </c>
      <c r="L1401" s="27">
        <f>(I1401/D1401-1)</f>
        <v/>
      </c>
      <c r="M1401" s="27">
        <f>(J1401/D1401-1)</f>
        <v/>
      </c>
      <c r="N1401" t="n">
        <v>48.1</v>
      </c>
      <c r="O1401" s="28">
        <f>(N1401+F1401)/2</f>
        <v/>
      </c>
      <c r="P1401">
        <f>IF(O1401="計算不能","計算不能",IF(O1401&gt;=80,5,IF(O1401&gt;=60,4,IF(O1401&gt;=40,3,IF(O1401&gt;=28,2,1)))))</f>
        <v/>
      </c>
      <c r="Q1401" t="n">
        <v>3446</v>
      </c>
      <c r="R1401" t="n">
        <v>2180</v>
      </c>
      <c r="S1401" s="27">
        <f>R1401/Q1401</f>
        <v/>
      </c>
      <c r="T1401" t="inlineStr">
        <is>
          <t>善通寺市は2045年までに人口が約20.5%減と明確な減少トレンド。高齢化の進行と世帯数の縮小により、中長期では賃貸需要の構造的縮小に警戒が必要。</t>
        </is>
      </c>
      <c r="U1401" t="inlineStr">
        <is>
          <t>善通寺市は人口密度744人/km²で、主要道路沿いや中心市街地に一定の賃貸需要が局在。立地選別が稼働を左右する。 借家の空室率は約63%と供給過多気味で、空室長期化リスクに要警戒。</t>
        </is>
      </c>
      <c r="V1401" t="inlineStr">
        <is>
          <t>善通寺市（香川県）：渇水リスクと都市河川の氾濫、瀬戸内の高潮・津波、ため池決壊に注意。</t>
        </is>
      </c>
    </row>
    <row r="1402">
      <c r="A1402" t="inlineStr">
        <is>
          <t>香川県</t>
        </is>
      </c>
      <c r="B1402" t="inlineStr">
        <is>
          <t>観音寺市</t>
        </is>
      </c>
      <c r="C1402" t="n">
        <v>22700</v>
      </c>
      <c r="D1402" t="n">
        <v>54530</v>
      </c>
      <c r="E1402" s="6" t="n">
        <v>461.9</v>
      </c>
      <c r="F1402" s="7" t="n">
        <v>43.1</v>
      </c>
      <c r="G1402" t="n">
        <v>57438</v>
      </c>
      <c r="H1402" t="n">
        <v>54530</v>
      </c>
      <c r="I1402" t="n">
        <v>51470</v>
      </c>
      <c r="J1402" t="n">
        <v>42309</v>
      </c>
      <c r="K1402" s="27">
        <f>(H1402/D1402-1)</f>
        <v/>
      </c>
      <c r="L1402" s="27">
        <f>(I1402/D1402-1)</f>
        <v/>
      </c>
      <c r="M1402" s="27">
        <f>(J1402/D1402-1)</f>
        <v/>
      </c>
      <c r="N1402" t="n">
        <v>50.5</v>
      </c>
      <c r="O1402" s="28">
        <f>(N1402+F1402)/2</f>
        <v/>
      </c>
      <c r="P1402">
        <f>IF(O1402="計算不能","計算不能",IF(O1402&gt;=80,5,IF(O1402&gt;=60,4,IF(O1402&gt;=40,3,IF(O1402&gt;=28,2,1)))))</f>
        <v/>
      </c>
      <c r="Q1402" t="n">
        <v>6041</v>
      </c>
      <c r="R1402" t="n">
        <v>2280</v>
      </c>
      <c r="S1402" s="27">
        <f>R1402/Q1402</f>
        <v/>
      </c>
      <c r="T1402" t="inlineStr">
        <is>
          <t>観音寺市は2045年までに人口が約22.4%減と明確な減少トレンド。高齢化の進行と世帯数の縮小により、中長期では賃貸需要の構造的縮小に警戒が必要。</t>
        </is>
      </c>
      <c r="U1402" t="inlineStr">
        <is>
          <t>観音寺市は人口密度462人/km²と低密度で、賃貸需要は限定的。持ち家比率が高く、駐車場完備の戸建て賃貸が有利。 借家の空室率は約38%と供給過多気味で、空室長期化リスクに要警戒。</t>
        </is>
      </c>
      <c r="V1402" t="inlineStr">
        <is>
          <t>観音寺市（香川県）：渇水リスクと都市河川の氾濫、瀬戸内の高潮・津波、ため池決壊に注意。</t>
        </is>
      </c>
    </row>
    <row r="1403">
      <c r="A1403" t="inlineStr">
        <is>
          <t>香川県</t>
        </is>
      </c>
      <c r="B1403" t="inlineStr">
        <is>
          <t>さぬき市</t>
        </is>
      </c>
      <c r="C1403" t="n">
        <v>19210</v>
      </c>
      <c r="D1403" t="n">
        <v>43765</v>
      </c>
      <c r="E1403" s="6" t="n">
        <v>268.3</v>
      </c>
      <c r="F1403" s="7" t="n">
        <v>33.4</v>
      </c>
      <c r="G1403" t="n">
        <v>47003</v>
      </c>
      <c r="H1403" t="n">
        <v>43765</v>
      </c>
      <c r="I1403" t="n">
        <v>40458</v>
      </c>
      <c r="J1403" t="n">
        <v>30732</v>
      </c>
      <c r="K1403" s="27">
        <f>(H1403/D1403-1)</f>
        <v/>
      </c>
      <c r="L1403" s="27">
        <f>(I1403/D1403-1)</f>
        <v/>
      </c>
      <c r="M1403" s="27">
        <f>(J1403/D1403-1)</f>
        <v/>
      </c>
      <c r="N1403" t="n">
        <v>43.7</v>
      </c>
      <c r="O1403" s="28">
        <f>(N1403+F1403)/2</f>
        <v/>
      </c>
      <c r="P1403">
        <f>IF(O1403="計算不能","計算不能",IF(O1403&gt;=80,5,IF(O1403&gt;=60,4,IF(O1403&gt;=40,3,IF(O1403&gt;=28,2,1)))))</f>
        <v/>
      </c>
      <c r="Q1403" t="n">
        <v>5112</v>
      </c>
      <c r="R1403" t="n">
        <v>2110</v>
      </c>
      <c r="S1403" s="27">
        <f>R1403/Q1403</f>
        <v/>
      </c>
      <c r="T1403" t="inlineStr">
        <is>
          <t>さぬき市は2045年までに人口が約29.8%減と明確な減少トレンド。高齢化の進行と世帯数の縮小により、中長期では賃貸需要の構造的縮小に警戒が必要。</t>
        </is>
      </c>
      <c r="U1403" t="inlineStr">
        <is>
          <t>さぬき市は人口密度268人/km²と低密度で、賃貸需要は限定的。持ち家比率が高く、駐車場完備の戸建て賃貸が有利。 借家の空室率は約41%と供給過多気味で、空室長期化リスクに要警戒。</t>
        </is>
      </c>
      <c r="V1403" t="inlineStr">
        <is>
          <t>さぬき市（香川県）：渇水リスクと都市河川の氾濫、瀬戸内の高潮・津波、ため池決壊に注意。</t>
        </is>
      </c>
    </row>
    <row r="1404">
      <c r="A1404" t="inlineStr">
        <is>
          <t>香川県</t>
        </is>
      </c>
      <c r="B1404" t="inlineStr">
        <is>
          <t>東かがわ市</t>
        </is>
      </c>
      <c r="C1404" t="n">
        <v>11300</v>
      </c>
      <c r="D1404" t="n">
        <v>25293</v>
      </c>
      <c r="E1404" s="6" t="n">
        <v>165.8</v>
      </c>
      <c r="F1404" s="7" t="n">
        <v>26.6</v>
      </c>
      <c r="G1404" t="n">
        <v>28279</v>
      </c>
      <c r="H1404" t="n">
        <v>25293</v>
      </c>
      <c r="I1404" t="n">
        <v>22601</v>
      </c>
      <c r="J1404" t="n">
        <v>15488</v>
      </c>
      <c r="K1404" s="27">
        <f>(H1404/D1404-1)</f>
        <v/>
      </c>
      <c r="L1404" s="27">
        <f>(I1404/D1404-1)</f>
        <v/>
      </c>
      <c r="M1404" s="27">
        <f>(J1404/D1404-1)</f>
        <v/>
      </c>
      <c r="N1404" t="n">
        <v>37.4</v>
      </c>
      <c r="O1404" s="28">
        <f>(N1404+F1404)/2</f>
        <v/>
      </c>
      <c r="P1404">
        <f>IF(O1404="計算不能","計算不能",IF(O1404&gt;=80,5,IF(O1404&gt;=60,4,IF(O1404&gt;=40,3,IF(O1404&gt;=28,2,1)))))</f>
        <v/>
      </c>
      <c r="Q1404" t="n">
        <v>3007</v>
      </c>
      <c r="R1404" t="n">
        <v>510</v>
      </c>
      <c r="S1404" s="27">
        <f>R1404/Q1404</f>
        <v/>
      </c>
      <c r="T1404" t="inlineStr">
        <is>
          <t>東かがわ市は2045年までに人口が約38.8%減と急激な過疎・超高齢化が進行。若年労働世代の流出と自然減が重なり、賃貸事業としての持続性は極めて限定的。</t>
        </is>
      </c>
      <c r="U1404" t="inlineStr">
        <is>
          <t>東かがわ市は人口密度166人/km²と過疎的水準で、民間賃貸の新規需要は薄い。実需に裏付けられた格安戸建ての指値取得のみが現実的。 借家の空室率は約17%と需給は比較的引き締まっている。</t>
        </is>
      </c>
      <c r="V1404" t="inlineStr">
        <is>
          <t>東かがわ市（香川県）：渇水リスクと都市河川の氾濫、瀬戸内の高潮・津波、ため池決壊に注意。</t>
        </is>
      </c>
    </row>
    <row r="1405">
      <c r="A1405" t="inlineStr">
        <is>
          <t>香川県</t>
        </is>
      </c>
      <c r="B1405" t="inlineStr">
        <is>
          <t>三豊市</t>
        </is>
      </c>
      <c r="C1405" t="n">
        <v>22930</v>
      </c>
      <c r="D1405" t="n">
        <v>58100</v>
      </c>
      <c r="E1405" s="6" t="n">
        <v>253.1</v>
      </c>
      <c r="F1405" s="7" t="n">
        <v>32.7</v>
      </c>
      <c r="G1405" t="n">
        <v>61857</v>
      </c>
      <c r="H1405" t="n">
        <v>58100</v>
      </c>
      <c r="I1405" t="n">
        <v>54472</v>
      </c>
      <c r="J1405" t="n">
        <v>43721</v>
      </c>
      <c r="K1405" s="27">
        <f>(H1405/D1405-1)</f>
        <v/>
      </c>
      <c r="L1405" s="27">
        <f>(I1405/D1405-1)</f>
        <v/>
      </c>
      <c r="M1405" s="27">
        <f>(J1405/D1405-1)</f>
        <v/>
      </c>
      <c r="N1405" t="n">
        <v>47.1</v>
      </c>
      <c r="O1405" s="28">
        <f>(N1405+F1405)/2</f>
        <v/>
      </c>
      <c r="P1405">
        <f>IF(O1405="計算不能","計算不能",IF(O1405&gt;=80,5,IF(O1405&gt;=60,4,IF(O1405&gt;=40,3,IF(O1405&gt;=28,2,1)))))</f>
        <v/>
      </c>
      <c r="Q1405" t="n">
        <v>6102</v>
      </c>
      <c r="R1405" t="n">
        <v>780</v>
      </c>
      <c r="S1405" s="27">
        <f>R1405/Q1405</f>
        <v/>
      </c>
      <c r="T1405" t="inlineStr">
        <is>
          <t>三豊市は2045年までに人口が約24.7%減と明確な減少トレンド。高齢化の進行と世帯数の縮小により、中長期では賃貸需要の構造的縮小に警戒が必要。</t>
        </is>
      </c>
      <c r="U1405" t="inlineStr">
        <is>
          <t>三豊市は人口密度253人/km²と低密度で、賃貸需要は限定的。持ち家比率が高く、駐車場完備の戸建て賃貸が有利。 借家の空室率は約13%と需給は比較的引き締まっている。</t>
        </is>
      </c>
      <c r="V1405" t="inlineStr">
        <is>
          <t>三豊市（香川県）：渇水リスクと都市河川の氾濫、瀬戸内の高潮・津波、ため池決壊に注意。</t>
        </is>
      </c>
    </row>
    <row r="1406">
      <c r="A1406" t="inlineStr">
        <is>
          <t>香川県</t>
        </is>
      </c>
      <c r="B1406" t="inlineStr">
        <is>
          <t>土庄町</t>
        </is>
      </c>
      <c r="C1406" t="n">
        <v>6427</v>
      </c>
      <c r="D1406" t="n">
        <v>11591</v>
      </c>
      <c r="E1406" s="6" t="n">
        <v>153.9</v>
      </c>
      <c r="F1406" s="7" t="n">
        <v>25.4</v>
      </c>
      <c r="G1406" t="n">
        <v>12846</v>
      </c>
      <c r="H1406" t="n">
        <v>11591</v>
      </c>
      <c r="I1406" t="n">
        <v>10524</v>
      </c>
      <c r="J1406" t="n">
        <v>7473</v>
      </c>
      <c r="K1406" s="27">
        <f>(H1406/D1406-1)</f>
        <v/>
      </c>
      <c r="L1406" s="27">
        <f>(I1406/D1406-1)</f>
        <v/>
      </c>
      <c r="M1406" s="27">
        <f>(J1406/D1406-1)</f>
        <v/>
      </c>
      <c r="N1406" t="n">
        <v>39.3</v>
      </c>
      <c r="O1406" s="28">
        <f>(N1406+F1406)/2</f>
        <v/>
      </c>
      <c r="P1406">
        <f>IF(O1406="計算不能","計算不能",IF(O1406&gt;=80,5,IF(O1406&gt;=60,4,IF(O1406&gt;=40,3,IF(O1406&gt;=28,2,1)))))</f>
        <v/>
      </c>
      <c r="Q1406" t="n">
        <v>1710</v>
      </c>
      <c r="R1406" t="n">
        <v>0</v>
      </c>
      <c r="S1406" s="27">
        <f>R1406/Q1406</f>
        <v/>
      </c>
      <c r="T1406" t="inlineStr">
        <is>
          <t>土庄町は2045年までに人口が約35.5%減と急激な過疎・超高齢化が進行。若年労働世代の流出と自然減が重なり、賃貸事業としての持続性は極めて限定的。</t>
        </is>
      </c>
      <c r="U1406" t="inlineStr">
        <is>
          <t>土庄町は人口密度154人/km²と過疎的水準で、民間賃貸の新規需要は薄い。実需に裏付けられた格安戸建ての指値取得のみが現実的。 借家の空室率は約0%と需給は比較的引き締まっている。</t>
        </is>
      </c>
      <c r="V1406" t="inlineStr">
        <is>
          <t>土庄町（香川県）：渇水リスクと都市河川の氾濫、瀬戸内の高潮・津波、ため池決壊に注意。</t>
        </is>
      </c>
    </row>
    <row r="1407">
      <c r="A1407" t="inlineStr">
        <is>
          <t>香川県</t>
        </is>
      </c>
      <c r="B1407" t="inlineStr">
        <is>
          <t>小豆島町</t>
        </is>
      </c>
      <c r="C1407" t="n">
        <v>6753</v>
      </c>
      <c r="D1407" t="n">
        <v>12569</v>
      </c>
      <c r="E1407" s="6" t="n">
        <v>131</v>
      </c>
      <c r="F1407" s="7" t="n">
        <v>23.1</v>
      </c>
      <c r="G1407" t="n">
        <v>13870</v>
      </c>
      <c r="H1407" t="n">
        <v>12569</v>
      </c>
      <c r="I1407" t="n">
        <v>11427</v>
      </c>
      <c r="J1407" t="n">
        <v>8441</v>
      </c>
      <c r="K1407" s="27">
        <f>(H1407/D1407-1)</f>
        <v/>
      </c>
      <c r="L1407" s="27">
        <f>(I1407/D1407-1)</f>
        <v/>
      </c>
      <c r="M1407" s="27">
        <f>(J1407/D1407-1)</f>
        <v/>
      </c>
      <c r="N1407" t="n">
        <v>40.3</v>
      </c>
      <c r="O1407" s="28">
        <f>(N1407+F1407)/2</f>
        <v/>
      </c>
      <c r="P1407">
        <f>IF(O1407="計算不能","計算不能",IF(O1407&gt;=80,5,IF(O1407&gt;=60,4,IF(O1407&gt;=40,3,IF(O1407&gt;=28,2,1)))))</f>
        <v/>
      </c>
      <c r="Q1407" t="n">
        <v>1797</v>
      </c>
      <c r="R1407" t="n">
        <v>0</v>
      </c>
      <c r="S1407" s="27">
        <f>R1407/Q1407</f>
        <v/>
      </c>
      <c r="T1407" t="inlineStr">
        <is>
          <t>小豆島町は2045年までに人口が約32.8%減と急激な過疎・超高齢化が進行。若年労働世代の流出と自然減が重なり、賃貸事業としての持続性は極めて限定的。</t>
        </is>
      </c>
      <c r="U1407" t="inlineStr">
        <is>
          <t>小豆島町は人口密度131人/km²と過疎的水準で、民間賃貸の新規需要は薄い。実需に裏付けられた格安戸建ての指値取得のみが現実的。 借家の空室率は約0%と需給は比較的引き締まっている。</t>
        </is>
      </c>
      <c r="V1407" t="inlineStr">
        <is>
          <t>小豆島町（香川県）：渇水リスクと都市河川の氾濫、瀬戸内の高潮・津波、ため池決壊に注意。</t>
        </is>
      </c>
    </row>
    <row r="1408">
      <c r="A1408" t="inlineStr">
        <is>
          <t>香川県</t>
        </is>
      </c>
      <c r="B1408" t="inlineStr">
        <is>
          <t>三木町</t>
        </is>
      </c>
      <c r="C1408" t="n">
        <v>11040</v>
      </c>
      <c r="D1408" t="n">
        <v>26026</v>
      </c>
      <c r="E1408" s="6" t="n">
        <v>340.3</v>
      </c>
      <c r="F1408" s="7" t="n">
        <v>37</v>
      </c>
      <c r="G1408" t="n">
        <v>26878</v>
      </c>
      <c r="H1408" t="n">
        <v>26026</v>
      </c>
      <c r="I1408" t="n">
        <v>25045</v>
      </c>
      <c r="J1408" t="n">
        <v>21833</v>
      </c>
      <c r="K1408" s="27">
        <f>(H1408/D1408-1)</f>
        <v/>
      </c>
      <c r="L1408" s="27">
        <f>(I1408/D1408-1)</f>
        <v/>
      </c>
      <c r="M1408" s="27">
        <f>(J1408/D1408-1)</f>
        <v/>
      </c>
      <c r="N1408" t="n">
        <v>58.3</v>
      </c>
      <c r="O1408" s="28">
        <f>(N1408+F1408)/2</f>
        <v/>
      </c>
      <c r="P1408">
        <f>IF(O1408="計算不能","計算不能",IF(O1408&gt;=80,5,IF(O1408&gt;=60,4,IF(O1408&gt;=40,3,IF(O1408&gt;=28,2,1)))))</f>
        <v/>
      </c>
      <c r="Q1408" t="n">
        <v>2938</v>
      </c>
      <c r="R1408" t="n">
        <v>1130</v>
      </c>
      <c r="S1408" s="27">
        <f>R1408/Q1408</f>
        <v/>
      </c>
      <c r="T1408" t="inlineStr">
        <is>
          <t>三木町は2045年までに人口が約16.1%減と明確な減少トレンド。高齢化の進行と世帯数の縮小により、中長期では賃貸需要の構造的縮小に警戒が必要。</t>
        </is>
      </c>
      <c r="U1408" t="inlineStr">
        <is>
          <t>三木町は人口密度340人/km²と低密度で、賃貸需要は限定的。持ち家比率が高く、駐車場完備の戸建て賃貸が有利。 借家の空室率は約38%と供給過多気味で、空室長期化リスクに要警戒。</t>
        </is>
      </c>
      <c r="V1408" t="inlineStr">
        <is>
          <t>三木町（香川県）：渇水リスクと都市河川の氾濫、瀬戸内の高潮・津波、ため池決壊に注意。</t>
        </is>
      </c>
    </row>
    <row r="1409">
      <c r="A1409" t="inlineStr">
        <is>
          <t>香川県</t>
        </is>
      </c>
      <c r="B1409" t="inlineStr">
        <is>
          <t>直島町</t>
        </is>
      </c>
      <c r="C1409" t="n">
        <v>1584</v>
      </c>
      <c r="D1409" t="n">
        <v>2943</v>
      </c>
      <c r="E1409" s="6" t="n">
        <v>206.3</v>
      </c>
      <c r="F1409" s="7" t="n">
        <v>30.3</v>
      </c>
      <c r="G1409" t="n">
        <v>3103</v>
      </c>
      <c r="H1409" t="n">
        <v>2943</v>
      </c>
      <c r="I1409" t="n">
        <v>2775</v>
      </c>
      <c r="J1409" t="n">
        <v>2368</v>
      </c>
      <c r="K1409" s="27">
        <f>(H1409/D1409-1)</f>
        <v/>
      </c>
      <c r="L1409" s="27">
        <f>(I1409/D1409-1)</f>
        <v/>
      </c>
      <c r="M1409" s="27">
        <f>(J1409/D1409-1)</f>
        <v/>
      </c>
      <c r="N1409" t="n">
        <v>51.6</v>
      </c>
      <c r="O1409" s="28">
        <f>(N1409+F1409)/2</f>
        <v/>
      </c>
      <c r="P1409">
        <f>IF(O1409="計算不能","計算不能",IF(O1409&gt;=80,5,IF(O1409&gt;=60,4,IF(O1409&gt;=40,3,IF(O1409&gt;=28,2,1)))))</f>
        <v/>
      </c>
      <c r="Q1409" t="n">
        <v>421</v>
      </c>
      <c r="R1409" t="n">
        <v>0</v>
      </c>
      <c r="S1409" s="27">
        <f>R1409/Q1409</f>
        <v/>
      </c>
      <c r="T1409" t="inlineStr">
        <is>
          <t>直島町は2045年までに人口が約19.5%減と明確な減少トレンド。高齢化の進行と世帯数の縮小により、中長期では賃貸需要の構造的縮小に警戒が必要。</t>
        </is>
      </c>
      <c r="U1409" t="inlineStr">
        <is>
          <t>直島町は人口密度206人/km²と低密度で、賃貸需要は限定的。持ち家比率が高く、駐車場完備の戸建て賃貸が有利。 借家の空室率は約0%と需給は比較的引き締まっている。</t>
        </is>
      </c>
      <c r="V1409" t="inlineStr">
        <is>
          <t>直島町（香川県）：渇水リスクと都市河川の氾濫、瀬戸内の高潮・津波、ため池決壊に注意。</t>
        </is>
      </c>
    </row>
    <row r="1410">
      <c r="A1410" t="inlineStr">
        <is>
          <t>香川県</t>
        </is>
      </c>
      <c r="B1410" t="inlineStr">
        <is>
          <t>宇多津町</t>
        </is>
      </c>
      <c r="C1410" t="n">
        <v>8990</v>
      </c>
      <c r="D1410" t="n">
        <v>18659</v>
      </c>
      <c r="E1410" s="6" t="n">
        <v>2294.2</v>
      </c>
      <c r="F1410" s="7" t="n">
        <v>72.90000000000001</v>
      </c>
      <c r="G1410" t="n">
        <v>18699</v>
      </c>
      <c r="H1410" t="n">
        <v>18659</v>
      </c>
      <c r="I1410" t="n">
        <v>18429</v>
      </c>
      <c r="J1410" t="n">
        <v>17145</v>
      </c>
      <c r="K1410" s="27">
        <f>(H1410/D1410-1)</f>
        <v/>
      </c>
      <c r="L1410" s="27">
        <f>(I1410/D1410-1)</f>
        <v/>
      </c>
      <c r="M1410" s="27">
        <f>(J1410/D1410-1)</f>
        <v/>
      </c>
      <c r="N1410" t="n">
        <v>69.7</v>
      </c>
      <c r="O1410" s="28">
        <f>(N1410+F1410)/2</f>
        <v/>
      </c>
      <c r="P1410">
        <f>IF(O1410="計算不能","計算不能",IF(O1410&gt;=80,5,IF(O1410&gt;=60,4,IF(O1410&gt;=40,3,IF(O1410&gt;=28,2,1)))))</f>
        <v/>
      </c>
      <c r="Q1410" t="n">
        <v>2392</v>
      </c>
      <c r="R1410" t="n">
        <v>1230</v>
      </c>
      <c r="S1410" s="27">
        <f>R1410/Q1410</f>
        <v/>
      </c>
      <c r="T1410" t="inlineStr">
        <is>
          <t>宇多津町は2045年までに人口が約8.1%減と緩やかな減少局面。若年層の都市部流出と高齢化が進むが、当面の賃貸稼働は一定程度維持される見通し。</t>
        </is>
      </c>
      <c r="U1410" t="inlineStr">
        <is>
          <t>宇多津町は人口密度2,294人/km²の都市部で、駅周辺や生活利便施設沿いに安定した賃貸需要がある。適切な家賃設定で高稼働を期待できる。 借家の空室率は約51%と供給過多気味で、空室長期化リスクに要警戒。</t>
        </is>
      </c>
      <c r="V1410" t="inlineStr">
        <is>
          <t>宇多津町（香川県）：渇水リスクと都市河川の氾濫、瀬戸内の高潮・津波、ため池決壊に注意。</t>
        </is>
      </c>
    </row>
    <row r="1411">
      <c r="A1411" t="inlineStr">
        <is>
          <t>香川県</t>
        </is>
      </c>
      <c r="B1411" t="inlineStr">
        <is>
          <t>綾川町</t>
        </is>
      </c>
      <c r="C1411" t="n">
        <v>8710</v>
      </c>
      <c r="D1411" t="n">
        <v>21538</v>
      </c>
      <c r="E1411" s="6" t="n">
        <v>195.1</v>
      </c>
      <c r="F1411" s="7" t="n">
        <v>29.5</v>
      </c>
      <c r="G1411" t="n">
        <v>22693</v>
      </c>
      <c r="H1411" t="n">
        <v>21538</v>
      </c>
      <c r="I1411" t="n">
        <v>20393</v>
      </c>
      <c r="J1411" t="n">
        <v>16633</v>
      </c>
      <c r="K1411" s="27">
        <f>(H1411/D1411-1)</f>
        <v/>
      </c>
      <c r="L1411" s="27">
        <f>(I1411/D1411-1)</f>
        <v/>
      </c>
      <c r="M1411" s="27">
        <f>(J1411/D1411-1)</f>
        <v/>
      </c>
      <c r="N1411" t="n">
        <v>50.5</v>
      </c>
      <c r="O1411" s="28">
        <f>(N1411+F1411)/2</f>
        <v/>
      </c>
      <c r="P1411">
        <f>IF(O1411="計算不能","計算不能",IF(O1411&gt;=80,5,IF(O1411&gt;=60,4,IF(O1411&gt;=40,3,IF(O1411&gt;=28,2,1)))))</f>
        <v/>
      </c>
      <c r="Q1411" t="n">
        <v>2318</v>
      </c>
      <c r="R1411" t="n">
        <v>60</v>
      </c>
      <c r="S1411" s="27">
        <f>R1411/Q1411</f>
        <v/>
      </c>
      <c r="T1411" t="inlineStr">
        <is>
          <t>綾川町は2045年までに人口が約22.8%減と明確な減少トレンド。高齢化の進行と世帯数の縮小により、中長期では賃貸需要の構造的縮小に警戒が必要。</t>
        </is>
      </c>
      <c r="U1411" t="inlineStr">
        <is>
          <t>綾川町は人口密度195人/km²と過疎的水準で、民間賃貸の新規需要は薄い。実需に裏付けられた格安戸建ての指値取得のみが現実的。 借家の空室率は約3%と需給は比較的引き締まっている。</t>
        </is>
      </c>
      <c r="V1411" t="inlineStr">
        <is>
          <t>綾川町（香川県）：渇水リスクと都市河川の氾濫、瀬戸内の高潮・津波、ため池決壊に注意。</t>
        </is>
      </c>
    </row>
    <row r="1412">
      <c r="A1412" t="inlineStr">
        <is>
          <t>香川県</t>
        </is>
      </c>
      <c r="B1412" t="inlineStr">
        <is>
          <t>琴平町</t>
        </is>
      </c>
      <c r="C1412" t="n">
        <v>4160</v>
      </c>
      <c r="D1412" t="n">
        <v>7747</v>
      </c>
      <c r="E1412" s="6" t="n">
        <v>900.9</v>
      </c>
      <c r="F1412" s="7" t="n">
        <v>53</v>
      </c>
      <c r="G1412" t="n">
        <v>8468</v>
      </c>
      <c r="H1412" t="n">
        <v>7747</v>
      </c>
      <c r="I1412" t="n">
        <v>7053</v>
      </c>
      <c r="J1412" t="n">
        <v>5153</v>
      </c>
      <c r="K1412" s="27">
        <f>(H1412/D1412-1)</f>
        <v/>
      </c>
      <c r="L1412" s="27">
        <f>(I1412/D1412-1)</f>
        <v/>
      </c>
      <c r="M1412" s="27">
        <f>(J1412/D1412-1)</f>
        <v/>
      </c>
      <c r="N1412" t="n">
        <v>41</v>
      </c>
      <c r="O1412" s="28">
        <f>(N1412+F1412)/2</f>
        <v/>
      </c>
      <c r="P1412">
        <f>IF(O1412="計算不能","計算不能",IF(O1412&gt;=80,5,IF(O1412&gt;=60,4,IF(O1412&gt;=40,3,IF(O1412&gt;=28,2,1)))))</f>
        <v/>
      </c>
      <c r="Q1412" t="n">
        <v>1107</v>
      </c>
      <c r="R1412" t="n">
        <v>0</v>
      </c>
      <c r="S1412" s="27">
        <f>R1412/Q1412</f>
        <v/>
      </c>
      <c r="T1412" t="inlineStr">
        <is>
          <t>琴平町は2045年までに人口が約33.5%減と急激な過疎・超高齢化が進行。若年労働世代の流出と自然減が重なり、賃貸事業としての持続性は極めて限定的。</t>
        </is>
      </c>
      <c r="U1412" t="inlineStr">
        <is>
          <t>琴平町は人口密度901人/km²で、主要道路沿いや中心市街地に一定の賃貸需要が局在。立地選別が稼働を左右する。 借家の空室率は約0%と需給は比較的引き締まっている。</t>
        </is>
      </c>
      <c r="V1412" t="inlineStr">
        <is>
          <t>琴平町（香川県）：渇水リスクと都市河川の氾濫、瀬戸内の高潮・津波、ため池決壊に注意。</t>
        </is>
      </c>
    </row>
    <row r="1413">
      <c r="A1413" t="inlineStr">
        <is>
          <t>香川県</t>
        </is>
      </c>
      <c r="B1413" t="inlineStr">
        <is>
          <t>多度津町</t>
        </is>
      </c>
      <c r="C1413" t="n">
        <v>7970</v>
      </c>
      <c r="D1413" t="n">
        <v>21658</v>
      </c>
      <c r="E1413" s="6" t="n">
        <v>869.2</v>
      </c>
      <c r="F1413" s="7" t="n">
        <v>52.4</v>
      </c>
      <c r="G1413" t="n">
        <v>22445</v>
      </c>
      <c r="H1413" t="n">
        <v>21658</v>
      </c>
      <c r="I1413" t="n">
        <v>20824</v>
      </c>
      <c r="J1413" t="n">
        <v>17948</v>
      </c>
      <c r="K1413" s="27">
        <f>(H1413/D1413-1)</f>
        <v/>
      </c>
      <c r="L1413" s="27">
        <f>(I1413/D1413-1)</f>
        <v/>
      </c>
      <c r="M1413" s="27">
        <f>(J1413/D1413-1)</f>
        <v/>
      </c>
      <c r="N1413" t="n">
        <v>57.1</v>
      </c>
      <c r="O1413" s="28">
        <f>(N1413+F1413)/2</f>
        <v/>
      </c>
      <c r="P1413">
        <f>IF(O1413="計算不能","計算不能",IF(O1413&gt;=80,5,IF(O1413&gt;=60,4,IF(O1413&gt;=40,3,IF(O1413&gt;=28,2,1)))))</f>
        <v/>
      </c>
      <c r="Q1413" t="n">
        <v>2121</v>
      </c>
      <c r="R1413" t="n">
        <v>1060</v>
      </c>
      <c r="S1413" s="27">
        <f>R1413/Q1413</f>
        <v/>
      </c>
      <c r="T1413" t="inlineStr">
        <is>
          <t>多度津町は2045年までに人口が約17.1%減と明確な減少トレンド。高齢化の進行と世帯数の縮小により、中長期では賃貸需要の構造的縮小に警戒が必要。</t>
        </is>
      </c>
      <c r="U1413" t="inlineStr">
        <is>
          <t>多度津町は人口密度869人/km²で、主要道路沿いや中心市街地に一定の賃貸需要が局在。立地選別が稼働を左右する。 借家の空室率は約50%と供給過多気味で、空室長期化リスクに要警戒。</t>
        </is>
      </c>
      <c r="V1413" t="inlineStr">
        <is>
          <t>多度津町（香川県）：渇水リスクと都市河川の氾濫、瀬戸内の高潮・津波、ため池決壊に注意。</t>
        </is>
      </c>
    </row>
    <row r="1414">
      <c r="A1414" t="inlineStr">
        <is>
          <t>香川県</t>
        </is>
      </c>
      <c r="B1414" t="inlineStr">
        <is>
          <t>まんのう町</t>
        </is>
      </c>
      <c r="C1414" t="n">
        <v>6270</v>
      </c>
      <c r="D1414" t="n">
        <v>15955</v>
      </c>
      <c r="E1414" s="6" t="n">
        <v>82.5</v>
      </c>
      <c r="F1414" s="7" t="n">
        <v>18.2</v>
      </c>
      <c r="G1414" t="n">
        <v>17401</v>
      </c>
      <c r="H1414" t="n">
        <v>15955</v>
      </c>
      <c r="I1414" t="n">
        <v>14922</v>
      </c>
      <c r="J1414" t="n">
        <v>12095</v>
      </c>
      <c r="K1414" s="27">
        <f>(H1414/D1414-1)</f>
        <v/>
      </c>
      <c r="L1414" s="27">
        <f>(I1414/D1414-1)</f>
        <v/>
      </c>
      <c r="M1414" s="27">
        <f>(J1414/D1414-1)</f>
        <v/>
      </c>
      <c r="N1414" t="n">
        <v>44.1</v>
      </c>
      <c r="O1414" s="28">
        <f>(N1414+F1414)/2</f>
        <v/>
      </c>
      <c r="P1414">
        <f>IF(O1414="計算不能","計算不能",IF(O1414&gt;=80,5,IF(O1414&gt;=60,4,IF(O1414&gt;=40,3,IF(O1414&gt;=28,2,1)))))</f>
        <v/>
      </c>
      <c r="Q1414" t="n">
        <v>1668</v>
      </c>
      <c r="R1414" t="n">
        <v>190</v>
      </c>
      <c r="S1414" s="27">
        <f>R1414/Q1414</f>
        <v/>
      </c>
      <c r="T1414" t="inlineStr">
        <is>
          <t>まんのう町は2045年までに人口が約24.2%減と明確な減少トレンド。高齢化の進行と世帯数の縮小により、中長期では賃貸需要の構造的縮小に警戒が必要。</t>
        </is>
      </c>
      <c r="U1414" t="inlineStr">
        <is>
          <t>まんのう町は人口密度82人/km²と過疎的水準で、民間賃貸の新規需要は薄い。実需に裏付けられた格安戸建ての指値取得のみが現実的。 借家の空室率は約11%と需給は比較的引き締まっている。</t>
        </is>
      </c>
      <c r="V1414" t="inlineStr">
        <is>
          <t>まんのう町（香川県）：渇水リスクと都市河川の氾濫、瀬戸内の高潮・津波、ため池決壊に注意。</t>
        </is>
      </c>
    </row>
    <row r="1415">
      <c r="A1415" t="inlineStr">
        <is>
          <t>愛媛県</t>
        </is>
      </c>
      <c r="B1415" t="inlineStr">
        <is>
          <t>松山市</t>
        </is>
      </c>
      <c r="C1415" t="n">
        <v>242550</v>
      </c>
      <c r="D1415" t="n">
        <v>498626</v>
      </c>
      <c r="E1415" s="6" t="n">
        <v>1157.7</v>
      </c>
      <c r="F1415" s="7" t="n">
        <v>58.2</v>
      </c>
      <c r="G1415" t="n">
        <v>511192</v>
      </c>
      <c r="H1415" t="n">
        <v>498626</v>
      </c>
      <c r="I1415" t="n">
        <v>486567</v>
      </c>
      <c r="J1415" t="n">
        <v>439929</v>
      </c>
      <c r="K1415" s="27">
        <f>(H1415/D1415-1)</f>
        <v/>
      </c>
      <c r="L1415" s="27">
        <f>(I1415/D1415-1)</f>
        <v/>
      </c>
      <c r="M1415" s="27">
        <f>(J1415/D1415-1)</f>
        <v/>
      </c>
      <c r="N1415" t="n">
        <v>62.7</v>
      </c>
      <c r="O1415" s="28">
        <f>(N1415+F1415)/2</f>
        <v/>
      </c>
      <c r="P1415">
        <f>IF(O1415="計算不能","計算不能",IF(O1415&gt;=80,5,IF(O1415&gt;=60,4,IF(O1415&gt;=40,3,IF(O1415&gt;=28,2,1)))))</f>
        <v/>
      </c>
      <c r="Q1415" t="n">
        <v>73826</v>
      </c>
      <c r="R1415" t="n">
        <v>20820</v>
      </c>
      <c r="S1415" s="27">
        <f>R1415/Q1415</f>
        <v/>
      </c>
      <c r="T1415" t="inlineStr">
        <is>
          <t>松山市は2045年までに人口が約11.8%減と緩やかな減少局面。若年層の都市部流出と高齢化が進むが、当面の賃貸稼働は一定程度維持される見通し。</t>
        </is>
      </c>
      <c r="U1415" t="inlineStr">
        <is>
          <t>松山市は人口密度1,158人/km²で、主要道路沿いや中心市街地に一定の賃貸需要が局在。立地選別が稼働を左右する。 借家の空室率は約28%と供給過多気味で、空室長期化リスクに要警戒。</t>
        </is>
      </c>
      <c r="V1415" t="inlineStr">
        <is>
          <t>松山市（愛媛県）：南海トラフ津波、肱川の氾濫常襲、急峻な山地の土砂災害に留意。</t>
        </is>
      </c>
    </row>
    <row r="1416">
      <c r="A1416" t="inlineStr">
        <is>
          <t>愛媛県</t>
        </is>
      </c>
      <c r="B1416" t="inlineStr">
        <is>
          <t>今治市</t>
        </is>
      </c>
      <c r="C1416" t="n">
        <v>66300</v>
      </c>
      <c r="D1416" t="n">
        <v>143106</v>
      </c>
      <c r="E1416" s="6" t="n">
        <v>338.1</v>
      </c>
      <c r="F1416" s="7" t="n">
        <v>36.9</v>
      </c>
      <c r="G1416" t="n">
        <v>151672</v>
      </c>
      <c r="H1416" t="n">
        <v>143106</v>
      </c>
      <c r="I1416" t="n">
        <v>133982</v>
      </c>
      <c r="J1416" t="n">
        <v>107364</v>
      </c>
      <c r="K1416" s="27">
        <f>(H1416/D1416-1)</f>
        <v/>
      </c>
      <c r="L1416" s="27">
        <f>(I1416/D1416-1)</f>
        <v/>
      </c>
      <c r="M1416" s="27">
        <f>(J1416/D1416-1)</f>
        <v/>
      </c>
      <c r="N1416" t="n">
        <v>47.7</v>
      </c>
      <c r="O1416" s="28">
        <f>(N1416+F1416)/2</f>
        <v/>
      </c>
      <c r="P1416">
        <f>IF(O1416="計算不能","計算不能",IF(O1416&gt;=80,5,IF(O1416&gt;=60,4,IF(O1416&gt;=40,3,IF(O1416&gt;=28,2,1)))))</f>
        <v/>
      </c>
      <c r="Q1416" t="n">
        <v>20180</v>
      </c>
      <c r="R1416" t="n">
        <v>6970</v>
      </c>
      <c r="S1416" s="27">
        <f>R1416/Q1416</f>
        <v/>
      </c>
      <c r="T1416" t="inlineStr">
        <is>
          <t>今治市は2045年までに人口が約25.0%減と明確な減少トレンド。高齢化の進行と世帯数の縮小により、中長期では賃貸需要の構造的縮小に警戒が必要。</t>
        </is>
      </c>
      <c r="U1416" t="inlineStr">
        <is>
          <t>今治市は人口密度338人/km²と低密度で、賃貸需要は限定的。持ち家比率が高く、駐車場完備の戸建て賃貸が有利。 借家の空室率は約35%と供給過多気味で、空室長期化リスクに要警戒。</t>
        </is>
      </c>
      <c r="V1416" t="inlineStr">
        <is>
          <t>今治市（愛媛県）：南海トラフ津波、肱川の氾濫常襲、急峻な山地の土砂災害に留意。</t>
        </is>
      </c>
    </row>
    <row r="1417">
      <c r="A1417" t="inlineStr">
        <is>
          <t>愛媛県</t>
        </is>
      </c>
      <c r="B1417" t="inlineStr">
        <is>
          <t>宇和島市</t>
        </is>
      </c>
      <c r="C1417" t="n">
        <v>29760</v>
      </c>
      <c r="D1417" t="n">
        <v>63905</v>
      </c>
      <c r="E1417" s="6" t="n">
        <v>134</v>
      </c>
      <c r="F1417" s="7" t="n">
        <v>23.4</v>
      </c>
      <c r="G1417" t="n">
        <v>70809</v>
      </c>
      <c r="H1417" t="n">
        <v>63905</v>
      </c>
      <c r="I1417" t="n">
        <v>57880</v>
      </c>
      <c r="J1417" t="n">
        <v>41117</v>
      </c>
      <c r="K1417" s="27">
        <f>(H1417/D1417-1)</f>
        <v/>
      </c>
      <c r="L1417" s="27">
        <f>(I1417/D1417-1)</f>
        <v/>
      </c>
      <c r="M1417" s="27">
        <f>(J1417/D1417-1)</f>
        <v/>
      </c>
      <c r="N1417" t="n">
        <v>39.2</v>
      </c>
      <c r="O1417" s="28">
        <f>(N1417+F1417)/2</f>
        <v/>
      </c>
      <c r="P1417">
        <f>IF(O1417="計算不能","計算不能",IF(O1417&gt;=80,5,IF(O1417&gt;=60,4,IF(O1417&gt;=40,3,IF(O1417&gt;=28,2,1)))))</f>
        <v/>
      </c>
      <c r="Q1417" t="n">
        <v>9058</v>
      </c>
      <c r="R1417" t="n">
        <v>2890</v>
      </c>
      <c r="S1417" s="27">
        <f>R1417/Q1417</f>
        <v/>
      </c>
      <c r="T1417" t="inlineStr">
        <is>
          <t>宇和島市は2045年までに人口が約35.7%減と急激な過疎・超高齢化が進行。若年労働世代の流出と自然減が重なり、賃貸事業としての持続性は極めて限定的。</t>
        </is>
      </c>
      <c r="U1417" t="inlineStr">
        <is>
          <t>宇和島市は人口密度134人/km²と過疎的水準で、民間賃貸の新規需要は薄い。実需に裏付けられた格安戸建ての指値取得のみが現実的。 借家の空室率は約32%と供給過多気味で、空室長期化リスクに要警戒。</t>
        </is>
      </c>
      <c r="V1417" t="inlineStr">
        <is>
          <t>宇和島市（愛媛県）：南海トラフ津波、肱川の氾濫常襲、急峻な山地の土砂災害に留意。</t>
        </is>
      </c>
    </row>
    <row r="1418">
      <c r="A1418" t="inlineStr">
        <is>
          <t>愛媛県</t>
        </is>
      </c>
      <c r="B1418" t="inlineStr">
        <is>
          <t>八幡浜市</t>
        </is>
      </c>
      <c r="C1418" t="n">
        <v>13450</v>
      </c>
      <c r="D1418" t="n">
        <v>28924</v>
      </c>
      <c r="E1418" s="6" t="n">
        <v>214.7</v>
      </c>
      <c r="F1418" s="7" t="n">
        <v>30.7</v>
      </c>
      <c r="G1418" t="n">
        <v>31987</v>
      </c>
      <c r="H1418" t="n">
        <v>28924</v>
      </c>
      <c r="I1418" t="n">
        <v>25985</v>
      </c>
      <c r="J1418" t="n">
        <v>18045</v>
      </c>
      <c r="K1418" s="27">
        <f>(H1418/D1418-1)</f>
        <v/>
      </c>
      <c r="L1418" s="27">
        <f>(I1418/D1418-1)</f>
        <v/>
      </c>
      <c r="M1418" s="27">
        <f>(J1418/D1418-1)</f>
        <v/>
      </c>
      <c r="N1418" t="n">
        <v>38.7</v>
      </c>
      <c r="O1418" s="28">
        <f>(N1418+F1418)/2</f>
        <v/>
      </c>
      <c r="P1418">
        <f>IF(O1418="計算不能","計算不能",IF(O1418&gt;=80,5,IF(O1418&gt;=60,4,IF(O1418&gt;=40,3,IF(O1418&gt;=28,2,1)))))</f>
        <v/>
      </c>
      <c r="Q1418" t="n">
        <v>4093</v>
      </c>
      <c r="R1418" t="n">
        <v>1420</v>
      </c>
      <c r="S1418" s="27">
        <f>R1418/Q1418</f>
        <v/>
      </c>
      <c r="T1418" t="inlineStr">
        <is>
          <t>八幡浜市は2045年までに人口が約37.6%減と急激な過疎・超高齢化が進行。若年労働世代の流出と自然減が重なり、賃貸事業としての持続性は極めて限定的。</t>
        </is>
      </c>
      <c r="U1418" t="inlineStr">
        <is>
          <t>八幡浜市は人口密度215人/km²と低密度で、賃貸需要は限定的。持ち家比率が高く、駐車場完備の戸建て賃貸が有利。 借家の空室率は約35%と供給過多気味で、空室長期化リスクに要警戒。</t>
        </is>
      </c>
      <c r="V1418" t="inlineStr">
        <is>
          <t>八幡浜市（愛媛県）：南海トラフ津波、肱川の氾濫常襲、急峻な山地の土砂災害に留意。</t>
        </is>
      </c>
    </row>
    <row r="1419">
      <c r="A1419" t="inlineStr">
        <is>
          <t>愛媛県</t>
        </is>
      </c>
      <c r="B1419" t="inlineStr">
        <is>
          <t>新居浜市</t>
        </is>
      </c>
      <c r="C1419" t="n">
        <v>51020</v>
      </c>
      <c r="D1419" t="n">
        <v>109337</v>
      </c>
      <c r="E1419" s="6" t="n">
        <v>463.3</v>
      </c>
      <c r="F1419" s="7" t="n">
        <v>43.2</v>
      </c>
      <c r="G1419" t="n">
        <v>115938</v>
      </c>
      <c r="H1419" t="n">
        <v>109337</v>
      </c>
      <c r="I1419" t="n">
        <v>104245</v>
      </c>
      <c r="J1419" t="n">
        <v>89401</v>
      </c>
      <c r="K1419" s="27">
        <f>(H1419/D1419-1)</f>
        <v/>
      </c>
      <c r="L1419" s="27">
        <f>(I1419/D1419-1)</f>
        <v/>
      </c>
      <c r="M1419" s="27">
        <f>(J1419/D1419-1)</f>
        <v/>
      </c>
      <c r="N1419" t="n">
        <v>51.9</v>
      </c>
      <c r="O1419" s="28">
        <f>(N1419+F1419)/2</f>
        <v/>
      </c>
      <c r="P1419">
        <f>IF(O1419="計算不能","計算不能",IF(O1419&gt;=80,5,IF(O1419&gt;=60,4,IF(O1419&gt;=40,3,IF(O1419&gt;=28,2,1)))))</f>
        <v/>
      </c>
      <c r="Q1419" t="n">
        <v>15529</v>
      </c>
      <c r="R1419" t="n">
        <v>4510</v>
      </c>
      <c r="S1419" s="27">
        <f>R1419/Q1419</f>
        <v/>
      </c>
      <c r="T1419" t="inlineStr">
        <is>
          <t>新居浜市は2045年までに人口が約18.2%減と明確な減少トレンド。高齢化の進行と世帯数の縮小により、中長期では賃貸需要の構造的縮小に警戒が必要。</t>
        </is>
      </c>
      <c r="U1419" t="inlineStr">
        <is>
          <t>新居浜市は人口密度463人/km²と低密度で、賃貸需要は限定的。持ち家比率が高く、駐車場完備の戸建て賃貸が有利。 借家の空室率は約29%と供給過多気味で、空室長期化リスクに要警戒。</t>
        </is>
      </c>
      <c r="V1419" t="inlineStr">
        <is>
          <t>新居浜市（愛媛県）：南海トラフ津波、肱川の氾濫常襲、急峻な山地の土砂災害に留意。</t>
        </is>
      </c>
    </row>
    <row r="1420">
      <c r="A1420" t="inlineStr">
        <is>
          <t>愛媛県</t>
        </is>
      </c>
      <c r="B1420" t="inlineStr">
        <is>
          <t>西条市</t>
        </is>
      </c>
      <c r="C1420" t="n">
        <v>43270</v>
      </c>
      <c r="D1420" t="n">
        <v>100467</v>
      </c>
      <c r="E1420" s="6" t="n">
        <v>193.5</v>
      </c>
      <c r="F1420" s="7" t="n">
        <v>29.4</v>
      </c>
      <c r="G1420" t="n">
        <v>104791</v>
      </c>
      <c r="H1420" t="n">
        <v>100467</v>
      </c>
      <c r="I1420" t="n">
        <v>95899</v>
      </c>
      <c r="J1420" t="n">
        <v>81651</v>
      </c>
      <c r="K1420" s="27">
        <f>(H1420/D1420-1)</f>
        <v/>
      </c>
      <c r="L1420" s="27">
        <f>(I1420/D1420-1)</f>
        <v/>
      </c>
      <c r="M1420" s="27">
        <f>(J1420/D1420-1)</f>
        <v/>
      </c>
      <c r="N1420" t="n">
        <v>54.7</v>
      </c>
      <c r="O1420" s="28">
        <f>(N1420+F1420)/2</f>
        <v/>
      </c>
      <c r="P1420">
        <f>IF(O1420="計算不能","計算不能",IF(O1420&gt;=80,5,IF(O1420&gt;=60,4,IF(O1420&gt;=40,3,IF(O1420&gt;=28,2,1)))))</f>
        <v/>
      </c>
      <c r="Q1420" t="n">
        <v>13170</v>
      </c>
      <c r="R1420" t="n">
        <v>2950</v>
      </c>
      <c r="S1420" s="27">
        <f>R1420/Q1420</f>
        <v/>
      </c>
      <c r="T1420" t="inlineStr">
        <is>
          <t>西条市は2045年までに人口が約18.7%減と明確な減少トレンド。高齢化の進行と世帯数の縮小により、中長期では賃貸需要の構造的縮小に警戒が必要。</t>
        </is>
      </c>
      <c r="U1420" t="inlineStr">
        <is>
          <t>西条市は人口密度194人/km²と過疎的水準で、民間賃貸の新規需要は薄い。実需に裏付けられた格安戸建ての指値取得のみが現実的。 借家の空室率は約22%とやや高めで、競合との差別化が必要。</t>
        </is>
      </c>
      <c r="V1420" t="inlineStr">
        <is>
          <t>西条市（愛媛県）：南海トラフ津波、肱川の氾濫常襲、急峻な山地の土砂災害に留意。</t>
        </is>
      </c>
    </row>
    <row r="1421">
      <c r="A1421" t="inlineStr">
        <is>
          <t>愛媛県</t>
        </is>
      </c>
      <c r="B1421" t="inlineStr">
        <is>
          <t>大洲市</t>
        </is>
      </c>
      <c r="C1421" t="n">
        <v>16790</v>
      </c>
      <c r="D1421" t="n">
        <v>36736</v>
      </c>
      <c r="E1421" s="6" t="n">
        <v>86.5</v>
      </c>
      <c r="F1421" s="7" t="n">
        <v>18.6</v>
      </c>
      <c r="G1421" t="n">
        <v>40575</v>
      </c>
      <c r="H1421" t="n">
        <v>36736</v>
      </c>
      <c r="I1421" t="n">
        <v>33316</v>
      </c>
      <c r="J1421" t="n">
        <v>24124</v>
      </c>
      <c r="K1421" s="27">
        <f>(H1421/D1421-1)</f>
        <v/>
      </c>
      <c r="L1421" s="27">
        <f>(I1421/D1421-1)</f>
        <v/>
      </c>
      <c r="M1421" s="27">
        <f>(J1421/D1421-1)</f>
        <v/>
      </c>
      <c r="N1421" t="n">
        <v>39.8</v>
      </c>
      <c r="O1421" s="28">
        <f>(N1421+F1421)/2</f>
        <v/>
      </c>
      <c r="P1421">
        <f>IF(O1421="計算不能","計算不能",IF(O1421&gt;=80,5,IF(O1421&gt;=60,4,IF(O1421&gt;=40,3,IF(O1421&gt;=28,2,1)))))</f>
        <v/>
      </c>
      <c r="Q1421" t="n">
        <v>5110</v>
      </c>
      <c r="R1421" t="n">
        <v>720</v>
      </c>
      <c r="S1421" s="27">
        <f>R1421/Q1421</f>
        <v/>
      </c>
      <c r="T1421" t="inlineStr">
        <is>
          <t>大洲市は2045年までに人口が約34.3%減と急激な過疎・超高齢化が進行。若年労働世代の流出と自然減が重なり、賃貸事業としての持続性は極めて限定的。</t>
        </is>
      </c>
      <c r="U1421" t="inlineStr">
        <is>
          <t>大洲市は人口密度86人/km²と過疎的水準で、民間賃貸の新規需要は薄い。実需に裏付けられた格安戸建ての指値取得のみが現実的。 借家の空室率は約14%と需給は比較的引き締まっている。</t>
        </is>
      </c>
      <c r="V1421" t="inlineStr">
        <is>
          <t>大洲市（愛媛県）：南海トラフ津波、肱川の氾濫常襲、急峻な山地の土砂災害に留意。</t>
        </is>
      </c>
    </row>
    <row r="1422">
      <c r="A1422" t="inlineStr">
        <is>
          <t>愛媛県</t>
        </is>
      </c>
      <c r="B1422" t="inlineStr">
        <is>
          <t>伊予市</t>
        </is>
      </c>
      <c r="C1422" t="n">
        <v>14500</v>
      </c>
      <c r="D1422" t="n">
        <v>33426</v>
      </c>
      <c r="E1422" s="6" t="n">
        <v>172.1</v>
      </c>
      <c r="F1422" s="7" t="n">
        <v>27.2</v>
      </c>
      <c r="G1422" t="n">
        <v>35133</v>
      </c>
      <c r="H1422" t="n">
        <v>33426</v>
      </c>
      <c r="I1422" t="n">
        <v>31502</v>
      </c>
      <c r="J1422" t="n">
        <v>25552</v>
      </c>
      <c r="K1422" s="27">
        <f>(H1422/D1422-1)</f>
        <v/>
      </c>
      <c r="L1422" s="27">
        <f>(I1422/D1422-1)</f>
        <v/>
      </c>
      <c r="M1422" s="27">
        <f>(J1422/D1422-1)</f>
        <v/>
      </c>
      <c r="N1422" t="n">
        <v>50.2</v>
      </c>
      <c r="O1422" s="28">
        <f>(N1422+F1422)/2</f>
        <v/>
      </c>
      <c r="P1422">
        <f>IF(O1422="計算不能","計算不能",IF(O1422&gt;=80,5,IF(O1422&gt;=60,4,IF(O1422&gt;=40,3,IF(O1422&gt;=28,2,1)))))</f>
        <v/>
      </c>
      <c r="Q1422" t="n">
        <v>4413</v>
      </c>
      <c r="R1422" t="n">
        <v>450</v>
      </c>
      <c r="S1422" s="27">
        <f>R1422/Q1422</f>
        <v/>
      </c>
      <c r="T1422" t="inlineStr">
        <is>
          <t>伊予市は2045年までに人口が約23.6%減と明確な減少トレンド。高齢化の進行と世帯数の縮小により、中長期では賃貸需要の構造的縮小に警戒が必要。</t>
        </is>
      </c>
      <c r="U1422" t="inlineStr">
        <is>
          <t>伊予市は人口密度172人/km²と過疎的水準で、民間賃貸の新規需要は薄い。実需に裏付けられた格安戸建ての指値取得のみが現実的。 借家の空室率は約10%と需給は比較的引き締まっている。</t>
        </is>
      </c>
      <c r="V1422" t="inlineStr">
        <is>
          <t>伊予市（愛媛県）：南海トラフ津波、肱川の氾濫常襲、急峻な山地の土砂災害に留意。</t>
        </is>
      </c>
    </row>
    <row r="1423">
      <c r="A1423" t="inlineStr">
        <is>
          <t>愛媛県</t>
        </is>
      </c>
      <c r="B1423" t="inlineStr">
        <is>
          <t>四国中央市</t>
        </is>
      </c>
      <c r="C1423" t="n">
        <v>35520</v>
      </c>
      <c r="D1423" t="n">
        <v>76530</v>
      </c>
      <c r="E1423" s="6" t="n">
        <v>183.2</v>
      </c>
      <c r="F1423" s="7" t="n">
        <v>28.3</v>
      </c>
      <c r="G1423" t="n">
        <v>82754</v>
      </c>
      <c r="H1423" t="n">
        <v>76530</v>
      </c>
      <c r="I1423" t="n">
        <v>71463</v>
      </c>
      <c r="J1423" t="n">
        <v>56397</v>
      </c>
      <c r="K1423" s="27">
        <f>(H1423/D1423-1)</f>
        <v/>
      </c>
      <c r="L1423" s="27">
        <f>(I1423/D1423-1)</f>
        <v/>
      </c>
      <c r="M1423" s="27">
        <f>(J1423/D1423-1)</f>
        <v/>
      </c>
      <c r="N1423" t="n">
        <v>44.3</v>
      </c>
      <c r="O1423" s="28">
        <f>(N1423+F1423)/2</f>
        <v/>
      </c>
      <c r="P1423">
        <f>IF(O1423="計算不能","計算不能",IF(O1423&gt;=80,5,IF(O1423&gt;=60,4,IF(O1423&gt;=40,3,IF(O1423&gt;=28,2,1)))))</f>
        <v/>
      </c>
      <c r="Q1423" t="n">
        <v>10811</v>
      </c>
      <c r="R1423" t="n">
        <v>3350</v>
      </c>
      <c r="S1423" s="27">
        <f>R1423/Q1423</f>
        <v/>
      </c>
      <c r="T1423" t="inlineStr">
        <is>
          <t>四国中央市は2045年までに人口が約26.3%減と明確な減少トレンド。高齢化の進行と世帯数の縮小により、中長期では賃貸需要の構造的縮小に警戒が必要。</t>
        </is>
      </c>
      <c r="U1423" t="inlineStr">
        <is>
          <t>四国中央市は人口密度183人/km²と過疎的水準で、民間賃貸の新規需要は薄い。実需に裏付けられた格安戸建ての指値取得のみが現実的。 借家の空室率は約31%と供給過多気味で、空室長期化リスクに要警戒。</t>
        </is>
      </c>
      <c r="V1423" t="inlineStr">
        <is>
          <t>四国中央市（愛媛県）：南海トラフ津波、肱川の氾濫常襲、急峻な山地の土砂災害に留意。</t>
        </is>
      </c>
    </row>
    <row r="1424">
      <c r="A1424" t="inlineStr">
        <is>
          <t>愛媛県</t>
        </is>
      </c>
      <c r="B1424" t="inlineStr">
        <is>
          <t>西予市</t>
        </is>
      </c>
      <c r="C1424" t="n">
        <v>14560</v>
      </c>
      <c r="D1424" t="n">
        <v>32081</v>
      </c>
      <c r="E1424" s="6" t="n">
        <v>61.3</v>
      </c>
      <c r="F1424" s="7" t="n">
        <v>16.1</v>
      </c>
      <c r="G1424" t="n">
        <v>35388</v>
      </c>
      <c r="H1424" t="n">
        <v>32081</v>
      </c>
      <c r="I1424" t="n">
        <v>28848</v>
      </c>
      <c r="J1424" t="n">
        <v>20560</v>
      </c>
      <c r="K1424" s="27">
        <f>(H1424/D1424-1)</f>
        <v/>
      </c>
      <c r="L1424" s="27">
        <f>(I1424/D1424-1)</f>
        <v/>
      </c>
      <c r="M1424" s="27">
        <f>(J1424/D1424-1)</f>
        <v/>
      </c>
      <c r="N1424" t="n">
        <v>39.3</v>
      </c>
      <c r="O1424" s="28">
        <f>(N1424+F1424)/2</f>
        <v/>
      </c>
      <c r="P1424">
        <f>IF(O1424="計算不能","計算不能",IF(O1424&gt;=80,5,IF(O1424&gt;=60,4,IF(O1424&gt;=40,3,IF(O1424&gt;=28,2,1)))))</f>
        <v/>
      </c>
      <c r="Q1424" t="n">
        <v>4431</v>
      </c>
      <c r="R1424" t="n">
        <v>620</v>
      </c>
      <c r="S1424" s="27">
        <f>R1424/Q1424</f>
        <v/>
      </c>
      <c r="T1424" t="inlineStr">
        <is>
          <t>西予市は2045年までに人口が約35.9%減と急激な過疎・超高齢化が進行。若年労働世代の流出と自然減が重なり、賃貸事業としての持続性は極めて限定的。</t>
        </is>
      </c>
      <c r="U1424" t="inlineStr">
        <is>
          <t>西予市は人口密度61人/km²と過疎的水準で、民間賃貸の新規需要は薄い。実需に裏付けられた格安戸建ての指値取得のみが現実的。 借家の空室率は約14%と需給は比較的引き締まっている。</t>
        </is>
      </c>
      <c r="V1424" t="inlineStr">
        <is>
          <t>西予市（愛媛県）：南海トラフ津波、肱川の氾濫常襲、急峻な山地の土砂災害に留意。</t>
        </is>
      </c>
    </row>
    <row r="1425">
      <c r="A1425" t="inlineStr">
        <is>
          <t>愛媛県</t>
        </is>
      </c>
      <c r="B1425" t="inlineStr">
        <is>
          <t>東温市</t>
        </is>
      </c>
      <c r="C1425" t="n">
        <v>14450</v>
      </c>
      <c r="D1425" t="n">
        <v>33033</v>
      </c>
      <c r="E1425" s="6" t="n">
        <v>155.1</v>
      </c>
      <c r="F1425" s="7" t="n">
        <v>25.5</v>
      </c>
      <c r="G1425" t="n">
        <v>33903</v>
      </c>
      <c r="H1425" t="n">
        <v>33033</v>
      </c>
      <c r="I1425" t="n">
        <v>31810</v>
      </c>
      <c r="J1425" t="n">
        <v>27747</v>
      </c>
      <c r="K1425" s="27">
        <f>(H1425/D1425-1)</f>
        <v/>
      </c>
      <c r="L1425" s="27">
        <f>(I1425/D1425-1)</f>
        <v/>
      </c>
      <c r="M1425" s="27">
        <f>(J1425/D1425-1)</f>
        <v/>
      </c>
      <c r="N1425" t="n">
        <v>59.5</v>
      </c>
      <c r="O1425" s="28">
        <f>(N1425+F1425)/2</f>
        <v/>
      </c>
      <c r="P1425">
        <f>IF(O1425="計算不能","計算不能",IF(O1425&gt;=80,5,IF(O1425&gt;=60,4,IF(O1425&gt;=40,3,IF(O1425&gt;=28,2,1)))))</f>
        <v/>
      </c>
      <c r="Q1425" t="n">
        <v>4398</v>
      </c>
      <c r="R1425" t="n">
        <v>1730</v>
      </c>
      <c r="S1425" s="27">
        <f>R1425/Q1425</f>
        <v/>
      </c>
      <c r="T1425" t="inlineStr">
        <is>
          <t>東温市は2045年までに人口が約16.0%減と明確な減少トレンド。高齢化の進行と世帯数の縮小により、中長期では賃貸需要の構造的縮小に警戒が必要。</t>
        </is>
      </c>
      <c r="U1425" t="inlineStr">
        <is>
          <t>東温市は人口密度155人/km²と過疎的水準で、民間賃貸の新規需要は薄い。実需に裏付けられた格安戸建ての指値取得のみが現実的。 借家の空室率は約39%と供給過多気味で、空室長期化リスクに要警戒。</t>
        </is>
      </c>
      <c r="V1425" t="inlineStr">
        <is>
          <t>東温市（愛媛県）：南海トラフ津波、肱川の氾濫常襲、急峻な山地の土砂災害に留意。</t>
        </is>
      </c>
    </row>
    <row r="1426">
      <c r="A1426" t="inlineStr">
        <is>
          <t>愛媛県</t>
        </is>
      </c>
      <c r="B1426" t="inlineStr">
        <is>
          <t>上島町</t>
        </is>
      </c>
      <c r="C1426" t="n">
        <v>3737</v>
      </c>
      <c r="D1426" t="n">
        <v>5864</v>
      </c>
      <c r="E1426" s="6" t="n">
        <v>191.2</v>
      </c>
      <c r="F1426" s="7" t="n">
        <v>29.1</v>
      </c>
      <c r="G1426" t="n">
        <v>6509</v>
      </c>
      <c r="H1426" t="n">
        <v>5864</v>
      </c>
      <c r="I1426" t="n">
        <v>5298</v>
      </c>
      <c r="J1426" t="n">
        <v>3690</v>
      </c>
      <c r="K1426" s="27">
        <f>(H1426/D1426-1)</f>
        <v/>
      </c>
      <c r="L1426" s="27">
        <f>(I1426/D1426-1)</f>
        <v/>
      </c>
      <c r="M1426" s="27">
        <f>(J1426/D1426-1)</f>
        <v/>
      </c>
      <c r="N1426" t="n">
        <v>38.7</v>
      </c>
      <c r="O1426" s="28">
        <f>(N1426+F1426)/2</f>
        <v/>
      </c>
      <c r="P1426">
        <f>IF(O1426="計算不能","計算不能",IF(O1426&gt;=80,5,IF(O1426&gt;=60,4,IF(O1426&gt;=40,3,IF(O1426&gt;=28,2,1)))))</f>
        <v/>
      </c>
      <c r="Q1426" t="n">
        <v>1137</v>
      </c>
      <c r="R1426" t="n">
        <v>0</v>
      </c>
      <c r="S1426" s="27">
        <f>R1426/Q1426</f>
        <v/>
      </c>
      <c r="T1426" t="inlineStr">
        <is>
          <t>上島町は2045年までに人口が約37.1%減と急激な過疎・超高齢化が進行。若年労働世代の流出と自然減が重なり、賃貸事業としての持続性は極めて限定的。</t>
        </is>
      </c>
      <c r="U1426" t="inlineStr">
        <is>
          <t>上島町は人口密度191人/km²と過疎的水準で、民間賃貸の新規需要は薄い。実需に裏付けられた格安戸建ての指値取得のみが現実的。 借家の空室率は約0%と需給は比較的引き締まっている。</t>
        </is>
      </c>
      <c r="V1426" t="inlineStr">
        <is>
          <t>上島町（愛媛県）：南海トラフ津波、肱川の氾濫常襲、急峻な山地の土砂災害に留意。</t>
        </is>
      </c>
    </row>
    <row r="1427">
      <c r="A1427" t="inlineStr">
        <is>
          <t>愛媛県</t>
        </is>
      </c>
      <c r="B1427" t="inlineStr">
        <is>
          <t>久万高原町</t>
        </is>
      </c>
      <c r="C1427" t="n">
        <v>3933</v>
      </c>
      <c r="D1427" t="n">
        <v>6378</v>
      </c>
      <c r="E1427" s="6" t="n">
        <v>10.8</v>
      </c>
      <c r="F1427" s="7" t="n">
        <v>11.1</v>
      </c>
      <c r="G1427" t="n">
        <v>7404</v>
      </c>
      <c r="H1427" t="n">
        <v>6378</v>
      </c>
      <c r="I1427" t="n">
        <v>5537</v>
      </c>
      <c r="J1427" t="n">
        <v>3597</v>
      </c>
      <c r="K1427" s="27">
        <f>(H1427/D1427-1)</f>
        <v/>
      </c>
      <c r="L1427" s="27">
        <f>(I1427/D1427-1)</f>
        <v/>
      </c>
      <c r="M1427" s="27">
        <f>(J1427/D1427-1)</f>
        <v/>
      </c>
      <c r="N1427" t="n">
        <v>32.8</v>
      </c>
      <c r="O1427" s="28">
        <f>(N1427+F1427)/2</f>
        <v/>
      </c>
      <c r="P1427">
        <f>IF(O1427="計算不能","計算不能",IF(O1427&gt;=80,5,IF(O1427&gt;=60,4,IF(O1427&gt;=40,3,IF(O1427&gt;=28,2,1)))))</f>
        <v/>
      </c>
      <c r="Q1427" t="n">
        <v>1197</v>
      </c>
      <c r="R1427" t="n">
        <v>0</v>
      </c>
      <c r="S1427" s="27">
        <f>R1427/Q1427</f>
        <v/>
      </c>
      <c r="T1427" t="inlineStr">
        <is>
          <t>久万高原町は2045年までに人口が約43.6%減と急激な過疎・超高齢化が進行。若年労働世代の流出と自然減が重なり、賃貸事業としての持続性は極めて限定的。</t>
        </is>
      </c>
      <c r="U1427" t="inlineStr">
        <is>
          <t>久万高原町は人口密度11人/km²と過疎的水準で、民間賃貸の新規需要は薄い。実需に裏付けられた格安戸建ての指値取得のみが現実的。 借家の空室率は約0%と需給は比較的引き締まっている。</t>
        </is>
      </c>
      <c r="V1427" t="inlineStr">
        <is>
          <t>久万高原町（愛媛県）：南海トラフ津波、肱川の氾濫常襲、急峻な山地の土砂災害に留意。</t>
        </is>
      </c>
    </row>
    <row r="1428">
      <c r="A1428" t="inlineStr">
        <is>
          <t>愛媛県</t>
        </is>
      </c>
      <c r="B1428" t="inlineStr">
        <is>
          <t>松前町</t>
        </is>
      </c>
      <c r="C1428" t="n">
        <v>12590</v>
      </c>
      <c r="D1428" t="n">
        <v>28695</v>
      </c>
      <c r="E1428" s="6" t="n">
        <v>1423.2</v>
      </c>
      <c r="F1428" s="7" t="n">
        <v>63.5</v>
      </c>
      <c r="G1428" t="n">
        <v>29630</v>
      </c>
      <c r="H1428" t="n">
        <v>28695</v>
      </c>
      <c r="I1428" t="n">
        <v>27546</v>
      </c>
      <c r="J1428" t="n">
        <v>23943</v>
      </c>
      <c r="K1428" s="27">
        <f>(H1428/D1428-1)</f>
        <v/>
      </c>
      <c r="L1428" s="27">
        <f>(I1428/D1428-1)</f>
        <v/>
      </c>
      <c r="M1428" s="27">
        <f>(J1428/D1428-1)</f>
        <v/>
      </c>
      <c r="N1428" t="n">
        <v>58</v>
      </c>
      <c r="O1428" s="28">
        <f>(N1428+F1428)/2</f>
        <v/>
      </c>
      <c r="P1428">
        <f>IF(O1428="計算不能","計算不能",IF(O1428&gt;=80,5,IF(O1428&gt;=60,4,IF(O1428&gt;=40,3,IF(O1428&gt;=28,2,1)))))</f>
        <v/>
      </c>
      <c r="Q1428" t="n">
        <v>3832</v>
      </c>
      <c r="R1428" t="n">
        <v>510</v>
      </c>
      <c r="S1428" s="27">
        <f>R1428/Q1428</f>
        <v/>
      </c>
      <c r="T1428" t="inlineStr">
        <is>
          <t>松前町は2045年までに人口が約16.6%減と明確な減少トレンド。高齢化の進行と世帯数の縮小により、中長期では賃貸需要の構造的縮小に警戒が必要。</t>
        </is>
      </c>
      <c r="U1428" t="inlineStr">
        <is>
          <t>松前町は人口密度1,423人/km²で、主要道路沿いや中心市街地に一定の賃貸需要が局在。立地選別が稼働を左右する。 借家の空室率は約13%と需給は比較的引き締まっている。</t>
        </is>
      </c>
      <c r="V1428" t="inlineStr">
        <is>
          <t>松前町（愛媛県）：南海トラフ津波、肱川の氾濫常襲、急峻な山地の土砂災害に留意。</t>
        </is>
      </c>
    </row>
    <row r="1429">
      <c r="A1429" t="inlineStr">
        <is>
          <t>愛媛県</t>
        </is>
      </c>
      <c r="B1429" t="inlineStr">
        <is>
          <t>砥部町</t>
        </is>
      </c>
      <c r="C1429" t="n">
        <v>8800</v>
      </c>
      <c r="D1429" t="n">
        <v>19500</v>
      </c>
      <c r="E1429" s="6" t="n">
        <v>192.9</v>
      </c>
      <c r="F1429" s="7" t="n">
        <v>29.3</v>
      </c>
      <c r="G1429" t="n">
        <v>20480</v>
      </c>
      <c r="H1429" t="n">
        <v>19500</v>
      </c>
      <c r="I1429" t="n">
        <v>18365</v>
      </c>
      <c r="J1429" t="n">
        <v>14778</v>
      </c>
      <c r="K1429" s="27">
        <f>(H1429/D1429-1)</f>
        <v/>
      </c>
      <c r="L1429" s="27">
        <f>(I1429/D1429-1)</f>
        <v/>
      </c>
      <c r="M1429" s="27">
        <f>(J1429/D1429-1)</f>
        <v/>
      </c>
      <c r="N1429" t="n">
        <v>50</v>
      </c>
      <c r="O1429" s="28">
        <f>(N1429+F1429)/2</f>
        <v/>
      </c>
      <c r="P1429">
        <f>IF(O1429="計算不能","計算不能",IF(O1429&gt;=80,5,IF(O1429&gt;=60,4,IF(O1429&gt;=40,3,IF(O1429&gt;=28,2,1)))))</f>
        <v/>
      </c>
      <c r="Q1429" t="n">
        <v>2678</v>
      </c>
      <c r="R1429" t="n">
        <v>400</v>
      </c>
      <c r="S1429" s="27">
        <f>R1429/Q1429</f>
        <v/>
      </c>
      <c r="T1429" t="inlineStr">
        <is>
          <t>砥部町は2045年までに人口が約24.2%減と明確な減少トレンド。高齢化の進行と世帯数の縮小により、中長期では賃貸需要の構造的縮小に警戒が必要。</t>
        </is>
      </c>
      <c r="U1429" t="inlineStr">
        <is>
          <t>砥部町は人口密度193人/km²と過疎的水準で、民間賃貸の新規需要は薄い。実需に裏付けられた格安戸建ての指値取得のみが現実的。 借家の空室率は約15%と需給は比較的引き締まっている。</t>
        </is>
      </c>
      <c r="V1429" t="inlineStr">
        <is>
          <t>砥部町（愛媛県）：南海トラフ津波、肱川の氾濫常襲、急峻な山地の土砂災害に留意。</t>
        </is>
      </c>
    </row>
    <row r="1430">
      <c r="A1430" t="inlineStr">
        <is>
          <t>愛媛県</t>
        </is>
      </c>
      <c r="B1430" t="inlineStr">
        <is>
          <t>内子町</t>
        </is>
      </c>
      <c r="C1430" t="n">
        <v>5800</v>
      </c>
      <c r="D1430" t="n">
        <v>13870</v>
      </c>
      <c r="E1430" s="6" t="n">
        <v>45.8</v>
      </c>
      <c r="F1430" s="7" t="n">
        <v>14.6</v>
      </c>
      <c r="G1430" t="n">
        <v>15322</v>
      </c>
      <c r="H1430" t="n">
        <v>13870</v>
      </c>
      <c r="I1430" t="n">
        <v>12552</v>
      </c>
      <c r="J1430" t="n">
        <v>9000</v>
      </c>
      <c r="K1430" s="27">
        <f>(H1430/D1430-1)</f>
        <v/>
      </c>
      <c r="L1430" s="27">
        <f>(I1430/D1430-1)</f>
        <v/>
      </c>
      <c r="M1430" s="27">
        <f>(J1430/D1430-1)</f>
        <v/>
      </c>
      <c r="N1430" t="n">
        <v>39.6</v>
      </c>
      <c r="O1430" s="28">
        <f>(N1430+F1430)/2</f>
        <v/>
      </c>
      <c r="P1430">
        <f>IF(O1430="計算不能","計算不能",IF(O1430&gt;=80,5,IF(O1430&gt;=60,4,IF(O1430&gt;=40,3,IF(O1430&gt;=28,2,1)))))</f>
        <v/>
      </c>
      <c r="Q1430" t="n">
        <v>1765</v>
      </c>
      <c r="R1430" t="n">
        <v>240</v>
      </c>
      <c r="S1430" s="27">
        <f>R1430/Q1430</f>
        <v/>
      </c>
      <c r="T1430" t="inlineStr">
        <is>
          <t>内子町は2045年までに人口が約35.1%減と急激な過疎・超高齢化が進行。若年労働世代の流出と自然減が重なり、賃貸事業としての持続性は極めて限定的。</t>
        </is>
      </c>
      <c r="U1430" t="inlineStr">
        <is>
          <t>内子町は人口密度46人/km²と過疎的水準で、民間賃貸の新規需要は薄い。実需に裏付けられた格安戸建ての指値取得のみが現実的。 借家の空室率は約14%と需給は比較的引き締まっている。</t>
        </is>
      </c>
      <c r="V1430" t="inlineStr">
        <is>
          <t>内子町（愛媛県）：南海トラフ津波、肱川の氾濫常襲、急峻な山地の土砂災害に留意。</t>
        </is>
      </c>
    </row>
    <row r="1431">
      <c r="A1431" t="inlineStr">
        <is>
          <t>愛媛県</t>
        </is>
      </c>
      <c r="B1431" t="inlineStr">
        <is>
          <t>伊方町</t>
        </is>
      </c>
      <c r="C1431" t="n">
        <v>4257</v>
      </c>
      <c r="D1431" t="n">
        <v>7349</v>
      </c>
      <c r="E1431" s="6" t="n">
        <v>75.40000000000001</v>
      </c>
      <c r="F1431" s="7" t="n">
        <v>17.5</v>
      </c>
      <c r="G1431" t="n">
        <v>8397</v>
      </c>
      <c r="H1431" t="n">
        <v>7349</v>
      </c>
      <c r="I1431" t="n">
        <v>6425</v>
      </c>
      <c r="J1431" t="n">
        <v>4146</v>
      </c>
      <c r="K1431" s="27">
        <f>(H1431/D1431-1)</f>
        <v/>
      </c>
      <c r="L1431" s="27">
        <f>(I1431/D1431-1)</f>
        <v/>
      </c>
      <c r="M1431" s="27">
        <f>(J1431/D1431-1)</f>
        <v/>
      </c>
      <c r="N1431" t="n">
        <v>34.1</v>
      </c>
      <c r="O1431" s="28">
        <f>(N1431+F1431)/2</f>
        <v/>
      </c>
      <c r="P1431">
        <f>IF(O1431="計算不能","計算不能",IF(O1431&gt;=80,5,IF(O1431&gt;=60,4,IF(O1431&gt;=40,3,IF(O1431&gt;=28,2,1)))))</f>
        <v/>
      </c>
      <c r="Q1431" t="n">
        <v>1295</v>
      </c>
      <c r="R1431" t="n">
        <v>0</v>
      </c>
      <c r="S1431" s="27">
        <f>R1431/Q1431</f>
        <v/>
      </c>
      <c r="T1431" t="inlineStr">
        <is>
          <t>伊方町は2045年までに人口が約43.6%減と急激な過疎・超高齢化が進行。若年労働世代の流出と自然減が重なり、賃貸事業としての持続性は極めて限定的。</t>
        </is>
      </c>
      <c r="U1431" t="inlineStr">
        <is>
          <t>伊方町は人口密度75人/km²と過疎的水準で、民間賃貸の新規需要は薄い。実需に裏付けられた格安戸建ての指値取得のみが現実的。 借家の空室率は約0%と需給は比較的引き締まっている。</t>
        </is>
      </c>
      <c r="V1431" t="inlineStr">
        <is>
          <t>伊方町（愛媛県）：南海トラフ津波、肱川の氾濫常襲、急峻な山地の土砂災害に留意。</t>
        </is>
      </c>
    </row>
    <row r="1432">
      <c r="A1432" t="inlineStr">
        <is>
          <t>愛媛県</t>
        </is>
      </c>
      <c r="B1432" t="inlineStr">
        <is>
          <t>松野町</t>
        </is>
      </c>
      <c r="C1432" t="n">
        <v>1925</v>
      </c>
      <c r="D1432" t="n">
        <v>3335</v>
      </c>
      <c r="E1432" s="6" t="n">
        <v>33.6</v>
      </c>
      <c r="F1432" s="7" t="n">
        <v>13.4</v>
      </c>
      <c r="G1432" t="n">
        <v>3674</v>
      </c>
      <c r="H1432" t="n">
        <v>3335</v>
      </c>
      <c r="I1432" t="n">
        <v>3034</v>
      </c>
      <c r="J1432" t="n">
        <v>2149</v>
      </c>
      <c r="K1432" s="27">
        <f>(H1432/D1432-1)</f>
        <v/>
      </c>
      <c r="L1432" s="27">
        <f>(I1432/D1432-1)</f>
        <v/>
      </c>
      <c r="M1432" s="27">
        <f>(J1432/D1432-1)</f>
        <v/>
      </c>
      <c r="N1432" t="n">
        <v>39.8</v>
      </c>
      <c r="O1432" s="28">
        <f>(N1432+F1432)/2</f>
        <v/>
      </c>
      <c r="P1432">
        <f>IF(O1432="計算不能","計算不能",IF(O1432&gt;=80,5,IF(O1432&gt;=60,4,IF(O1432&gt;=40,3,IF(O1432&gt;=28,2,1)))))</f>
        <v/>
      </c>
      <c r="Q1432" t="n">
        <v>585</v>
      </c>
      <c r="R1432" t="n">
        <v>0</v>
      </c>
      <c r="S1432" s="27">
        <f>R1432/Q1432</f>
        <v/>
      </c>
      <c r="T1432" t="inlineStr">
        <is>
          <t>松野町は2045年までに人口が約35.6%減と急激な過疎・超高齢化が進行。若年労働世代の流出と自然減が重なり、賃貸事業としての持続性は極めて限定的。</t>
        </is>
      </c>
      <c r="U1432" t="inlineStr">
        <is>
          <t>松野町は人口密度34人/km²と過疎的水準で、民間賃貸の新規需要は薄い。実需に裏付けられた格安戸建ての指値取得のみが現実的。 借家の空室率は約0%と需給は比較的引き締まっている。</t>
        </is>
      </c>
      <c r="V1432" t="inlineStr">
        <is>
          <t>松野町（愛媛県）：南海トラフ津波、肱川の氾濫常襲、急峻な山地の土砂災害に留意。</t>
        </is>
      </c>
    </row>
    <row r="1433">
      <c r="A1433" t="inlineStr">
        <is>
          <t>愛媛県</t>
        </is>
      </c>
      <c r="B1433" t="inlineStr">
        <is>
          <t>鬼北町</t>
        </is>
      </c>
      <c r="C1433" t="n">
        <v>4795</v>
      </c>
      <c r="D1433" t="n">
        <v>8724</v>
      </c>
      <c r="E1433" s="6" t="n">
        <v>35.7</v>
      </c>
      <c r="F1433" s="7" t="n">
        <v>13.6</v>
      </c>
      <c r="G1433" t="n">
        <v>9682</v>
      </c>
      <c r="H1433" t="n">
        <v>8724</v>
      </c>
      <c r="I1433" t="n">
        <v>7862</v>
      </c>
      <c r="J1433" t="n">
        <v>5501</v>
      </c>
      <c r="K1433" s="27">
        <f>(H1433/D1433-1)</f>
        <v/>
      </c>
      <c r="L1433" s="27">
        <f>(I1433/D1433-1)</f>
        <v/>
      </c>
      <c r="M1433" s="27">
        <f>(J1433/D1433-1)</f>
        <v/>
      </c>
      <c r="N1433" t="n">
        <v>38.7</v>
      </c>
      <c r="O1433" s="28">
        <f>(N1433+F1433)/2</f>
        <v/>
      </c>
      <c r="P1433">
        <f>IF(O1433="計算不能","計算不能",IF(O1433&gt;=80,5,IF(O1433&gt;=60,4,IF(O1433&gt;=40,3,IF(O1433&gt;=28,2,1)))))</f>
        <v/>
      </c>
      <c r="Q1433" t="n">
        <v>1459</v>
      </c>
      <c r="R1433" t="n">
        <v>0</v>
      </c>
      <c r="S1433" s="27">
        <f>R1433/Q1433</f>
        <v/>
      </c>
      <c r="T1433" t="inlineStr">
        <is>
          <t>鬼北町は2045年までに人口が約36.9%減と急激な過疎・超高齢化が進行。若年労働世代の流出と自然減が重なり、賃貸事業としての持続性は極めて限定的。</t>
        </is>
      </c>
      <c r="U1433" t="inlineStr">
        <is>
          <t>鬼北町は人口密度36人/km²と過疎的水準で、民間賃貸の新規需要は薄い。実需に裏付けられた格安戸建ての指値取得のみが現実的。 借家の空室率は約0%と需給は比較的引き締まっている。</t>
        </is>
      </c>
      <c r="V1433" t="inlineStr">
        <is>
          <t>鬼北町（愛媛県）：南海トラフ津波、肱川の氾濫常襲、急峻な山地の土砂災害に留意。</t>
        </is>
      </c>
    </row>
    <row r="1434">
      <c r="A1434" t="inlineStr">
        <is>
          <t>愛媛県</t>
        </is>
      </c>
      <c r="B1434" t="inlineStr">
        <is>
          <t>愛南町</t>
        </is>
      </c>
      <c r="C1434" t="n">
        <v>8620</v>
      </c>
      <c r="D1434" t="n">
        <v>17431</v>
      </c>
      <c r="E1434" s="6" t="n">
        <v>71.40000000000001</v>
      </c>
      <c r="F1434" s="7" t="n">
        <v>17.1</v>
      </c>
      <c r="G1434" t="n">
        <v>19601</v>
      </c>
      <c r="H1434" t="n">
        <v>17431</v>
      </c>
      <c r="I1434" t="n">
        <v>15365</v>
      </c>
      <c r="J1434" t="n">
        <v>9748</v>
      </c>
      <c r="K1434" s="27">
        <f>(H1434/D1434-1)</f>
        <v/>
      </c>
      <c r="L1434" s="27">
        <f>(I1434/D1434-1)</f>
        <v/>
      </c>
      <c r="M1434" s="27">
        <f>(J1434/D1434-1)</f>
        <v/>
      </c>
      <c r="N1434" t="n">
        <v>35.4</v>
      </c>
      <c r="O1434" s="28">
        <f>(N1434+F1434)/2</f>
        <v/>
      </c>
      <c r="P1434">
        <f>IF(O1434="計算不能","計算不能",IF(O1434&gt;=80,5,IF(O1434&gt;=60,4,IF(O1434&gt;=40,3,IF(O1434&gt;=28,2,1)))))</f>
        <v/>
      </c>
      <c r="Q1434" t="n">
        <v>2623</v>
      </c>
      <c r="R1434" t="n">
        <v>360</v>
      </c>
      <c r="S1434" s="27">
        <f>R1434/Q1434</f>
        <v/>
      </c>
      <c r="T1434" t="inlineStr">
        <is>
          <t>愛南町は2045年までに人口が約44.1%減と急激な過疎・超高齢化が進行。若年労働世代の流出と自然減が重なり、賃貸事業としての持続性は極めて限定的。</t>
        </is>
      </c>
      <c r="U1434" t="inlineStr">
        <is>
          <t>愛南町は人口密度71人/km²と過疎的水準で、民間賃貸の新規需要は薄い。実需に裏付けられた格安戸建ての指値取得のみが現実的。 借家の空室率は約14%と需給は比較的引き締まっている。</t>
        </is>
      </c>
      <c r="V1434" t="inlineStr">
        <is>
          <t>愛南町（愛媛県）：南海トラフ津波、肱川の氾濫常襲、急峻な山地の土砂災害に留意。</t>
        </is>
      </c>
    </row>
    <row r="1435">
      <c r="A1435" t="inlineStr">
        <is>
          <t>高知県</t>
        </is>
      </c>
      <c r="B1435" t="inlineStr">
        <is>
          <t>高知市</t>
        </is>
      </c>
      <c r="C1435" t="n">
        <v>154220</v>
      </c>
      <c r="D1435" t="n">
        <v>311164</v>
      </c>
      <c r="E1435" s="6" t="n">
        <v>1001.2</v>
      </c>
      <c r="F1435" s="7" t="n">
        <v>55</v>
      </c>
      <c r="G1435" t="n">
        <v>326545</v>
      </c>
      <c r="H1435" t="n">
        <v>311164</v>
      </c>
      <c r="I1435" t="n">
        <v>298280</v>
      </c>
      <c r="J1435" t="n">
        <v>255989</v>
      </c>
      <c r="K1435" s="27">
        <f>(H1435/D1435-1)</f>
        <v/>
      </c>
      <c r="L1435" s="27">
        <f>(I1435/D1435-1)</f>
        <v/>
      </c>
      <c r="M1435" s="27">
        <f>(J1435/D1435-1)</f>
        <v/>
      </c>
      <c r="N1435" t="n">
        <v>54.4</v>
      </c>
      <c r="O1435" s="28">
        <f>(N1435+F1435)/2</f>
        <v/>
      </c>
      <c r="P1435">
        <f>IF(O1435="計算不能","計算不能",IF(O1435&gt;=80,5,IF(O1435&gt;=60,4,IF(O1435&gt;=40,3,IF(O1435&gt;=28,2,1)))))</f>
        <v/>
      </c>
      <c r="Q1435" t="n">
        <v>46407</v>
      </c>
      <c r="R1435" t="n">
        <v>14780</v>
      </c>
      <c r="S1435" s="27">
        <f>R1435/Q1435</f>
        <v/>
      </c>
      <c r="T1435" t="inlineStr">
        <is>
          <t>高知市は2045年までに人口が約17.7%減と明確な減少トレンド。高齢化の進行と世帯数の縮小により、中長期では賃貸需要の構造的縮小に警戒が必要。</t>
        </is>
      </c>
      <c r="U1435" t="inlineStr">
        <is>
          <t>高知市は人口密度1,001人/km²で、主要道路沿いや中心市街地に一定の賃貸需要が局在。立地選別が稼働を左右する。 借家の空室率は約32%と供給過多気味で、空室長期化リスクに要警戒。</t>
        </is>
      </c>
      <c r="V1435" t="inlineStr">
        <is>
          <t>高知市（高知県）：南海トラフ津波の想定が全国最深級。四万十川・物部川の氾濫、深層崩壊に最大級の留意。</t>
        </is>
      </c>
    </row>
    <row r="1436">
      <c r="A1436" t="inlineStr">
        <is>
          <t>高知県</t>
        </is>
      </c>
      <c r="B1436" t="inlineStr">
        <is>
          <t>室戸市</t>
        </is>
      </c>
      <c r="C1436" t="n">
        <v>5550</v>
      </c>
      <c r="D1436" t="n">
        <v>9983</v>
      </c>
      <c r="E1436" s="6" t="n">
        <v>38.9</v>
      </c>
      <c r="F1436" s="7" t="n">
        <v>13.9</v>
      </c>
      <c r="G1436" t="n">
        <v>11742</v>
      </c>
      <c r="H1436" t="n">
        <v>9983</v>
      </c>
      <c r="I1436" t="n">
        <v>8481</v>
      </c>
      <c r="J1436" t="n">
        <v>4683</v>
      </c>
      <c r="K1436" s="27">
        <f>(H1436/D1436-1)</f>
        <v/>
      </c>
      <c r="L1436" s="27">
        <f>(I1436/D1436-1)</f>
        <v/>
      </c>
      <c r="M1436" s="27">
        <f>(J1436/D1436-1)</f>
        <v/>
      </c>
      <c r="N1436" t="n">
        <v>29.6</v>
      </c>
      <c r="O1436" s="28">
        <f>(N1436+F1436)/2</f>
        <v/>
      </c>
      <c r="P1436">
        <f>IF(O1436="計算不能","計算不能",IF(O1436&gt;=80,5,IF(O1436&gt;=60,4,IF(O1436&gt;=40,3,IF(O1436&gt;=28,2,1)))))</f>
        <v/>
      </c>
      <c r="Q1436" t="n">
        <v>1670</v>
      </c>
      <c r="R1436" t="n">
        <v>320</v>
      </c>
      <c r="S1436" s="27">
        <f>R1436/Q1436</f>
        <v/>
      </c>
      <c r="T1436" t="inlineStr">
        <is>
          <t>室戸市は2045年までに人口が約53.1%減と急激な過疎・超高齢化が進行。若年労働世代の流出と自然減が重なり、賃貸事業としての持続性は極めて限定的。</t>
        </is>
      </c>
      <c r="U1436" t="inlineStr">
        <is>
          <t>室戸市は人口密度39人/km²と過疎的水準で、民間賃貸の新規需要は薄い。実需に裏付けられた格安戸建ての指値取得のみが現実的。 借家の空室率は約19%とやや高めで、競合との差別化が必要。</t>
        </is>
      </c>
      <c r="V1436" t="inlineStr">
        <is>
          <t>室戸市（高知県）：南海トラフ津波の想定が全国最深級。四万十川・物部川の氾濫、深層崩壊に最大級の留意。</t>
        </is>
      </c>
    </row>
    <row r="1437">
      <c r="A1437" t="inlineStr">
        <is>
          <t>高知県</t>
        </is>
      </c>
      <c r="B1437" t="inlineStr">
        <is>
          <t>安芸市</t>
        </is>
      </c>
      <c r="C1437" t="n">
        <v>7600</v>
      </c>
      <c r="D1437" t="n">
        <v>14725</v>
      </c>
      <c r="E1437" s="6" t="n">
        <v>46.1</v>
      </c>
      <c r="F1437" s="7" t="n">
        <v>14.6</v>
      </c>
      <c r="G1437" t="n">
        <v>16243</v>
      </c>
      <c r="H1437" t="n">
        <v>14725</v>
      </c>
      <c r="I1437" t="n">
        <v>13384</v>
      </c>
      <c r="J1437" t="n">
        <v>9550</v>
      </c>
      <c r="K1437" s="27">
        <f>(H1437/D1437-1)</f>
        <v/>
      </c>
      <c r="L1437" s="27">
        <f>(I1437/D1437-1)</f>
        <v/>
      </c>
      <c r="M1437" s="27">
        <f>(J1437/D1437-1)</f>
        <v/>
      </c>
      <c r="N1437" t="n">
        <v>39.8</v>
      </c>
      <c r="O1437" s="28">
        <f>(N1437+F1437)/2</f>
        <v/>
      </c>
      <c r="P1437">
        <f>IF(O1437="計算不能","計算不能",IF(O1437&gt;=80,5,IF(O1437&gt;=60,4,IF(O1437&gt;=40,3,IF(O1437&gt;=28,2,1)))))</f>
        <v/>
      </c>
      <c r="Q1437" t="n">
        <v>2286</v>
      </c>
      <c r="R1437" t="n">
        <v>550</v>
      </c>
      <c r="S1437" s="27">
        <f>R1437/Q1437</f>
        <v/>
      </c>
      <c r="T1437" t="inlineStr">
        <is>
          <t>安芸市は2045年までに人口が約35.1%減と急激な過疎・超高齢化が進行。若年労働世代の流出と自然減が重なり、賃貸事業としての持続性は極めて限定的。</t>
        </is>
      </c>
      <c r="U1437" t="inlineStr">
        <is>
          <t>安芸市は人口密度46人/km²と過疎的水準で、民間賃貸の新規需要は薄い。実需に裏付けられた格安戸建ての指値取得のみが現実的。 借家の空室率は約24%とやや高めで、競合との差別化が必要。</t>
        </is>
      </c>
      <c r="V1437" t="inlineStr">
        <is>
          <t>安芸市（高知県）：南海トラフ津波の想定が全国最深級。四万十川・物部川の氾濫、深層崩壊に最大級の留意。</t>
        </is>
      </c>
    </row>
    <row r="1438">
      <c r="A1438" t="inlineStr">
        <is>
          <t>高知県</t>
        </is>
      </c>
      <c r="B1438" t="inlineStr">
        <is>
          <t>南国市</t>
        </is>
      </c>
      <c r="C1438" t="n">
        <v>20140</v>
      </c>
      <c r="D1438" t="n">
        <v>44842</v>
      </c>
      <c r="E1438" s="6" t="n">
        <v>362.4</v>
      </c>
      <c r="F1438" s="7" t="n">
        <v>38.1</v>
      </c>
      <c r="G1438" t="n">
        <v>46664</v>
      </c>
      <c r="H1438" t="n">
        <v>44842</v>
      </c>
      <c r="I1438" t="n">
        <v>42718</v>
      </c>
      <c r="J1438" t="n">
        <v>35583</v>
      </c>
      <c r="K1438" s="27">
        <f>(H1438/D1438-1)</f>
        <v/>
      </c>
      <c r="L1438" s="27">
        <f>(I1438/D1438-1)</f>
        <v/>
      </c>
      <c r="M1438" s="27">
        <f>(J1438/D1438-1)</f>
        <v/>
      </c>
      <c r="N1438" t="n">
        <v>54.1</v>
      </c>
      <c r="O1438" s="28">
        <f>(N1438+F1438)/2</f>
        <v/>
      </c>
      <c r="P1438">
        <f>IF(O1438="計算不能","計算不能",IF(O1438&gt;=80,5,IF(O1438&gt;=60,4,IF(O1438&gt;=40,3,IF(O1438&gt;=28,2,1)))))</f>
        <v/>
      </c>
      <c r="Q1438" t="n">
        <v>6060</v>
      </c>
      <c r="R1438" t="n">
        <v>1230</v>
      </c>
      <c r="S1438" s="27">
        <f>R1438/Q1438</f>
        <v/>
      </c>
      <c r="T1438" t="inlineStr">
        <is>
          <t>南国市は2045年までに人口が約20.6%減と明確な減少トレンド。高齢化の進行と世帯数の縮小により、中長期では賃貸需要の構造的縮小に警戒が必要。</t>
        </is>
      </c>
      <c r="U1438" t="inlineStr">
        <is>
          <t>南国市は人口密度362人/km²と低密度で、賃貸需要は限定的。持ち家比率が高く、駐車場完備の戸建て賃貸が有利。 借家の空室率は約20%とやや高めで、競合との差別化が必要。</t>
        </is>
      </c>
      <c r="V1438" t="inlineStr">
        <is>
          <t>南国市（高知県）：南海トラフ津波の想定が全国最深級。四万十川・物部川の氾濫、深層崩壊に最大級の留意。</t>
        </is>
      </c>
    </row>
    <row r="1439">
      <c r="A1439" t="inlineStr">
        <is>
          <t>高知県</t>
        </is>
      </c>
      <c r="B1439" t="inlineStr">
        <is>
          <t>土佐市</t>
        </is>
      </c>
      <c r="C1439" t="n">
        <v>9710</v>
      </c>
      <c r="D1439" t="n">
        <v>24210</v>
      </c>
      <c r="E1439" s="6" t="n">
        <v>260.5</v>
      </c>
      <c r="F1439" s="7" t="n">
        <v>33</v>
      </c>
      <c r="G1439" t="n">
        <v>25732</v>
      </c>
      <c r="H1439" t="n">
        <v>24210</v>
      </c>
      <c r="I1439" t="n">
        <v>22609</v>
      </c>
      <c r="J1439" t="n">
        <v>17797</v>
      </c>
      <c r="K1439" s="27">
        <f>(H1439/D1439-1)</f>
        <v/>
      </c>
      <c r="L1439" s="27">
        <f>(I1439/D1439-1)</f>
        <v/>
      </c>
      <c r="M1439" s="27">
        <f>(J1439/D1439-1)</f>
        <v/>
      </c>
      <c r="N1439" t="n">
        <v>46.4</v>
      </c>
      <c r="O1439" s="28">
        <f>(N1439+F1439)/2</f>
        <v/>
      </c>
      <c r="P1439">
        <f>IF(O1439="計算不能","計算不能",IF(O1439&gt;=80,5,IF(O1439&gt;=60,4,IF(O1439&gt;=40,3,IF(O1439&gt;=28,2,1)))))</f>
        <v/>
      </c>
      <c r="Q1439" t="n">
        <v>2921</v>
      </c>
      <c r="R1439" t="n">
        <v>520</v>
      </c>
      <c r="S1439" s="27">
        <f>R1439/Q1439</f>
        <v/>
      </c>
      <c r="T1439" t="inlineStr">
        <is>
          <t>土佐市は2045年までに人口が約26.5%減と明確な減少トレンド。高齢化の進行と世帯数の縮小により、中長期では賃貸需要の構造的縮小に警戒が必要。</t>
        </is>
      </c>
      <c r="U1439" t="inlineStr">
        <is>
          <t>土佐市は人口密度260人/km²と低密度で、賃貸需要は限定的。持ち家比率が高く、駐車場完備の戸建て賃貸が有利。 借家の空室率は約18%と需給は比較的引き締まっている。</t>
        </is>
      </c>
      <c r="V1439" t="inlineStr">
        <is>
          <t>土佐市（高知県）：南海トラフ津波の想定が全国最深級。四万十川・物部川の氾濫、深層崩壊に最大級の留意。</t>
        </is>
      </c>
    </row>
    <row r="1440">
      <c r="A1440" t="inlineStr">
        <is>
          <t>高知県</t>
        </is>
      </c>
      <c r="B1440" t="inlineStr">
        <is>
          <t>須崎市</t>
        </is>
      </c>
      <c r="C1440" t="n">
        <v>8980</v>
      </c>
      <c r="D1440" t="n">
        <v>18739</v>
      </c>
      <c r="E1440" s="6" t="n">
        <v>135.4</v>
      </c>
      <c r="F1440" s="7" t="n">
        <v>23.5</v>
      </c>
      <c r="G1440" t="n">
        <v>20590</v>
      </c>
      <c r="H1440" t="n">
        <v>18739</v>
      </c>
      <c r="I1440" t="n">
        <v>16940</v>
      </c>
      <c r="J1440" t="n">
        <v>11886</v>
      </c>
      <c r="K1440" s="27">
        <f>(H1440/D1440-1)</f>
        <v/>
      </c>
      <c r="L1440" s="27">
        <f>(I1440/D1440-1)</f>
        <v/>
      </c>
      <c r="M1440" s="27">
        <f>(J1440/D1440-1)</f>
        <v/>
      </c>
      <c r="N1440" t="n">
        <v>39.6</v>
      </c>
      <c r="O1440" s="28">
        <f>(N1440+F1440)/2</f>
        <v/>
      </c>
      <c r="P1440">
        <f>IF(O1440="計算不能","計算不能",IF(O1440&gt;=80,5,IF(O1440&gt;=60,4,IF(O1440&gt;=40,3,IF(O1440&gt;=28,2,1)))))</f>
        <v/>
      </c>
      <c r="Q1440" t="n">
        <v>2702</v>
      </c>
      <c r="R1440" t="n">
        <v>1060</v>
      </c>
      <c r="S1440" s="27">
        <f>R1440/Q1440</f>
        <v/>
      </c>
      <c r="T1440" t="inlineStr">
        <is>
          <t>須崎市は2045年までに人口が約36.6%減と急激な過疎・超高齢化が進行。若年労働世代の流出と自然減が重なり、賃貸事業としての持続性は極めて限定的。</t>
        </is>
      </c>
      <c r="U1440" t="inlineStr">
        <is>
          <t>須崎市は人口密度135人/km²と過疎的水準で、民間賃貸の新規需要は薄い。実需に裏付けられた格安戸建ての指値取得のみが現実的。 借家の空室率は約39%と供給過多気味で、空室長期化リスクに要警戒。</t>
        </is>
      </c>
      <c r="V1440" t="inlineStr">
        <is>
          <t>須崎市（高知県）：南海トラフ津波の想定が全国最深級。四万十川・物部川の氾濫、深層崩壊に最大級の留意。</t>
        </is>
      </c>
    </row>
    <row r="1441">
      <c r="A1441" t="inlineStr">
        <is>
          <t>高知県</t>
        </is>
      </c>
      <c r="B1441" t="inlineStr">
        <is>
          <t>宿毛市</t>
        </is>
      </c>
      <c r="C1441" t="n">
        <v>8210</v>
      </c>
      <c r="D1441" t="n">
        <v>17349</v>
      </c>
      <c r="E1441" s="6" t="n">
        <v>60.2</v>
      </c>
      <c r="F1441" s="7" t="n">
        <v>16</v>
      </c>
      <c r="G1441" t="n">
        <v>19033</v>
      </c>
      <c r="H1441" t="n">
        <v>17349</v>
      </c>
      <c r="I1441" t="n">
        <v>15717</v>
      </c>
      <c r="J1441" t="n">
        <v>11072</v>
      </c>
      <c r="K1441" s="27">
        <f>(H1441/D1441-1)</f>
        <v/>
      </c>
      <c r="L1441" s="27">
        <f>(I1441/D1441-1)</f>
        <v/>
      </c>
      <c r="M1441" s="27">
        <f>(J1441/D1441-1)</f>
        <v/>
      </c>
      <c r="N1441" t="n">
        <v>39.9</v>
      </c>
      <c r="O1441" s="28">
        <f>(N1441+F1441)/2</f>
        <v/>
      </c>
      <c r="P1441">
        <f>IF(O1441="計算不能","計算不能",IF(O1441&gt;=80,5,IF(O1441&gt;=60,4,IF(O1441&gt;=40,3,IF(O1441&gt;=28,2,1)))))</f>
        <v/>
      </c>
      <c r="Q1441" t="n">
        <v>2470</v>
      </c>
      <c r="R1441" t="n">
        <v>750</v>
      </c>
      <c r="S1441" s="27">
        <f>R1441/Q1441</f>
        <v/>
      </c>
      <c r="T1441" t="inlineStr">
        <is>
          <t>宿毛市は2045年までに人口が約36.2%減と急激な過疎・超高齢化が進行。若年労働世代の流出と自然減が重なり、賃貸事業としての持続性は極めて限定的。</t>
        </is>
      </c>
      <c r="U1441" t="inlineStr">
        <is>
          <t>宿毛市は人口密度60人/km²と過疎的水準で、民間賃貸の新規需要は薄い。実需に裏付けられた格安戸建ての指値取得のみが現実的。 借家の空室率は約30%と供給過多気味で、空室長期化リスクに要警戒。</t>
        </is>
      </c>
      <c r="V1441" t="inlineStr">
        <is>
          <t>宿毛市（高知県）：南海トラフ津波の想定が全国最深級。四万十川・物部川の氾濫、深層崩壊に最大級の留意。</t>
        </is>
      </c>
    </row>
    <row r="1442">
      <c r="A1442" t="inlineStr">
        <is>
          <t>高知県</t>
        </is>
      </c>
      <c r="B1442" t="inlineStr">
        <is>
          <t>土佐清水市</t>
        </is>
      </c>
      <c r="C1442" t="n">
        <v>6000</v>
      </c>
      <c r="D1442" t="n">
        <v>10962</v>
      </c>
      <c r="E1442" s="6" t="n">
        <v>39.1</v>
      </c>
      <c r="F1442" s="7" t="n">
        <v>13.9</v>
      </c>
      <c r="G1442" t="n">
        <v>12388</v>
      </c>
      <c r="H1442" t="n">
        <v>10962</v>
      </c>
      <c r="I1442" t="n">
        <v>9598</v>
      </c>
      <c r="J1442" t="n">
        <v>6062</v>
      </c>
      <c r="K1442" s="27">
        <f>(H1442/D1442-1)</f>
        <v/>
      </c>
      <c r="L1442" s="27">
        <f>(I1442/D1442-1)</f>
        <v/>
      </c>
      <c r="M1442" s="27">
        <f>(J1442/D1442-1)</f>
        <v/>
      </c>
      <c r="N1442" t="n">
        <v>34.7</v>
      </c>
      <c r="O1442" s="28">
        <f>(N1442+F1442)/2</f>
        <v/>
      </c>
      <c r="P1442">
        <f>IF(O1442="計算不能","計算不能",IF(O1442&gt;=80,5,IF(O1442&gt;=60,4,IF(O1442&gt;=40,3,IF(O1442&gt;=28,2,1)))))</f>
        <v/>
      </c>
      <c r="Q1442" t="n">
        <v>1805</v>
      </c>
      <c r="R1442" t="n">
        <v>580</v>
      </c>
      <c r="S1442" s="27">
        <f>R1442/Q1442</f>
        <v/>
      </c>
      <c r="T1442" t="inlineStr">
        <is>
          <t>土佐清水市は2045年までに人口が約44.7%減と急激な過疎・超高齢化が進行。若年労働世代の流出と自然減が重なり、賃貸事業としての持続性は極めて限定的。</t>
        </is>
      </c>
      <c r="U1442" t="inlineStr">
        <is>
          <t>土佐清水市は人口密度39人/km²と過疎的水準で、民間賃貸の新規需要は薄い。実需に裏付けられた格安戸建ての指値取得のみが現実的。 借家の空室率は約32%と供給過多気味で、空室長期化リスクに要警戒。</t>
        </is>
      </c>
      <c r="V1442" t="inlineStr">
        <is>
          <t>土佐清水市（高知県）：南海トラフ津波の想定が全国最深級。四万十川・物部川の氾濫、深層崩壊に最大級の留意。</t>
        </is>
      </c>
    </row>
    <row r="1443">
      <c r="A1443" t="inlineStr">
        <is>
          <t>高知県</t>
        </is>
      </c>
      <c r="B1443" t="inlineStr">
        <is>
          <t>四万十市</t>
        </is>
      </c>
      <c r="C1443" t="n">
        <v>14290</v>
      </c>
      <c r="D1443" t="n">
        <v>30604</v>
      </c>
      <c r="E1443" s="6" t="n">
        <v>48.2</v>
      </c>
      <c r="F1443" s="7" t="n">
        <v>14.8</v>
      </c>
      <c r="G1443" t="n">
        <v>32694</v>
      </c>
      <c r="H1443" t="n">
        <v>30604</v>
      </c>
      <c r="I1443" t="n">
        <v>28596</v>
      </c>
      <c r="J1443" t="n">
        <v>22410</v>
      </c>
      <c r="K1443" s="27">
        <f>(H1443/D1443-1)</f>
        <v/>
      </c>
      <c r="L1443" s="27">
        <f>(I1443/D1443-1)</f>
        <v/>
      </c>
      <c r="M1443" s="27">
        <f>(J1443/D1443-1)</f>
        <v/>
      </c>
      <c r="N1443" t="n">
        <v>45.4</v>
      </c>
      <c r="O1443" s="28">
        <f>(N1443+F1443)/2</f>
        <v/>
      </c>
      <c r="P1443">
        <f>IF(O1443="計算不能","計算不能",IF(O1443&gt;=80,5,IF(O1443&gt;=60,4,IF(O1443&gt;=40,3,IF(O1443&gt;=28,2,1)))))</f>
        <v/>
      </c>
      <c r="Q1443" t="n">
        <v>4300</v>
      </c>
      <c r="R1443" t="n">
        <v>950</v>
      </c>
      <c r="S1443" s="27">
        <f>R1443/Q1443</f>
        <v/>
      </c>
      <c r="T1443" t="inlineStr">
        <is>
          <t>四万十市は2045年までに人口が約26.8%減と明確な減少トレンド。高齢化の進行と世帯数の縮小により、中長期では賃貸需要の構造的縮小に警戒が必要。</t>
        </is>
      </c>
      <c r="U1443" t="inlineStr">
        <is>
          <t>四万十市は人口密度48人/km²と過疎的水準で、民間賃貸の新規需要は薄い。実需に裏付けられた格安戸建ての指値取得のみが現実的。 借家の空室率は約22%とやや高めで、競合との差別化が必要。</t>
        </is>
      </c>
      <c r="V1443" t="inlineStr">
        <is>
          <t>四万十市（高知県）：南海トラフ津波の想定が全国最深級。四万十川・物部川の氾濫、深層崩壊に最大級の留意。</t>
        </is>
      </c>
    </row>
    <row r="1444">
      <c r="A1444" t="inlineStr">
        <is>
          <t>高知県</t>
        </is>
      </c>
      <c r="B1444" t="inlineStr">
        <is>
          <t>香南市</t>
        </is>
      </c>
      <c r="C1444" t="n">
        <v>13720</v>
      </c>
      <c r="D1444" t="n">
        <v>31197</v>
      </c>
      <c r="E1444" s="6" t="n">
        <v>247.5</v>
      </c>
      <c r="F1444" s="7" t="n">
        <v>32.4</v>
      </c>
      <c r="G1444" t="n">
        <v>32207</v>
      </c>
      <c r="H1444" t="n">
        <v>31197</v>
      </c>
      <c r="I1444" t="n">
        <v>30026</v>
      </c>
      <c r="J1444" t="n">
        <v>26102</v>
      </c>
      <c r="K1444" s="27">
        <f>(H1444/D1444-1)</f>
        <v/>
      </c>
      <c r="L1444" s="27">
        <f>(I1444/D1444-1)</f>
        <v/>
      </c>
      <c r="M1444" s="27">
        <f>(J1444/D1444-1)</f>
        <v/>
      </c>
      <c r="N1444" t="n">
        <v>58.3</v>
      </c>
      <c r="O1444" s="28">
        <f>(N1444+F1444)/2</f>
        <v/>
      </c>
      <c r="P1444">
        <f>IF(O1444="計算不能","計算不能",IF(O1444&gt;=80,5,IF(O1444&gt;=60,4,IF(O1444&gt;=40,3,IF(O1444&gt;=28,2,1)))))</f>
        <v/>
      </c>
      <c r="Q1444" t="n">
        <v>4128</v>
      </c>
      <c r="R1444" t="n">
        <v>840</v>
      </c>
      <c r="S1444" s="27">
        <f>R1444/Q1444</f>
        <v/>
      </c>
      <c r="T1444" t="inlineStr">
        <is>
          <t>香南市は2045年までに人口が約16.3%減と明確な減少トレンド。高齢化の進行と世帯数の縮小により、中長期では賃貸需要の構造的縮小に警戒が必要。</t>
        </is>
      </c>
      <c r="U1444" t="inlineStr">
        <is>
          <t>香南市は人口密度248人/km²と低密度で、賃貸需要は限定的。持ち家比率が高く、駐車場完備の戸建て賃貸が有利。 借家の空室率は約20%とやや高めで、競合との差別化が必要。</t>
        </is>
      </c>
      <c r="V1444" t="inlineStr">
        <is>
          <t>香南市（高知県）：南海トラフ津波の想定が全国最深級。四万十川・物部川の氾濫、深層崩壊に最大級の留意。</t>
        </is>
      </c>
    </row>
    <row r="1445">
      <c r="A1445" t="inlineStr">
        <is>
          <t>高知県</t>
        </is>
      </c>
      <c r="B1445" t="inlineStr">
        <is>
          <t>香美市</t>
        </is>
      </c>
      <c r="C1445" t="n">
        <v>11760</v>
      </c>
      <c r="D1445" t="n">
        <v>24986</v>
      </c>
      <c r="E1445" s="6" t="n">
        <v>45.4</v>
      </c>
      <c r="F1445" s="7" t="n">
        <v>14.5</v>
      </c>
      <c r="G1445" t="n">
        <v>26513</v>
      </c>
      <c r="H1445" t="n">
        <v>24986</v>
      </c>
      <c r="I1445" t="n">
        <v>23207</v>
      </c>
      <c r="J1445" t="n">
        <v>18537</v>
      </c>
      <c r="K1445" s="27">
        <f>(H1445/D1445-1)</f>
        <v/>
      </c>
      <c r="L1445" s="27">
        <f>(I1445/D1445-1)</f>
        <v/>
      </c>
      <c r="M1445" s="27">
        <f>(J1445/D1445-1)</f>
        <v/>
      </c>
      <c r="N1445" t="n">
        <v>46.6</v>
      </c>
      <c r="O1445" s="28">
        <f>(N1445+F1445)/2</f>
        <v/>
      </c>
      <c r="P1445">
        <f>IF(O1445="計算不能","計算不能",IF(O1445&gt;=80,5,IF(O1445&gt;=60,4,IF(O1445&gt;=40,3,IF(O1445&gt;=28,2,1)))))</f>
        <v/>
      </c>
      <c r="Q1445" t="n">
        <v>3538</v>
      </c>
      <c r="R1445" t="n">
        <v>590</v>
      </c>
      <c r="S1445" s="27">
        <f>R1445/Q1445</f>
        <v/>
      </c>
      <c r="T1445" t="inlineStr">
        <is>
          <t>香美市は2045年までに人口が約25.8%減と明確な減少トレンド。高齢化の進行と世帯数の縮小により、中長期では賃貸需要の構造的縮小に警戒が必要。</t>
        </is>
      </c>
      <c r="U1445" t="inlineStr">
        <is>
          <t>香美市は人口密度45人/km²と過疎的水準で、民間賃貸の新規需要は薄い。実需に裏付けられた格安戸建ての指値取得のみが現実的。 借家の空室率は約17%と需給は比較的引き締まっている。</t>
        </is>
      </c>
      <c r="V1445" t="inlineStr">
        <is>
          <t>香美市（高知県）：南海トラフ津波の想定が全国最深級。四万十川・物部川の氾濫、深層崩壊に最大級の留意。</t>
        </is>
      </c>
    </row>
    <row r="1446">
      <c r="A1446" t="inlineStr">
        <is>
          <t>高知県</t>
        </is>
      </c>
      <c r="B1446" t="inlineStr">
        <is>
          <t>東洋町</t>
        </is>
      </c>
      <c r="C1446" t="n">
        <v>1293</v>
      </c>
      <c r="D1446" t="n">
        <v>1909</v>
      </c>
      <c r="E1446" s="6" t="n">
        <v>25</v>
      </c>
      <c r="F1446" s="7" t="n">
        <v>12.5</v>
      </c>
      <c r="G1446" t="n">
        <v>2194</v>
      </c>
      <c r="H1446" t="n">
        <v>1909</v>
      </c>
      <c r="I1446" t="n">
        <v>1671</v>
      </c>
      <c r="J1446" t="n">
        <v>1042</v>
      </c>
      <c r="K1446" s="27">
        <f>(H1446/D1446-1)</f>
        <v/>
      </c>
      <c r="L1446" s="27">
        <f>(I1446/D1446-1)</f>
        <v/>
      </c>
      <c r="M1446" s="27">
        <f>(J1446/D1446-1)</f>
        <v/>
      </c>
      <c r="N1446" t="n">
        <v>33.3</v>
      </c>
      <c r="O1446" s="28">
        <f>(N1446+F1446)/2</f>
        <v/>
      </c>
      <c r="P1446">
        <f>IF(O1446="計算不能","計算不能",IF(O1446&gt;=80,5,IF(O1446&gt;=60,4,IF(O1446&gt;=40,3,IF(O1446&gt;=28,2,1)))))</f>
        <v/>
      </c>
      <c r="Q1446" t="n">
        <v>389</v>
      </c>
      <c r="R1446" t="n">
        <v>0</v>
      </c>
      <c r="S1446" s="27">
        <f>R1446/Q1446</f>
        <v/>
      </c>
      <c r="T1446" t="inlineStr">
        <is>
          <t>東洋町は2045年までに人口が約45.4%減と急激な過疎・超高齢化が進行。若年労働世代の流出と自然減が重なり、賃貸事業としての持続性は極めて限定的。</t>
        </is>
      </c>
      <c r="U1446" t="inlineStr">
        <is>
          <t>東洋町は人口密度25人/km²と過疎的水準で、民間賃貸の新規需要は薄い。実需に裏付けられた格安戸建ての指値取得のみが現実的。 借家の空室率は約0%と需給は比較的引き締まっている。</t>
        </is>
      </c>
      <c r="V1446" t="inlineStr">
        <is>
          <t>東洋町（高知県）：南海トラフ津波の想定が全国最深級。四万十川・物部川の氾濫、深層崩壊に最大級の留意。</t>
        </is>
      </c>
    </row>
    <row r="1447">
      <c r="A1447" t="inlineStr">
        <is>
          <t>高知県</t>
        </is>
      </c>
      <c r="B1447" t="inlineStr">
        <is>
          <t>奈半利町</t>
        </is>
      </c>
      <c r="C1447" t="n">
        <v>1641</v>
      </c>
      <c r="D1447" t="n">
        <v>2821</v>
      </c>
      <c r="E1447" s="6" t="n">
        <v>96</v>
      </c>
      <c r="F1447" s="7" t="n">
        <v>19.6</v>
      </c>
      <c r="G1447" t="n">
        <v>3034</v>
      </c>
      <c r="H1447" t="n">
        <v>2821</v>
      </c>
      <c r="I1447" t="n">
        <v>2595</v>
      </c>
      <c r="J1447" t="n">
        <v>1943</v>
      </c>
      <c r="K1447" s="27">
        <f>(H1447/D1447-1)</f>
        <v/>
      </c>
      <c r="L1447" s="27">
        <f>(I1447/D1447-1)</f>
        <v/>
      </c>
      <c r="M1447" s="27">
        <f>(J1447/D1447-1)</f>
        <v/>
      </c>
      <c r="N1447" t="n">
        <v>43.1</v>
      </c>
      <c r="O1447" s="28">
        <f>(N1447+F1447)/2</f>
        <v/>
      </c>
      <c r="P1447">
        <f>IF(O1447="計算不能","計算不能",IF(O1447&gt;=80,5,IF(O1447&gt;=60,4,IF(O1447&gt;=40,3,IF(O1447&gt;=28,2,1)))))</f>
        <v/>
      </c>
      <c r="Q1447" t="n">
        <v>493</v>
      </c>
      <c r="R1447" t="n">
        <v>0</v>
      </c>
      <c r="S1447" s="27">
        <f>R1447/Q1447</f>
        <v/>
      </c>
      <c r="T1447" t="inlineStr">
        <is>
          <t>奈半利町は2045年までに人口が約31.1%減と急激な過疎・超高齢化が進行。若年労働世代の流出と自然減が重なり、賃貸事業としての持続性は極めて限定的。</t>
        </is>
      </c>
      <c r="U1447" t="inlineStr">
        <is>
          <t>奈半利町は人口密度96人/km²と過疎的水準で、民間賃貸の新規需要は薄い。実需に裏付けられた格安戸建ての指値取得のみが現実的。 借家の空室率は約0%と需給は比較的引き締まっている。</t>
        </is>
      </c>
      <c r="V1447" t="inlineStr">
        <is>
          <t>奈半利町（高知県）：南海トラフ津波の想定が全国最深級。四万十川・物部川の氾濫、深層崩壊に最大級の留意。</t>
        </is>
      </c>
    </row>
    <row r="1448">
      <c r="A1448" t="inlineStr">
        <is>
          <t>高知県</t>
        </is>
      </c>
      <c r="B1448" t="inlineStr">
        <is>
          <t>田野町</t>
        </is>
      </c>
      <c r="C1448" t="n">
        <v>1266</v>
      </c>
      <c r="D1448" t="n">
        <v>2270</v>
      </c>
      <c r="E1448" s="6" t="n">
        <v>346.6</v>
      </c>
      <c r="F1448" s="7" t="n">
        <v>37.3</v>
      </c>
      <c r="G1448" t="n">
        <v>2498</v>
      </c>
      <c r="H1448" t="n">
        <v>2270</v>
      </c>
      <c r="I1448" t="n">
        <v>2030</v>
      </c>
      <c r="J1448" t="n">
        <v>1426</v>
      </c>
      <c r="K1448" s="27">
        <f>(H1448/D1448-1)</f>
        <v/>
      </c>
      <c r="L1448" s="27">
        <f>(I1448/D1448-1)</f>
        <v/>
      </c>
      <c r="M1448" s="27">
        <f>(J1448/D1448-1)</f>
        <v/>
      </c>
      <c r="N1448" t="n">
        <v>39.1</v>
      </c>
      <c r="O1448" s="28">
        <f>(N1448+F1448)/2</f>
        <v/>
      </c>
      <c r="P1448">
        <f>IF(O1448="計算不能","計算不能",IF(O1448&gt;=80,5,IF(O1448&gt;=60,4,IF(O1448&gt;=40,3,IF(O1448&gt;=28,2,1)))))</f>
        <v/>
      </c>
      <c r="Q1448" t="n">
        <v>380</v>
      </c>
      <c r="R1448" t="n">
        <v>0</v>
      </c>
      <c r="S1448" s="27">
        <f>R1448/Q1448</f>
        <v/>
      </c>
      <c r="T1448" t="inlineStr">
        <is>
          <t>田野町は2045年までに人口が約37.2%減と急激な過疎・超高齢化が進行。若年労働世代の流出と自然減が重なり、賃貸事業としての持続性は極めて限定的。</t>
        </is>
      </c>
      <c r="U1448" t="inlineStr">
        <is>
          <t>田野町は人口密度347人/km²と低密度で、賃貸需要は限定的。持ち家比率が高く、駐車場完備の戸建て賃貸が有利。 借家の空室率は約0%と需給は比較的引き締まっている。</t>
        </is>
      </c>
      <c r="V1448" t="inlineStr">
        <is>
          <t>田野町（高知県）：南海トラフ津波の想定が全国最深級。四万十川・物部川の氾濫、深層崩壊に最大級の留意。</t>
        </is>
      </c>
    </row>
    <row r="1449">
      <c r="A1449" t="inlineStr">
        <is>
          <t>高知県</t>
        </is>
      </c>
      <c r="B1449" t="inlineStr">
        <is>
          <t>安田町</t>
        </is>
      </c>
      <c r="C1449" t="n">
        <v>1174</v>
      </c>
      <c r="D1449" t="n">
        <v>2092</v>
      </c>
      <c r="E1449" s="6" t="n">
        <v>38.6</v>
      </c>
      <c r="F1449" s="7" t="n">
        <v>13.9</v>
      </c>
      <c r="G1449" t="n">
        <v>2370</v>
      </c>
      <c r="H1449" t="n">
        <v>2092</v>
      </c>
      <c r="I1449" t="n">
        <v>1847</v>
      </c>
      <c r="J1449" t="n">
        <v>1216</v>
      </c>
      <c r="K1449" s="27">
        <f>(H1449/D1449-1)</f>
        <v/>
      </c>
      <c r="L1449" s="27">
        <f>(I1449/D1449-1)</f>
        <v/>
      </c>
      <c r="M1449" s="27">
        <f>(J1449/D1449-1)</f>
        <v/>
      </c>
      <c r="N1449" t="n">
        <v>35.4</v>
      </c>
      <c r="O1449" s="28">
        <f>(N1449+F1449)/2</f>
        <v/>
      </c>
      <c r="P1449">
        <f>IF(O1449="計算不能","計算不能",IF(O1449&gt;=80,5,IF(O1449&gt;=60,4,IF(O1449&gt;=40,3,IF(O1449&gt;=28,2,1)))))</f>
        <v/>
      </c>
      <c r="Q1449" t="n">
        <v>353</v>
      </c>
      <c r="R1449" t="n">
        <v>0</v>
      </c>
      <c r="S1449" s="27">
        <f>R1449/Q1449</f>
        <v/>
      </c>
      <c r="T1449" t="inlineStr">
        <is>
          <t>安田町は2045年までに人口が約41.9%減と急激な過疎・超高齢化が進行。若年労働世代の流出と自然減が重なり、賃貸事業としての持続性は極めて限定的。</t>
        </is>
      </c>
      <c r="U1449" t="inlineStr">
        <is>
          <t>安田町は人口密度39人/km²と過疎的水準で、民間賃貸の新規需要は薄い。実需に裏付けられた格安戸建ての指値取得のみが現実的。 借家の空室率は約0%と需給は比較的引き締まっている。</t>
        </is>
      </c>
      <c r="V1449" t="inlineStr">
        <is>
          <t>安田町（高知県）：南海トラフ津波の想定が全国最深級。四万十川・物部川の氾濫、深層崩壊に最大級の留意。</t>
        </is>
      </c>
    </row>
    <row r="1450">
      <c r="A1450" t="inlineStr">
        <is>
          <t>高知県</t>
        </is>
      </c>
      <c r="B1450" t="inlineStr">
        <is>
          <t>北川村</t>
        </is>
      </c>
      <c r="C1450" t="n">
        <v>624</v>
      </c>
      <c r="D1450" t="n">
        <v>1027</v>
      </c>
      <c r="E1450" s="6" t="n">
        <v>5.5</v>
      </c>
      <c r="F1450" s="7" t="n">
        <v>10.6</v>
      </c>
      <c r="G1450" t="n">
        <v>1146</v>
      </c>
      <c r="H1450" t="n">
        <v>1027</v>
      </c>
      <c r="I1450" t="n">
        <v>913</v>
      </c>
      <c r="J1450" t="n">
        <v>651</v>
      </c>
      <c r="K1450" s="27">
        <f>(H1450/D1450-1)</f>
        <v/>
      </c>
      <c r="L1450" s="27">
        <f>(I1450/D1450-1)</f>
        <v/>
      </c>
      <c r="M1450" s="27">
        <f>(J1450/D1450-1)</f>
        <v/>
      </c>
      <c r="N1450" t="n">
        <v>37.9</v>
      </c>
      <c r="O1450" s="28">
        <f>(N1450+F1450)/2</f>
        <v/>
      </c>
      <c r="P1450">
        <f>IF(O1450="計算不能","計算不能",IF(O1450&gt;=80,5,IF(O1450&gt;=60,4,IF(O1450&gt;=40,3,IF(O1450&gt;=28,2,1)))))</f>
        <v/>
      </c>
      <c r="Q1450" t="n">
        <v>187</v>
      </c>
      <c r="R1450" t="n">
        <v>0</v>
      </c>
      <c r="S1450" s="27">
        <f>R1450/Q1450</f>
        <v/>
      </c>
      <c r="T1450" t="inlineStr">
        <is>
          <t>北川村は2045年までに人口が約36.6%減と急激な過疎・超高齢化が進行。若年労働世代の流出と自然減が重なり、賃貸事業としての持続性は極めて限定的。</t>
        </is>
      </c>
      <c r="U1450" t="inlineStr">
        <is>
          <t>北川村は人口密度6人/km²と過疎的水準で、民間賃貸の新規需要は薄い。実需に裏付けられた格安戸建ての指値取得のみが現実的。 借家の空室率は約0%と需給は比較的引き締まっている。</t>
        </is>
      </c>
      <c r="V1450" t="inlineStr">
        <is>
          <t>北川村（高知県）：南海トラフ津波の想定が全国最深級。四万十川・物部川の氾濫、深層崩壊に最大級の留意。</t>
        </is>
      </c>
    </row>
    <row r="1451">
      <c r="A1451" t="inlineStr">
        <is>
          <t>高知県</t>
        </is>
      </c>
      <c r="B1451" t="inlineStr">
        <is>
          <t>馬路村</t>
        </is>
      </c>
      <c r="C1451" t="n">
        <v>405</v>
      </c>
      <c r="D1451" t="n">
        <v>656</v>
      </c>
      <c r="E1451" s="6" t="n">
        <v>3.9</v>
      </c>
      <c r="F1451" s="7" t="n">
        <v>10.4</v>
      </c>
      <c r="G1451" t="n">
        <v>745</v>
      </c>
      <c r="H1451" t="n">
        <v>656</v>
      </c>
      <c r="I1451" t="n">
        <v>568</v>
      </c>
      <c r="J1451" t="n">
        <v>392</v>
      </c>
      <c r="K1451" s="27">
        <f>(H1451/D1451-1)</f>
        <v/>
      </c>
      <c r="L1451" s="27">
        <f>(I1451/D1451-1)</f>
        <v/>
      </c>
      <c r="M1451" s="27">
        <f>(J1451/D1451-1)</f>
        <v/>
      </c>
      <c r="N1451" t="n">
        <v>35.1</v>
      </c>
      <c r="O1451" s="28">
        <f>(N1451+F1451)/2</f>
        <v/>
      </c>
      <c r="P1451">
        <f>IF(O1451="計算不能","計算不能",IF(O1451&gt;=80,5,IF(O1451&gt;=60,4,IF(O1451&gt;=40,3,IF(O1451&gt;=28,2,1)))))</f>
        <v/>
      </c>
      <c r="Q1451" t="n">
        <v>121</v>
      </c>
      <c r="R1451" t="n">
        <v>0</v>
      </c>
      <c r="S1451" s="27">
        <f>R1451/Q1451</f>
        <v/>
      </c>
      <c r="T1451" t="inlineStr">
        <is>
          <t>馬路村は2045年までに人口が約40.2%減と急激な過疎・超高齢化が進行。若年労働世代の流出と自然減が重なり、賃貸事業としての持続性は極めて限定的。</t>
        </is>
      </c>
      <c r="U1451" t="inlineStr">
        <is>
          <t>馬路村は人口密度4人/km²と過疎的水準で、民間賃貸の新規需要は薄い。実需に裏付けられた格安戸建ての指値取得のみが現実的。 借家の空室率は約0%と需給は比較的引き締まっている。</t>
        </is>
      </c>
      <c r="V1451" t="inlineStr">
        <is>
          <t>馬路村（高知県）：南海トラフ津波の想定が全国最深級。四万十川・物部川の氾濫、深層崩壊に最大級の留意。</t>
        </is>
      </c>
    </row>
    <row r="1452">
      <c r="A1452" t="inlineStr">
        <is>
          <t>高知県</t>
        </is>
      </c>
      <c r="B1452" t="inlineStr">
        <is>
          <t>芸西村</t>
        </is>
      </c>
      <c r="C1452" t="n">
        <v>1773</v>
      </c>
      <c r="D1452" t="n">
        <v>3487</v>
      </c>
      <c r="E1452" s="6" t="n">
        <v>89.7</v>
      </c>
      <c r="F1452" s="7" t="n">
        <v>19</v>
      </c>
      <c r="G1452" t="n">
        <v>3694</v>
      </c>
      <c r="H1452" t="n">
        <v>3487</v>
      </c>
      <c r="I1452" t="n">
        <v>3319</v>
      </c>
      <c r="J1452" t="n">
        <v>2732</v>
      </c>
      <c r="K1452" s="27">
        <f>(H1452/D1452-1)</f>
        <v/>
      </c>
      <c r="L1452" s="27">
        <f>(I1452/D1452-1)</f>
        <v/>
      </c>
      <c r="M1452" s="27">
        <f>(J1452/D1452-1)</f>
        <v/>
      </c>
      <c r="N1452" t="n">
        <v>50.4</v>
      </c>
      <c r="O1452" s="28">
        <f>(N1452+F1452)/2</f>
        <v/>
      </c>
      <c r="P1452">
        <f>IF(O1452="計算不能","計算不能",IF(O1452&gt;=80,5,IF(O1452&gt;=60,4,IF(O1452&gt;=40,3,IF(O1452&gt;=28,2,1)))))</f>
        <v/>
      </c>
      <c r="Q1452" t="n">
        <v>533</v>
      </c>
      <c r="R1452" t="n">
        <v>0</v>
      </c>
      <c r="S1452" s="27">
        <f>R1452/Q1452</f>
        <v/>
      </c>
      <c r="T1452" t="inlineStr">
        <is>
          <t>芸西村は2045年までに人口が約21.7%減と明確な減少トレンド。高齢化の進行と世帯数の縮小により、中長期では賃貸需要の構造的縮小に警戒が必要。</t>
        </is>
      </c>
      <c r="U1452" t="inlineStr">
        <is>
          <t>芸西村は人口密度90人/km²と過疎的水準で、民間賃貸の新規需要は薄い。実需に裏付けられた格安戸建ての指値取得のみが現実的。 借家の空室率は約0%と需給は比較的引き締まっている。</t>
        </is>
      </c>
      <c r="V1452" t="inlineStr">
        <is>
          <t>芸西村（高知県）：南海トラフ津波の想定が全国最深級。四万十川・物部川の氾濫、深層崩壊に最大級の留意。</t>
        </is>
      </c>
    </row>
    <row r="1453">
      <c r="A1453" t="inlineStr">
        <is>
          <t>高知県</t>
        </is>
      </c>
      <c r="B1453" t="inlineStr">
        <is>
          <t>本山町</t>
        </is>
      </c>
      <c r="C1453" t="n">
        <v>1767</v>
      </c>
      <c r="D1453" t="n">
        <v>2912</v>
      </c>
      <c r="E1453" s="6" t="n">
        <v>22.5</v>
      </c>
      <c r="F1453" s="7" t="n">
        <v>12.2</v>
      </c>
      <c r="G1453" t="n">
        <v>3261</v>
      </c>
      <c r="H1453" t="n">
        <v>2912</v>
      </c>
      <c r="I1453" t="n">
        <v>2593</v>
      </c>
      <c r="J1453" t="n">
        <v>1821</v>
      </c>
      <c r="K1453" s="27">
        <f>(H1453/D1453-1)</f>
        <v/>
      </c>
      <c r="L1453" s="27">
        <f>(I1453/D1453-1)</f>
        <v/>
      </c>
      <c r="M1453" s="27">
        <f>(J1453/D1453-1)</f>
        <v/>
      </c>
      <c r="N1453" t="n">
        <v>37.5</v>
      </c>
      <c r="O1453" s="28">
        <f>(N1453+F1453)/2</f>
        <v/>
      </c>
      <c r="P1453">
        <f>IF(O1453="計算不能","計算不能",IF(O1453&gt;=80,5,IF(O1453&gt;=60,4,IF(O1453&gt;=40,3,IF(O1453&gt;=28,2,1)))))</f>
        <v/>
      </c>
      <c r="Q1453" t="n">
        <v>531</v>
      </c>
      <c r="R1453" t="n">
        <v>0</v>
      </c>
      <c r="S1453" s="27">
        <f>R1453/Q1453</f>
        <v/>
      </c>
      <c r="T1453" t="inlineStr">
        <is>
          <t>本山町は2045年までに人口が約37.5%減と急激な過疎・超高齢化が進行。若年労働世代の流出と自然減が重なり、賃貸事業としての持続性は極めて限定的。</t>
        </is>
      </c>
      <c r="U1453" t="inlineStr">
        <is>
          <t>本山町は人口密度22人/km²と過疎的水準で、民間賃貸の新規需要は薄い。実需に裏付けられた格安戸建ての指値取得のみが現実的。 借家の空室率は約0%と需給は比較的引き締まっている。</t>
        </is>
      </c>
      <c r="V1453" t="inlineStr">
        <is>
          <t>本山町（高知県）：南海トラフ津波の想定が全国最深級。四万十川・物部川の氾濫、深層崩壊に最大級の留意。</t>
        </is>
      </c>
    </row>
    <row r="1454">
      <c r="A1454" t="inlineStr">
        <is>
          <t>高知県</t>
        </is>
      </c>
      <c r="B1454" t="inlineStr">
        <is>
          <t>大豊町</t>
        </is>
      </c>
      <c r="C1454" t="n">
        <v>1822</v>
      </c>
      <c r="D1454" t="n">
        <v>2753</v>
      </c>
      <c r="E1454" s="6" t="n">
        <v>8.800000000000001</v>
      </c>
      <c r="F1454" s="7" t="n">
        <v>10.9</v>
      </c>
      <c r="G1454" t="n">
        <v>3252</v>
      </c>
      <c r="H1454" t="n">
        <v>2753</v>
      </c>
      <c r="I1454" t="n">
        <v>2297</v>
      </c>
      <c r="J1454" t="n">
        <v>1264</v>
      </c>
      <c r="K1454" s="27">
        <f>(H1454/D1454-1)</f>
        <v/>
      </c>
      <c r="L1454" s="27">
        <f>(I1454/D1454-1)</f>
        <v/>
      </c>
      <c r="M1454" s="27">
        <f>(J1454/D1454-1)</f>
        <v/>
      </c>
      <c r="N1454" t="n">
        <v>29.2</v>
      </c>
      <c r="O1454" s="28">
        <f>(N1454+F1454)/2</f>
        <v/>
      </c>
      <c r="P1454">
        <f>IF(O1454="計算不能","計算不能",IF(O1454&gt;=80,5,IF(O1454&gt;=60,4,IF(O1454&gt;=40,3,IF(O1454&gt;=28,2,1)))))</f>
        <v/>
      </c>
      <c r="Q1454" t="n">
        <v>548</v>
      </c>
      <c r="R1454" t="n">
        <v>0</v>
      </c>
      <c r="S1454" s="27">
        <f>R1454/Q1454</f>
        <v/>
      </c>
      <c r="T1454" t="inlineStr">
        <is>
          <t>大豊町は2045年までに人口が約54.1%減と急激な過疎・超高齢化が進行。若年労働世代の流出と自然減が重なり、賃貸事業としての持続性は極めて限定的。</t>
        </is>
      </c>
      <c r="U1454" t="inlineStr">
        <is>
          <t>大豊町は人口密度9人/km²と過疎的水準で、民間賃貸の新規需要は薄い。実需に裏付けられた格安戸建ての指値取得のみが現実的。 借家の空室率は約0%と需給は比較的引き締まっている。</t>
        </is>
      </c>
      <c r="V1454" t="inlineStr">
        <is>
          <t>大豊町（高知県）：南海トラフ津波の想定が全国最深級。四万十川・物部川の氾濫、深層崩壊に最大級の留意。</t>
        </is>
      </c>
    </row>
    <row r="1455">
      <c r="A1455" t="inlineStr">
        <is>
          <t>高知県</t>
        </is>
      </c>
      <c r="B1455" t="inlineStr">
        <is>
          <t>土佐町</t>
        </is>
      </c>
      <c r="C1455" t="n">
        <v>1859</v>
      </c>
      <c r="D1455" t="n">
        <v>3415</v>
      </c>
      <c r="E1455" s="6" t="n">
        <v>16.2</v>
      </c>
      <c r="F1455" s="7" t="n">
        <v>11.6</v>
      </c>
      <c r="G1455" t="n">
        <v>3753</v>
      </c>
      <c r="H1455" t="n">
        <v>3415</v>
      </c>
      <c r="I1455" t="n">
        <v>3121</v>
      </c>
      <c r="J1455" t="n">
        <v>2384</v>
      </c>
      <c r="K1455" s="27">
        <f>(H1455/D1455-1)</f>
        <v/>
      </c>
      <c r="L1455" s="27">
        <f>(I1455/D1455-1)</f>
        <v/>
      </c>
      <c r="M1455" s="27">
        <f>(J1455/D1455-1)</f>
        <v/>
      </c>
      <c r="N1455" t="n">
        <v>41.4</v>
      </c>
      <c r="O1455" s="28">
        <f>(N1455+F1455)/2</f>
        <v/>
      </c>
      <c r="P1455">
        <f>IF(O1455="計算不能","計算不能",IF(O1455&gt;=80,5,IF(O1455&gt;=60,4,IF(O1455&gt;=40,3,IF(O1455&gt;=28,2,1)))))</f>
        <v/>
      </c>
      <c r="Q1455" t="n">
        <v>559</v>
      </c>
      <c r="R1455" t="n">
        <v>0</v>
      </c>
      <c r="S1455" s="27">
        <f>R1455/Q1455</f>
        <v/>
      </c>
      <c r="T1455" t="inlineStr">
        <is>
          <t>土佐町は2045年までに人口が約30.2%減と急激な過疎・超高齢化が進行。若年労働世代の流出と自然減が重なり、賃貸事業としての持続性は極めて限定的。</t>
        </is>
      </c>
      <c r="U1455" t="inlineStr">
        <is>
          <t>土佐町は人口密度16人/km²と過疎的水準で、民間賃貸の新規需要は薄い。実需に裏付けられた格安戸建ての指値取得のみが現実的。 借家の空室率は約0%と需給は比較的引き締まっている。</t>
        </is>
      </c>
      <c r="V1455" t="inlineStr">
        <is>
          <t>土佐町（高知県）：南海トラフ津波の想定が全国最深級。四万十川・物部川の氾濫、深層崩壊に最大級の留意。</t>
        </is>
      </c>
    </row>
    <row r="1456">
      <c r="A1456" t="inlineStr">
        <is>
          <t>高知県</t>
        </is>
      </c>
      <c r="B1456" t="inlineStr">
        <is>
          <t>大川村</t>
        </is>
      </c>
      <c r="C1456" t="n">
        <v>213</v>
      </c>
      <c r="D1456" t="n">
        <v>312</v>
      </c>
      <c r="E1456" s="6" t="n">
        <v>3.6</v>
      </c>
      <c r="F1456" s="7" t="n">
        <v>10.4</v>
      </c>
      <c r="G1456" t="n">
        <v>366</v>
      </c>
      <c r="H1456" t="n">
        <v>312</v>
      </c>
      <c r="I1456" t="n">
        <v>270</v>
      </c>
      <c r="J1456" t="n">
        <v>193</v>
      </c>
      <c r="K1456" s="27">
        <f>(H1456/D1456-1)</f>
        <v/>
      </c>
      <c r="L1456" s="27">
        <f>(I1456/D1456-1)</f>
        <v/>
      </c>
      <c r="M1456" s="27">
        <f>(J1456/D1456-1)</f>
        <v/>
      </c>
      <c r="N1456" t="n">
        <v>33.1</v>
      </c>
      <c r="O1456" s="28">
        <f>(N1456+F1456)/2</f>
        <v/>
      </c>
      <c r="P1456">
        <f>IF(O1456="計算不能","計算不能",IF(O1456&gt;=80,5,IF(O1456&gt;=60,4,IF(O1456&gt;=40,3,IF(O1456&gt;=28,2,1)))))</f>
        <v/>
      </c>
      <c r="Q1456" t="n">
        <v>64</v>
      </c>
      <c r="R1456" t="n">
        <v>0</v>
      </c>
      <c r="S1456" s="27">
        <f>R1456/Q1456</f>
        <v/>
      </c>
      <c r="T1456" t="inlineStr">
        <is>
          <t>大川村は2045年までに人口が約38.1%減と急激な過疎・超高齢化が進行。若年労働世代の流出と自然減が重なり、賃貸事業としての持続性は極めて限定的。</t>
        </is>
      </c>
      <c r="U1456" t="inlineStr">
        <is>
          <t>大川村は人口密度4人/km²と過疎的水準で、民間賃貸の新規需要は薄い。実需に裏付けられた格安戸建ての指値取得のみが現実的。 借家の空室率は約0%と需給は比較的引き締まっている。</t>
        </is>
      </c>
      <c r="V1456" t="inlineStr">
        <is>
          <t>大川村（高知県）：南海トラフ津波の想定が全国最深級。四万十川・物部川の氾濫、深層崩壊に最大級の留意。</t>
        </is>
      </c>
    </row>
    <row r="1457">
      <c r="A1457" t="inlineStr">
        <is>
          <t>高知県</t>
        </is>
      </c>
      <c r="B1457" t="inlineStr">
        <is>
          <t>いの町</t>
        </is>
      </c>
      <c r="C1457" t="n">
        <v>8650</v>
      </c>
      <c r="D1457" t="n">
        <v>19592</v>
      </c>
      <c r="E1457" s="6" t="n">
        <v>41.8</v>
      </c>
      <c r="F1457" s="7" t="n">
        <v>14.2</v>
      </c>
      <c r="G1457" t="n">
        <v>21374</v>
      </c>
      <c r="H1457" t="n">
        <v>19592</v>
      </c>
      <c r="I1457" t="n">
        <v>17836</v>
      </c>
      <c r="J1457" t="n">
        <v>12548</v>
      </c>
      <c r="K1457" s="27">
        <f>(H1457/D1457-1)</f>
        <v/>
      </c>
      <c r="L1457" s="27">
        <f>(I1457/D1457-1)</f>
        <v/>
      </c>
      <c r="M1457" s="27">
        <f>(J1457/D1457-1)</f>
        <v/>
      </c>
      <c r="N1457" t="n">
        <v>40.5</v>
      </c>
      <c r="O1457" s="28">
        <f>(N1457+F1457)/2</f>
        <v/>
      </c>
      <c r="P1457">
        <f>IF(O1457="計算不能","計算不能",IF(O1457&gt;=80,5,IF(O1457&gt;=60,4,IF(O1457&gt;=40,3,IF(O1457&gt;=28,2,1)))))</f>
        <v/>
      </c>
      <c r="Q1457" t="n">
        <v>2602</v>
      </c>
      <c r="R1457" t="n">
        <v>610</v>
      </c>
      <c r="S1457" s="27">
        <f>R1457/Q1457</f>
        <v/>
      </c>
      <c r="T1457" t="inlineStr">
        <is>
          <t>いの町は2045年までに人口が約36.0%減と急激な過疎・超高齢化が進行。若年労働世代の流出と自然減が重なり、賃貸事業としての持続性は極めて限定的。</t>
        </is>
      </c>
      <c r="U1457" t="inlineStr">
        <is>
          <t>いの町は人口密度42人/km²と過疎的水準で、民間賃貸の新規需要は薄い。実需に裏付けられた格安戸建ての指値取得のみが現実的。 借家の空室率は約23%とやや高めで、競合との差別化が必要。</t>
        </is>
      </c>
      <c r="V1457" t="inlineStr">
        <is>
          <t>いの町（高知県）：南海トラフ津波の想定が全国最深級。四万十川・物部川の氾濫、深層崩壊に最大級の留意。</t>
        </is>
      </c>
    </row>
    <row r="1458">
      <c r="A1458" t="inlineStr">
        <is>
          <t>高知県</t>
        </is>
      </c>
      <c r="B1458" t="inlineStr">
        <is>
          <t>仁淀川町</t>
        </is>
      </c>
      <c r="C1458" t="n">
        <v>2589</v>
      </c>
      <c r="D1458" t="n">
        <v>4147</v>
      </c>
      <c r="E1458" s="6" t="n">
        <v>12.1</v>
      </c>
      <c r="F1458" s="7" t="n">
        <v>11.2</v>
      </c>
      <c r="G1458" t="n">
        <v>4827</v>
      </c>
      <c r="H1458" t="n">
        <v>4147</v>
      </c>
      <c r="I1458" t="n">
        <v>3548</v>
      </c>
      <c r="J1458" t="n">
        <v>2164</v>
      </c>
      <c r="K1458" s="27">
        <f>(H1458/D1458-1)</f>
        <v/>
      </c>
      <c r="L1458" s="27">
        <f>(I1458/D1458-1)</f>
        <v/>
      </c>
      <c r="M1458" s="27">
        <f>(J1458/D1458-1)</f>
        <v/>
      </c>
      <c r="N1458" t="n">
        <v>31.3</v>
      </c>
      <c r="O1458" s="28">
        <f>(N1458+F1458)/2</f>
        <v/>
      </c>
      <c r="P1458">
        <f>IF(O1458="計算不能","計算不能",IF(O1458&gt;=80,5,IF(O1458&gt;=60,4,IF(O1458&gt;=40,3,IF(O1458&gt;=28,2,1)))))</f>
        <v/>
      </c>
      <c r="Q1458" t="n">
        <v>779</v>
      </c>
      <c r="R1458" t="n">
        <v>0</v>
      </c>
      <c r="S1458" s="27">
        <f>R1458/Q1458</f>
        <v/>
      </c>
      <c r="T1458" t="inlineStr">
        <is>
          <t>仁淀川町は2045年までに人口が約47.8%減と急激な過疎・超高齢化が進行。若年労働世代の流出と自然減が重なり、賃貸事業としての持続性は極めて限定的。</t>
        </is>
      </c>
      <c r="U1458" t="inlineStr">
        <is>
          <t>仁淀川町は人口密度12人/km²と過疎的水準で、民間賃貸の新規需要は薄い。実需に裏付けられた格安戸建ての指値取得のみが現実的。 借家の空室率は約0%と需給は比較的引き締まっている。</t>
        </is>
      </c>
      <c r="V1458" t="inlineStr">
        <is>
          <t>仁淀川町（高知県）：南海トラフ津波の想定が全国最深級。四万十川・物部川の氾濫、深層崩壊に最大級の留意。</t>
        </is>
      </c>
    </row>
    <row r="1459">
      <c r="A1459" t="inlineStr">
        <is>
          <t>高知県</t>
        </is>
      </c>
      <c r="B1459" t="inlineStr">
        <is>
          <t>中土佐町</t>
        </is>
      </c>
      <c r="C1459" t="n">
        <v>3250</v>
      </c>
      <c r="D1459" t="n">
        <v>5289</v>
      </c>
      <c r="E1459" s="6" t="n">
        <v>27.5</v>
      </c>
      <c r="F1459" s="7" t="n">
        <v>12.8</v>
      </c>
      <c r="G1459" t="n">
        <v>6002</v>
      </c>
      <c r="H1459" t="n">
        <v>5289</v>
      </c>
      <c r="I1459" t="n">
        <v>4636</v>
      </c>
      <c r="J1459" t="n">
        <v>2952</v>
      </c>
      <c r="K1459" s="27">
        <f>(H1459/D1459-1)</f>
        <v/>
      </c>
      <c r="L1459" s="27">
        <f>(I1459/D1459-1)</f>
        <v/>
      </c>
      <c r="M1459" s="27">
        <f>(J1459/D1459-1)</f>
        <v/>
      </c>
      <c r="N1459" t="n">
        <v>34.6</v>
      </c>
      <c r="O1459" s="28">
        <f>(N1459+F1459)/2</f>
        <v/>
      </c>
      <c r="P1459">
        <f>IF(O1459="計算不能","計算不能",IF(O1459&gt;=80,5,IF(O1459&gt;=60,4,IF(O1459&gt;=40,3,IF(O1459&gt;=28,2,1)))))</f>
        <v/>
      </c>
      <c r="Q1459" t="n">
        <v>977</v>
      </c>
      <c r="R1459" t="n">
        <v>0</v>
      </c>
      <c r="S1459" s="27">
        <f>R1459/Q1459</f>
        <v/>
      </c>
      <c r="T1459" t="inlineStr">
        <is>
          <t>中土佐町は2045年までに人口が約44.2%減と急激な過疎・超高齢化が進行。若年労働世代の流出と自然減が重なり、賃貸事業としての持続性は極めて限定的。</t>
        </is>
      </c>
      <c r="U1459" t="inlineStr">
        <is>
          <t>中土佐町は人口密度28人/km²と過疎的水準で、民間賃貸の新規需要は薄い。実需に裏付けられた格安戸建ての指値取得のみが現実的。 借家の空室率は約0%と需給は比較的引き締まっている。</t>
        </is>
      </c>
      <c r="V1459" t="inlineStr">
        <is>
          <t>中土佐町（高知県）：南海トラフ津波の想定が全国最深級。四万十川・物部川の氾濫、深層崩壊に最大級の留意。</t>
        </is>
      </c>
    </row>
    <row r="1460">
      <c r="A1460" t="inlineStr">
        <is>
          <t>高知県</t>
        </is>
      </c>
      <c r="B1460" t="inlineStr">
        <is>
          <t>佐川町</t>
        </is>
      </c>
      <c r="C1460" t="n">
        <v>5901</v>
      </c>
      <c r="D1460" t="n">
        <v>11489</v>
      </c>
      <c r="E1460" s="6" t="n">
        <v>111.7</v>
      </c>
      <c r="F1460" s="7" t="n">
        <v>21.2</v>
      </c>
      <c r="G1460" t="n">
        <v>12323</v>
      </c>
      <c r="H1460" t="n">
        <v>11489</v>
      </c>
      <c r="I1460" t="n">
        <v>10623</v>
      </c>
      <c r="J1460" t="n">
        <v>8126</v>
      </c>
      <c r="K1460" s="27">
        <f>(H1460/D1460-1)</f>
        <v/>
      </c>
      <c r="L1460" s="27">
        <f>(I1460/D1460-1)</f>
        <v/>
      </c>
      <c r="M1460" s="27">
        <f>(J1460/D1460-1)</f>
        <v/>
      </c>
      <c r="N1460" t="n">
        <v>43.9</v>
      </c>
      <c r="O1460" s="28">
        <f>(N1460+F1460)/2</f>
        <v/>
      </c>
      <c r="P1460">
        <f>IF(O1460="計算不能","計算不能",IF(O1460&gt;=80,5,IF(O1460&gt;=60,4,IF(O1460&gt;=40,3,IF(O1460&gt;=28,2,1)))))</f>
        <v/>
      </c>
      <c r="Q1460" t="n">
        <v>1775</v>
      </c>
      <c r="R1460" t="n">
        <v>0</v>
      </c>
      <c r="S1460" s="27">
        <f>R1460/Q1460</f>
        <v/>
      </c>
      <c r="T1460" t="inlineStr">
        <is>
          <t>佐川町は2045年までに人口が約29.3%減と明確な減少トレンド。高齢化の進行と世帯数の縮小により、中長期では賃貸需要の構造的縮小に警戒が必要。</t>
        </is>
      </c>
      <c r="U1460" t="inlineStr">
        <is>
          <t>佐川町は人口密度112人/km²と過疎的水準で、民間賃貸の新規需要は薄い。実需に裏付けられた格安戸建ての指値取得のみが現実的。 借家の空室率は約0%と需給は比較的引き締まっている。</t>
        </is>
      </c>
      <c r="V1460" t="inlineStr">
        <is>
          <t>佐川町（高知県）：南海トラフ津波の想定が全国最深級。四万十川・物部川の氾濫、深層崩壊に最大級の留意。</t>
        </is>
      </c>
    </row>
    <row r="1461">
      <c r="A1461" t="inlineStr">
        <is>
          <t>高知県</t>
        </is>
      </c>
      <c r="B1461" t="inlineStr">
        <is>
          <t>越知町</t>
        </is>
      </c>
      <c r="C1461" t="n">
        <v>2540</v>
      </c>
      <c r="D1461" t="n">
        <v>4622</v>
      </c>
      <c r="E1461" s="6" t="n">
        <v>39.6</v>
      </c>
      <c r="F1461" s="7" t="n">
        <v>14</v>
      </c>
      <c r="G1461" t="n">
        <v>5187</v>
      </c>
      <c r="H1461" t="n">
        <v>4622</v>
      </c>
      <c r="I1461" t="n">
        <v>4150</v>
      </c>
      <c r="J1461" t="n">
        <v>2888</v>
      </c>
      <c r="K1461" s="27">
        <f>(H1461/D1461-1)</f>
        <v/>
      </c>
      <c r="L1461" s="27">
        <f>(I1461/D1461-1)</f>
        <v/>
      </c>
      <c r="M1461" s="27">
        <f>(J1461/D1461-1)</f>
        <v/>
      </c>
      <c r="N1461" t="n">
        <v>37.6</v>
      </c>
      <c r="O1461" s="28">
        <f>(N1461+F1461)/2</f>
        <v/>
      </c>
      <c r="P1461">
        <f>IF(O1461="計算不能","計算不能",IF(O1461&gt;=80,5,IF(O1461&gt;=60,4,IF(O1461&gt;=40,3,IF(O1461&gt;=28,2,1)))))</f>
        <v/>
      </c>
      <c r="Q1461" t="n">
        <v>764</v>
      </c>
      <c r="R1461" t="n">
        <v>0</v>
      </c>
      <c r="S1461" s="27">
        <f>R1461/Q1461</f>
        <v/>
      </c>
      <c r="T1461" t="inlineStr">
        <is>
          <t>越知町は2045年までに人口が約37.5%減と急激な過疎・超高齢化が進行。若年労働世代の流出と自然減が重なり、賃貸事業としての持続性は極めて限定的。</t>
        </is>
      </c>
      <c r="U1461" t="inlineStr">
        <is>
          <t>越知町は人口密度40人/km²と過疎的水準で、民間賃貸の新規需要は薄い。実需に裏付けられた格安戸建ての指値取得のみが現実的。 借家の空室率は約0%と需給は比較的引き締まっている。</t>
        </is>
      </c>
      <c r="V1461" t="inlineStr">
        <is>
          <t>越知町（高知県）：南海トラフ津波の想定が全国最深級。四万十川・物部川の氾濫、深層崩壊に最大級の留意。</t>
        </is>
      </c>
    </row>
    <row r="1462">
      <c r="A1462" t="inlineStr">
        <is>
          <t>高知県</t>
        </is>
      </c>
      <c r="B1462" t="inlineStr">
        <is>
          <t>檮原町</t>
        </is>
      </c>
      <c r="C1462" t="n">
        <v>1689</v>
      </c>
      <c r="D1462" t="n">
        <v>2909</v>
      </c>
      <c r="E1462" s="6" t="n">
        <v>12.3</v>
      </c>
      <c r="F1462" s="7" t="n">
        <v>11.2</v>
      </c>
      <c r="G1462" t="n">
        <v>3307</v>
      </c>
      <c r="H1462" t="n">
        <v>2909</v>
      </c>
      <c r="I1462" t="n">
        <v>2548</v>
      </c>
      <c r="J1462" t="n">
        <v>1642</v>
      </c>
      <c r="K1462" s="27">
        <f>(H1462/D1462-1)</f>
        <v/>
      </c>
      <c r="L1462" s="27">
        <f>(I1462/D1462-1)</f>
        <v/>
      </c>
      <c r="M1462" s="27">
        <f>(J1462/D1462-1)</f>
        <v/>
      </c>
      <c r="N1462" t="n">
        <v>34.6</v>
      </c>
      <c r="O1462" s="28">
        <f>(N1462+F1462)/2</f>
        <v/>
      </c>
      <c r="P1462">
        <f>IF(O1462="計算不能","計算不能",IF(O1462&gt;=80,5,IF(O1462&gt;=60,4,IF(O1462&gt;=40,3,IF(O1462&gt;=28,2,1)))))</f>
        <v/>
      </c>
      <c r="Q1462" t="n">
        <v>508</v>
      </c>
      <c r="R1462" t="n">
        <v>0</v>
      </c>
      <c r="S1462" s="27">
        <f>R1462/Q1462</f>
        <v/>
      </c>
      <c r="T1462" t="inlineStr">
        <is>
          <t>檮原町は2045年までに人口が約43.6%減と急激な過疎・超高齢化が進行。若年労働世代の流出と自然減が重なり、賃貸事業としての持続性は極めて限定的。</t>
        </is>
      </c>
      <c r="U1462" t="inlineStr">
        <is>
          <t>檮原町は人口密度12人/km²と過疎的水準で、民間賃貸の新規需要は薄い。実需に裏付けられた格安戸建ての指値取得のみが現実的。 借家の空室率は約0%と需給は比較的引き締まっている。</t>
        </is>
      </c>
      <c r="V1462" t="inlineStr">
        <is>
          <t>檮原町（高知県）：南海トラフ津波の想定が全国最深級。四万十川・物部川の氾濫、深層崩壊に最大級の留意。</t>
        </is>
      </c>
    </row>
    <row r="1463">
      <c r="A1463" t="inlineStr">
        <is>
          <t>高知県</t>
        </is>
      </c>
      <c r="B1463" t="inlineStr">
        <is>
          <t>日高村</t>
        </is>
      </c>
      <c r="C1463" t="n">
        <v>2405</v>
      </c>
      <c r="D1463" t="n">
        <v>4462</v>
      </c>
      <c r="E1463" s="6" t="n">
        <v>98.40000000000001</v>
      </c>
      <c r="F1463" s="7" t="n">
        <v>19.8</v>
      </c>
      <c r="G1463" t="n">
        <v>4812</v>
      </c>
      <c r="H1463" t="n">
        <v>4462</v>
      </c>
      <c r="I1463" t="n">
        <v>4115</v>
      </c>
      <c r="J1463" t="n">
        <v>2999</v>
      </c>
      <c r="K1463" s="27">
        <f>(H1463/D1463-1)</f>
        <v/>
      </c>
      <c r="L1463" s="27">
        <f>(I1463/D1463-1)</f>
        <v/>
      </c>
      <c r="M1463" s="27">
        <f>(J1463/D1463-1)</f>
        <v/>
      </c>
      <c r="N1463" t="n">
        <v>42.6</v>
      </c>
      <c r="O1463" s="28">
        <f>(N1463+F1463)/2</f>
        <v/>
      </c>
      <c r="P1463">
        <f>IF(O1463="計算不能","計算不能",IF(O1463&gt;=80,5,IF(O1463&gt;=60,4,IF(O1463&gt;=40,3,IF(O1463&gt;=28,2,1)))))</f>
        <v/>
      </c>
      <c r="Q1463" t="n">
        <v>723</v>
      </c>
      <c r="R1463" t="n">
        <v>0</v>
      </c>
      <c r="S1463" s="27">
        <f>R1463/Q1463</f>
        <v/>
      </c>
      <c r="T1463" t="inlineStr">
        <is>
          <t>日高村は2045年までに人口が約32.8%減と急激な過疎・超高齢化が進行。若年労働世代の流出と自然減が重なり、賃貸事業としての持続性は極めて限定的。</t>
        </is>
      </c>
      <c r="U1463" t="inlineStr">
        <is>
          <t>日高村は人口密度98人/km²と過疎的水準で、民間賃貸の新規需要は薄い。実需に裏付けられた格安戸建ての指値取得のみが現実的。 借家の空室率は約0%と需給は比較的引き締まっている。</t>
        </is>
      </c>
      <c r="V1463" t="inlineStr">
        <is>
          <t>日高村（高知県）：南海トラフ津波の想定が全国最深級。四万十川・物部川の氾濫、深層崩壊に最大級の留意。</t>
        </is>
      </c>
    </row>
    <row r="1464">
      <c r="A1464" t="inlineStr">
        <is>
          <t>高知県</t>
        </is>
      </c>
      <c r="B1464" t="inlineStr">
        <is>
          <t>津野町</t>
        </is>
      </c>
      <c r="C1464" t="n">
        <v>2560</v>
      </c>
      <c r="D1464" t="n">
        <v>4773</v>
      </c>
      <c r="E1464" s="6" t="n">
        <v>23.6</v>
      </c>
      <c r="F1464" s="7" t="n">
        <v>12.4</v>
      </c>
      <c r="G1464" t="n">
        <v>5291</v>
      </c>
      <c r="H1464" t="n">
        <v>4773</v>
      </c>
      <c r="I1464" t="n">
        <v>4269</v>
      </c>
      <c r="J1464" t="n">
        <v>3012</v>
      </c>
      <c r="K1464" s="27">
        <f>(H1464/D1464-1)</f>
        <v/>
      </c>
      <c r="L1464" s="27">
        <f>(I1464/D1464-1)</f>
        <v/>
      </c>
      <c r="M1464" s="27">
        <f>(J1464/D1464-1)</f>
        <v/>
      </c>
      <c r="N1464" t="n">
        <v>38.6</v>
      </c>
      <c r="O1464" s="28">
        <f>(N1464+F1464)/2</f>
        <v/>
      </c>
      <c r="P1464">
        <f>IF(O1464="計算不能","計算不能",IF(O1464&gt;=80,5,IF(O1464&gt;=60,4,IF(O1464&gt;=40,3,IF(O1464&gt;=28,2,1)))))</f>
        <v/>
      </c>
      <c r="Q1464" t="n">
        <v>770</v>
      </c>
      <c r="R1464" t="n">
        <v>0</v>
      </c>
      <c r="S1464" s="27">
        <f>R1464/Q1464</f>
        <v/>
      </c>
      <c r="T1464" t="inlineStr">
        <is>
          <t>津野町は2045年までに人口が約36.9%減と急激な過疎・超高齢化が進行。若年労働世代の流出と自然減が重なり、賃貸事業としての持続性は極めて限定的。</t>
        </is>
      </c>
      <c r="U1464" t="inlineStr">
        <is>
          <t>津野町は人口密度24人/km²と過疎的水準で、民間賃貸の新規需要は薄い。実需に裏付けられた格安戸建ての指値取得のみが現実的。 借家の空室率は約0%と需給は比較的引き締まっている。</t>
        </is>
      </c>
      <c r="V1464" t="inlineStr">
        <is>
          <t>津野町（高知県）：南海トラフ津波の想定が全国最深級。四万十川・物部川の氾濫、深層崩壊に最大級の留意。</t>
        </is>
      </c>
    </row>
    <row r="1465">
      <c r="A1465" t="inlineStr">
        <is>
          <t>高知県</t>
        </is>
      </c>
      <c r="B1465" t="inlineStr">
        <is>
          <t>四万十町</t>
        </is>
      </c>
      <c r="C1465" t="n">
        <v>6660</v>
      </c>
      <c r="D1465" t="n">
        <v>13797</v>
      </c>
      <c r="E1465" s="6" t="n">
        <v>21.6</v>
      </c>
      <c r="F1465" s="7" t="n">
        <v>12.2</v>
      </c>
      <c r="G1465" t="n">
        <v>15607</v>
      </c>
      <c r="H1465" t="n">
        <v>13797</v>
      </c>
      <c r="I1465" t="n">
        <v>12424</v>
      </c>
      <c r="J1465" t="n">
        <v>8687</v>
      </c>
      <c r="K1465" s="27">
        <f>(H1465/D1465-1)</f>
        <v/>
      </c>
      <c r="L1465" s="27">
        <f>(I1465/D1465-1)</f>
        <v/>
      </c>
      <c r="M1465" s="27">
        <f>(J1465/D1465-1)</f>
        <v/>
      </c>
      <c r="N1465" t="n">
        <v>37.1</v>
      </c>
      <c r="O1465" s="28">
        <f>(N1465+F1465)/2</f>
        <v/>
      </c>
      <c r="P1465">
        <f>IF(O1465="計算不能","計算不能",IF(O1465&gt;=80,5,IF(O1465&gt;=60,4,IF(O1465&gt;=40,3,IF(O1465&gt;=28,2,1)))))</f>
        <v/>
      </c>
      <c r="Q1465" t="n">
        <v>2004</v>
      </c>
      <c r="R1465" t="n">
        <v>50</v>
      </c>
      <c r="S1465" s="27">
        <f>R1465/Q1465</f>
        <v/>
      </c>
      <c r="T1465" t="inlineStr">
        <is>
          <t>四万十町は2045年までに人口が約37.0%減と急激な過疎・超高齢化が進行。若年労働世代の流出と自然減が重なり、賃貸事業としての持続性は極めて限定的。</t>
        </is>
      </c>
      <c r="U1465" t="inlineStr">
        <is>
          <t>四万十町は人口密度22人/km²と過疎的水準で、民間賃貸の新規需要は薄い。実需に裏付けられた格安戸建ての指値取得のみが現実的。 借家の空室率は約2%と需給は比較的引き締まっている。</t>
        </is>
      </c>
      <c r="V1465" t="inlineStr">
        <is>
          <t>四万十町（高知県）：南海トラフ津波の想定が全国最深級。四万十川・物部川の氾濫、深層崩壊に最大級の留意。</t>
        </is>
      </c>
    </row>
    <row r="1466">
      <c r="A1466" t="inlineStr">
        <is>
          <t>高知県</t>
        </is>
      </c>
      <c r="B1466" t="inlineStr">
        <is>
          <t>大月町</t>
        </is>
      </c>
      <c r="C1466" t="n">
        <v>2475</v>
      </c>
      <c r="D1466" t="n">
        <v>3887</v>
      </c>
      <c r="E1466" s="6" t="n">
        <v>38</v>
      </c>
      <c r="F1466" s="7" t="n">
        <v>13.8</v>
      </c>
      <c r="G1466" t="n">
        <v>4434</v>
      </c>
      <c r="H1466" t="n">
        <v>3887</v>
      </c>
      <c r="I1466" t="n">
        <v>3406</v>
      </c>
      <c r="J1466" t="n">
        <v>2155</v>
      </c>
      <c r="K1466" s="27">
        <f>(H1466/D1466-1)</f>
        <v/>
      </c>
      <c r="L1466" s="27">
        <f>(I1466/D1466-1)</f>
        <v/>
      </c>
      <c r="M1466" s="27">
        <f>(J1466/D1466-1)</f>
        <v/>
      </c>
      <c r="N1466" t="n">
        <v>34.1</v>
      </c>
      <c r="O1466" s="28">
        <f>(N1466+F1466)/2</f>
        <v/>
      </c>
      <c r="P1466">
        <f>IF(O1466="計算不能","計算不能",IF(O1466&gt;=80,5,IF(O1466&gt;=60,4,IF(O1466&gt;=40,3,IF(O1466&gt;=28,2,1)))))</f>
        <v/>
      </c>
      <c r="Q1466" t="n">
        <v>744</v>
      </c>
      <c r="R1466" t="n">
        <v>0</v>
      </c>
      <c r="S1466" s="27">
        <f>R1466/Q1466</f>
        <v/>
      </c>
      <c r="T1466" t="inlineStr">
        <is>
          <t>大月町は2045年までに人口が約44.6%減と急激な過疎・超高齢化が進行。若年労働世代の流出と自然減が重なり、賃貸事業としての持続性は極めて限定的。</t>
        </is>
      </c>
      <c r="U1466" t="inlineStr">
        <is>
          <t>大月町は人口密度38人/km²と過疎的水準で、民間賃貸の新規需要は薄い。実需に裏付けられた格安戸建ての指値取得のみが現実的。 借家の空室率は約0%と需給は比較的引き締まっている。</t>
        </is>
      </c>
      <c r="V1466" t="inlineStr">
        <is>
          <t>大月町（高知県）：南海トラフ津波の想定が全国最深級。四万十川・物部川の氾濫、深層崩壊に最大級の留意。</t>
        </is>
      </c>
    </row>
    <row r="1467">
      <c r="A1467" t="inlineStr">
        <is>
          <t>高知県</t>
        </is>
      </c>
      <c r="B1467" t="inlineStr">
        <is>
          <t>三原村</t>
        </is>
      </c>
      <c r="C1467" t="n">
        <v>720</v>
      </c>
      <c r="D1467" t="n">
        <v>1291</v>
      </c>
      <c r="E1467" s="6" t="n">
        <v>14.9</v>
      </c>
      <c r="F1467" s="7" t="n">
        <v>11.5</v>
      </c>
      <c r="G1467" t="n">
        <v>1437</v>
      </c>
      <c r="H1467" t="n">
        <v>1291</v>
      </c>
      <c r="I1467" t="n">
        <v>1161</v>
      </c>
      <c r="J1467" t="n">
        <v>825</v>
      </c>
      <c r="K1467" s="27">
        <f>(H1467/D1467-1)</f>
        <v/>
      </c>
      <c r="L1467" s="27">
        <f>(I1467/D1467-1)</f>
        <v/>
      </c>
      <c r="M1467" s="27">
        <f>(J1467/D1467-1)</f>
        <v/>
      </c>
      <c r="N1467" t="n">
        <v>38.6</v>
      </c>
      <c r="O1467" s="28">
        <f>(N1467+F1467)/2</f>
        <v/>
      </c>
      <c r="P1467">
        <f>IF(O1467="計算不能","計算不能",IF(O1467&gt;=80,5,IF(O1467&gt;=60,4,IF(O1467&gt;=40,3,IF(O1467&gt;=28,2,1)))))</f>
        <v/>
      </c>
      <c r="Q1467" t="n">
        <v>216</v>
      </c>
      <c r="R1467" t="n">
        <v>0</v>
      </c>
      <c r="S1467" s="27">
        <f>R1467/Q1467</f>
        <v/>
      </c>
      <c r="T1467" t="inlineStr">
        <is>
          <t>三原村は2045年までに人口が約36.1%減と急激な過疎・超高齢化が進行。若年労働世代の流出と自然減が重なり、賃貸事業としての持続性は極めて限定的。</t>
        </is>
      </c>
      <c r="U1467" t="inlineStr">
        <is>
          <t>三原村は人口密度15人/km²と過疎的水準で、民間賃貸の新規需要は薄い。実需に裏付けられた格安戸建ての指値取得のみが現実的。 借家の空室率は約0%と需給は比較的引き締まっている。</t>
        </is>
      </c>
      <c r="V1467" t="inlineStr">
        <is>
          <t>三原村（高知県）：南海トラフ津波の想定が全国最深級。四万十川・物部川の氾濫、深層崩壊に最大級の留意。</t>
        </is>
      </c>
    </row>
    <row r="1468">
      <c r="A1468" t="inlineStr">
        <is>
          <t>高知県</t>
        </is>
      </c>
      <c r="B1468" t="inlineStr">
        <is>
          <t>黒潮町</t>
        </is>
      </c>
      <c r="C1468" t="n">
        <v>5235</v>
      </c>
      <c r="D1468" t="n">
        <v>9275</v>
      </c>
      <c r="E1468" s="6" t="n">
        <v>47.5</v>
      </c>
      <c r="F1468" s="7" t="n">
        <v>14.8</v>
      </c>
      <c r="G1468" t="n">
        <v>10262</v>
      </c>
      <c r="H1468" t="n">
        <v>9275</v>
      </c>
      <c r="I1468" t="n">
        <v>8360</v>
      </c>
      <c r="J1468" t="n">
        <v>5736</v>
      </c>
      <c r="K1468" s="27">
        <f>(H1468/D1468-1)</f>
        <v/>
      </c>
      <c r="L1468" s="27">
        <f>(I1468/D1468-1)</f>
        <v/>
      </c>
      <c r="M1468" s="27">
        <f>(J1468/D1468-1)</f>
        <v/>
      </c>
      <c r="N1468" t="n">
        <v>38.6</v>
      </c>
      <c r="O1468" s="28">
        <f>(N1468+F1468)/2</f>
        <v/>
      </c>
      <c r="P1468">
        <f>IF(O1468="計算不能","計算不能",IF(O1468&gt;=80,5,IF(O1468&gt;=60,4,IF(O1468&gt;=40,3,IF(O1468&gt;=28,2,1)))))</f>
        <v/>
      </c>
      <c r="Q1468" t="n">
        <v>1575</v>
      </c>
      <c r="R1468" t="n">
        <v>0</v>
      </c>
      <c r="S1468" s="27">
        <f>R1468/Q1468</f>
        <v/>
      </c>
      <c r="T1468" t="inlineStr">
        <is>
          <t>黒潮町は2045年までに人口が約38.2%減と急激な過疎・超高齢化が進行。若年労働世代の流出と自然減が重なり、賃貸事業としての持続性は極めて限定的。</t>
        </is>
      </c>
      <c r="U1468" t="inlineStr">
        <is>
          <t>黒潮町は人口密度48人/km²と過疎的水準で、民間賃貸の新規需要は薄い。実需に裏付けられた格安戸建ての指値取得のみが現実的。 借家の空室率は約0%と需給は比較的引き締まっている。</t>
        </is>
      </c>
      <c r="V1468" t="inlineStr">
        <is>
          <t>黒潮町（高知県）：南海トラフ津波の想定が全国最深級。四万十川・物部川の氾濫、深層崩壊に最大級の留意。</t>
        </is>
      </c>
    </row>
    <row r="1469">
      <c r="A1469" t="inlineStr">
        <is>
          <t>福岡県</t>
        </is>
      </c>
      <c r="B1469" t="inlineStr">
        <is>
          <t>北九州市</t>
        </is>
      </c>
      <c r="C1469" t="n">
        <v>435800</v>
      </c>
      <c r="D1469" t="n">
        <v>907778</v>
      </c>
      <c r="E1469" s="6" t="n">
        <v>1836.9</v>
      </c>
      <c r="F1469" s="7" t="n">
        <v>68.40000000000001</v>
      </c>
      <c r="G1469" t="n">
        <v>939029</v>
      </c>
      <c r="H1469" t="n">
        <v>907778</v>
      </c>
      <c r="I1469" t="n">
        <v>873315</v>
      </c>
      <c r="J1469" t="n">
        <v>764423</v>
      </c>
      <c r="K1469" s="27">
        <f>(H1469/D1469-1)</f>
        <v/>
      </c>
      <c r="L1469" s="27">
        <f>(I1469/D1469-1)</f>
        <v/>
      </c>
      <c r="M1469" s="27">
        <f>(J1469/D1469-1)</f>
        <v/>
      </c>
      <c r="N1469" t="n">
        <v>58.1</v>
      </c>
      <c r="O1469" s="28">
        <f>(N1469+F1469)/2</f>
        <v/>
      </c>
      <c r="P1469">
        <f>IF(O1469="計算不能","計算不能",IF(O1469&gt;=80,5,IF(O1469&gt;=60,4,IF(O1469&gt;=40,3,IF(O1469&gt;=28,2,1)))))</f>
        <v/>
      </c>
      <c r="Q1469" t="n">
        <v>182300</v>
      </c>
      <c r="R1469" t="n">
        <v>51500</v>
      </c>
      <c r="S1469" s="27">
        <f>R1469/Q1469</f>
        <v/>
      </c>
      <c r="T1469" t="inlineStr">
        <is>
          <t>北九州市は2045年までに人口が約15.8%減と明確な減少トレンド。高齢化の進行と世帯数の縮小により、中長期では賃貸需要の構造的縮小に警戒が必要。</t>
        </is>
      </c>
      <c r="U1469" t="inlineStr">
        <is>
          <t>北九州市は人口密度1,837人/km²の都市部で、駅周辺や生活利便施設沿いに安定した賃貸需要がある。適切な家賃設定で高稼働を期待できる。 借家の空室率は約28%と供給過多気味で、空室長期化リスクに要警戒。</t>
        </is>
      </c>
      <c r="V1469" t="inlineStr">
        <is>
          <t>北九州市（福岡県）：遠賀川・筑後川の氾濫、玄界灘沿岸の高潮、北部九州豪雨型の土砂災害に注意。</t>
        </is>
      </c>
    </row>
    <row r="1470">
      <c r="A1470" t="inlineStr">
        <is>
          <t>福岡県</t>
        </is>
      </c>
      <c r="B1470" t="inlineStr">
        <is>
          <t>福岡市</t>
        </is>
      </c>
      <c r="C1470" t="n">
        <v>861500</v>
      </c>
      <c r="D1470" t="n">
        <v>1638406</v>
      </c>
      <c r="E1470" s="6" t="n">
        <v>4844.4</v>
      </c>
      <c r="F1470" s="7" t="n">
        <v>80</v>
      </c>
      <c r="G1470" t="n">
        <v>1612392</v>
      </c>
      <c r="H1470" t="n">
        <v>1638406</v>
      </c>
      <c r="I1470" t="n">
        <v>1659766</v>
      </c>
      <c r="J1470" t="n">
        <v>1647255</v>
      </c>
      <c r="K1470" s="27">
        <f>(H1470/D1470-1)</f>
        <v/>
      </c>
      <c r="L1470" s="27">
        <f>(I1470/D1470-1)</f>
        <v/>
      </c>
      <c r="M1470" s="27">
        <f>(J1470/D1470-1)</f>
        <v/>
      </c>
      <c r="N1470" t="n">
        <v>79.40000000000001</v>
      </c>
      <c r="O1470" s="28">
        <f>(N1470+F1470)/2</f>
        <v/>
      </c>
      <c r="P1470">
        <f>IF(O1470="計算不能","計算不能",IF(O1470&gt;=80,5,IF(O1470&gt;=60,4,IF(O1470&gt;=40,3,IF(O1470&gt;=28,2,1)))))</f>
        <v/>
      </c>
      <c r="Q1470" t="n">
        <v>373540</v>
      </c>
      <c r="R1470" t="n">
        <v>59300</v>
      </c>
      <c r="S1470" s="27">
        <f>R1470/Q1470</f>
        <v/>
      </c>
      <c r="T1470" t="inlineStr">
        <is>
          <t>福岡市は2045年までの人口減少率が約0.5%と全国平均より緩やかで、概ね横ばいの安定推移。生産年齢人口の維持により、賃貸需要の急減リスクは相対的に低い。【最新動向】政令市で人口増加数・増加率ともにトップクラス（推計人口約167万人）。20〜39歳が総人口の約25%と全国平均（約16%）を大きく上回り、若年流入が突出。天神ビッグバン（2026年区切り）・博多コネクティッドが進行。</t>
        </is>
      </c>
      <c r="U1470" t="inlineStr">
        <is>
          <t>福岡市は人口密度4,844人/km²の都市部で、駅周辺や生活利便施設沿いに安定した賃貸需要がある。適切な家賃設定で高稼働を期待できる。 借家の空室率は約16%と需給は比較的引き締まっている。【最新動向】若年単身者からファミリーまで幅広い賃貸需要があり、安定した家賃収入が期待できる全国有数の有望市場。再開発による都心機能強化で需要は一段と厚みを増す。</t>
        </is>
      </c>
      <c r="V1470" t="inlineStr">
        <is>
          <t>福岡市（福岡県）：遠賀川・筑後川の氾濫、玄界灘沿岸の高潮、北部九州豪雨型の土砂災害に注意。</t>
        </is>
      </c>
    </row>
    <row r="1471">
      <c r="A1471" t="inlineStr">
        <is>
          <t>福岡県</t>
        </is>
      </c>
      <c r="B1471" t="inlineStr">
        <is>
          <t>大牟田市</t>
        </is>
      </c>
      <c r="C1471" t="n">
        <v>46720</v>
      </c>
      <c r="D1471" t="n">
        <v>104141</v>
      </c>
      <c r="E1471" s="6" t="n">
        <v>1251.6</v>
      </c>
      <c r="F1471" s="7" t="n">
        <v>60</v>
      </c>
      <c r="G1471" t="n">
        <v>111281</v>
      </c>
      <c r="H1471" t="n">
        <v>104141</v>
      </c>
      <c r="I1471" t="n">
        <v>97436</v>
      </c>
      <c r="J1471" t="n">
        <v>78222</v>
      </c>
      <c r="K1471" s="27">
        <f>(H1471/D1471-1)</f>
        <v/>
      </c>
      <c r="L1471" s="27">
        <f>(I1471/D1471-1)</f>
        <v/>
      </c>
      <c r="M1471" s="27">
        <f>(J1471/D1471-1)</f>
        <v/>
      </c>
      <c r="N1471" t="n">
        <v>46.3</v>
      </c>
      <c r="O1471" s="28">
        <f>(N1471+F1471)/2</f>
        <v/>
      </c>
      <c r="P1471">
        <f>IF(O1471="計算不能","計算不能",IF(O1471&gt;=80,5,IF(O1471&gt;=60,4,IF(O1471&gt;=40,3,IF(O1471&gt;=28,2,1)))))</f>
        <v/>
      </c>
      <c r="Q1471" t="n">
        <v>20257</v>
      </c>
      <c r="R1471" t="n">
        <v>4740</v>
      </c>
      <c r="S1471" s="27">
        <f>R1471/Q1471</f>
        <v/>
      </c>
      <c r="T1471" t="inlineStr">
        <is>
          <t>大牟田市は2045年までに人口が約24.9%減と明確な減少トレンド。高齢化の進行と世帯数の縮小により、中長期では賃貸需要の構造的縮小に警戒が必要。</t>
        </is>
      </c>
      <c r="U1471" t="inlineStr">
        <is>
          <t>大牟田市は人口密度1,252人/km²で、主要道路沿いや中心市街地に一定の賃貸需要が局在。立地選別が稼働を左右する。 借家の空室率は約23%とやや高めで、競合との差別化が必要。</t>
        </is>
      </c>
      <c r="V1471" t="inlineStr">
        <is>
          <t>大牟田市（福岡県）：遠賀川・筑後川の氾濫、玄界灘沿岸の高潮、北部九州豪雨型の土砂災害に注意。</t>
        </is>
      </c>
    </row>
    <row r="1472">
      <c r="A1472" t="inlineStr">
        <is>
          <t>福岡県</t>
        </is>
      </c>
      <c r="B1472" t="inlineStr">
        <is>
          <t>久留米市</t>
        </is>
      </c>
      <c r="C1472" t="n">
        <v>131040</v>
      </c>
      <c r="D1472" t="n">
        <v>299292</v>
      </c>
      <c r="E1472" s="6" t="n">
        <v>1290.8</v>
      </c>
      <c r="F1472" s="7" t="n">
        <v>60.8</v>
      </c>
      <c r="G1472" t="n">
        <v>303316</v>
      </c>
      <c r="H1472" t="n">
        <v>299292</v>
      </c>
      <c r="I1472" t="n">
        <v>293384</v>
      </c>
      <c r="J1472" t="n">
        <v>269738</v>
      </c>
      <c r="K1472" s="27">
        <f>(H1472/D1472-1)</f>
        <v/>
      </c>
      <c r="L1472" s="27">
        <f>(I1472/D1472-1)</f>
        <v/>
      </c>
      <c r="M1472" s="27">
        <f>(J1472/D1472-1)</f>
        <v/>
      </c>
      <c r="N1472" t="n">
        <v>66.09999999999999</v>
      </c>
      <c r="O1472" s="28">
        <f>(N1472+F1472)/2</f>
        <v/>
      </c>
      <c r="P1472">
        <f>IF(O1472="計算不能","計算不能",IF(O1472&gt;=80,5,IF(O1472&gt;=60,4,IF(O1472&gt;=40,3,IF(O1472&gt;=28,2,1)))))</f>
        <v/>
      </c>
      <c r="Q1472" t="n">
        <v>56818</v>
      </c>
      <c r="R1472" t="n">
        <v>14050</v>
      </c>
      <c r="S1472" s="27">
        <f>R1472/Q1472</f>
        <v/>
      </c>
      <c r="T1472" t="inlineStr">
        <is>
          <t>久留米市は2045年までに人口が約9.9%減と緩やかな減少局面。若年層の都市部流出と高齢化が進むが、当面の賃貸稼働は一定程度維持される見通し。</t>
        </is>
      </c>
      <c r="U1472" t="inlineStr">
        <is>
          <t>久留米市は人口密度1,291人/km²で、主要道路沿いや中心市街地に一定の賃貸需要が局在。立地選別が稼働を左右する。 借家の空室率は約25%とやや高めで、競合との差別化が必要。</t>
        </is>
      </c>
      <c r="V1472" t="inlineStr">
        <is>
          <t>久留米市（福岡県）：遠賀川・筑後川の氾濫、玄界灘沿岸の高潮、北部九州豪雨型の土砂災害に注意。</t>
        </is>
      </c>
    </row>
    <row r="1473">
      <c r="A1473" t="inlineStr">
        <is>
          <t>福岡県</t>
        </is>
      </c>
      <c r="B1473" t="inlineStr">
        <is>
          <t>直方市</t>
        </is>
      </c>
      <c r="C1473" t="n">
        <v>23500</v>
      </c>
      <c r="D1473" t="n">
        <v>54692</v>
      </c>
      <c r="E1473" s="6" t="n">
        <v>867.4</v>
      </c>
      <c r="F1473" s="7" t="n">
        <v>52.3</v>
      </c>
      <c r="G1473" t="n">
        <v>56212</v>
      </c>
      <c r="H1473" t="n">
        <v>54692</v>
      </c>
      <c r="I1473" t="n">
        <v>52830</v>
      </c>
      <c r="J1473" t="n">
        <v>47097</v>
      </c>
      <c r="K1473" s="27">
        <f>(H1473/D1473-1)</f>
        <v/>
      </c>
      <c r="L1473" s="27">
        <f>(I1473/D1473-1)</f>
        <v/>
      </c>
      <c r="M1473" s="27">
        <f>(J1473/D1473-1)</f>
        <v/>
      </c>
      <c r="N1473" t="n">
        <v>60.5</v>
      </c>
      <c r="O1473" s="28">
        <f>(N1473+F1473)/2</f>
        <v/>
      </c>
      <c r="P1473">
        <f>IF(O1473="計算不能","計算不能",IF(O1473&gt;=80,5,IF(O1473&gt;=60,4,IF(O1473&gt;=40,3,IF(O1473&gt;=28,2,1)))))</f>
        <v/>
      </c>
      <c r="Q1473" t="n">
        <v>10189</v>
      </c>
      <c r="R1473" t="n">
        <v>2500</v>
      </c>
      <c r="S1473" s="27">
        <f>R1473/Q1473</f>
        <v/>
      </c>
      <c r="T1473" t="inlineStr">
        <is>
          <t>直方市は2045年までに人口が約13.9%減と緩やかな減少局面。若年層の都市部流出と高齢化が進むが、当面の賃貸稼働は一定程度維持される見通し。</t>
        </is>
      </c>
      <c r="U1473" t="inlineStr">
        <is>
          <t>直方市は人口密度867人/km²で、主要道路沿いや中心市街地に一定の賃貸需要が局在。立地選別が稼働を左右する。 借家の空室率は約25%とやや高めで、競合との差別化が必要。</t>
        </is>
      </c>
      <c r="V1473" t="inlineStr">
        <is>
          <t>直方市（福岡県）：遠賀川・筑後川の氾濫、玄界灘沿岸の高潮、北部九州豪雨型の土砂災害に注意。</t>
        </is>
      </c>
    </row>
    <row r="1474">
      <c r="A1474" t="inlineStr">
        <is>
          <t>福岡県</t>
        </is>
      </c>
      <c r="B1474" t="inlineStr">
        <is>
          <t>飯塚市</t>
        </is>
      </c>
      <c r="C1474" t="n">
        <v>56400</v>
      </c>
      <c r="D1474" t="n">
        <v>122880</v>
      </c>
      <c r="E1474" s="6" t="n">
        <v>571.7</v>
      </c>
      <c r="F1474" s="7" t="n">
        <v>46.4</v>
      </c>
      <c r="G1474" t="n">
        <v>126364</v>
      </c>
      <c r="H1474" t="n">
        <v>122880</v>
      </c>
      <c r="I1474" t="n">
        <v>118832</v>
      </c>
      <c r="J1474" t="n">
        <v>105518</v>
      </c>
      <c r="K1474" s="27">
        <f>(H1474/D1474-1)</f>
        <v/>
      </c>
      <c r="L1474" s="27">
        <f>(I1474/D1474-1)</f>
        <v/>
      </c>
      <c r="M1474" s="27">
        <f>(J1474/D1474-1)</f>
        <v/>
      </c>
      <c r="N1474" t="n">
        <v>60.4</v>
      </c>
      <c r="O1474" s="28">
        <f>(N1474+F1474)/2</f>
        <v/>
      </c>
      <c r="P1474">
        <f>IF(O1474="計算不能","計算不能",IF(O1474&gt;=80,5,IF(O1474&gt;=60,4,IF(O1474&gt;=40,3,IF(O1474&gt;=28,2,1)))))</f>
        <v/>
      </c>
      <c r="Q1474" t="n">
        <v>24454</v>
      </c>
      <c r="R1474" t="n">
        <v>7030</v>
      </c>
      <c r="S1474" s="27">
        <f>R1474/Q1474</f>
        <v/>
      </c>
      <c r="T1474" t="inlineStr">
        <is>
          <t>飯塚市は2045年までに人口が約14.1%減と緩やかな減少局面。若年層の都市部流出と高齢化が進むが、当面の賃貸稼働は一定程度維持される見通し。</t>
        </is>
      </c>
      <c r="U1474" t="inlineStr">
        <is>
          <t>飯塚市は人口密度572人/km²で、主要道路沿いや中心市街地に一定の賃貸需要が局在。立地選別が稼働を左右する。 借家の空室率は約29%と供給過多気味で、空室長期化リスクに要警戒。</t>
        </is>
      </c>
      <c r="V1474" t="inlineStr">
        <is>
          <t>飯塚市（福岡県）：遠賀川・筑後川の氾濫、玄界灘沿岸の高潮、北部九州豪雨型の土砂災害に注意。</t>
        </is>
      </c>
    </row>
    <row r="1475">
      <c r="A1475" t="inlineStr">
        <is>
          <t>福岡県</t>
        </is>
      </c>
      <c r="B1475" t="inlineStr">
        <is>
          <t>田川市</t>
        </is>
      </c>
      <c r="C1475" t="n">
        <v>20410</v>
      </c>
      <c r="D1475" t="n">
        <v>44186</v>
      </c>
      <c r="E1475" s="6" t="n">
        <v>810.7</v>
      </c>
      <c r="F1475" s="7" t="n">
        <v>51.2</v>
      </c>
      <c r="G1475" t="n">
        <v>46203</v>
      </c>
      <c r="H1475" t="n">
        <v>44186</v>
      </c>
      <c r="I1475" t="n">
        <v>42135</v>
      </c>
      <c r="J1475" t="n">
        <v>36185</v>
      </c>
      <c r="K1475" s="27">
        <f>(H1475/D1475-1)</f>
        <v/>
      </c>
      <c r="L1475" s="27">
        <f>(I1475/D1475-1)</f>
        <v/>
      </c>
      <c r="M1475" s="27">
        <f>(J1475/D1475-1)</f>
        <v/>
      </c>
      <c r="N1475" t="n">
        <v>54.5</v>
      </c>
      <c r="O1475" s="28">
        <f>(N1475+F1475)/2</f>
        <v/>
      </c>
      <c r="P1475">
        <f>IF(O1475="計算不能","計算不能",IF(O1475&gt;=80,5,IF(O1475&gt;=60,4,IF(O1475&gt;=40,3,IF(O1475&gt;=28,2,1)))))</f>
        <v/>
      </c>
      <c r="Q1475" t="n">
        <v>8849</v>
      </c>
      <c r="R1475" t="n">
        <v>3090</v>
      </c>
      <c r="S1475" s="27">
        <f>R1475/Q1475</f>
        <v/>
      </c>
      <c r="T1475" t="inlineStr">
        <is>
          <t>田川市は2045年までに人口が約18.1%減と明確な減少トレンド。高齢化の進行と世帯数の縮小により、中長期では賃貸需要の構造的縮小に警戒が必要。</t>
        </is>
      </c>
      <c r="U1475" t="inlineStr">
        <is>
          <t>田川市は人口密度811人/km²で、主要道路沿いや中心市街地に一定の賃貸需要が局在。立地選別が稼働を左右する。 借家の空室率は約35%と供給過多気味で、空室長期化リスクに要警戒。</t>
        </is>
      </c>
      <c r="V1475" t="inlineStr">
        <is>
          <t>田川市（福岡県）：遠賀川・筑後川の氾濫、玄界灘沿岸の高潮、北部九州豪雨型の土砂災害に注意。</t>
        </is>
      </c>
    </row>
    <row r="1476">
      <c r="A1476" t="inlineStr">
        <is>
          <t>福岡県</t>
        </is>
      </c>
      <c r="B1476" t="inlineStr">
        <is>
          <t>柳川市</t>
        </is>
      </c>
      <c r="C1476" t="n">
        <v>23600</v>
      </c>
      <c r="D1476" t="n">
        <v>60359</v>
      </c>
      <c r="E1476" s="6" t="n">
        <v>785.1</v>
      </c>
      <c r="F1476" s="7" t="n">
        <v>50.7</v>
      </c>
      <c r="G1476" t="n">
        <v>64475</v>
      </c>
      <c r="H1476" t="n">
        <v>60359</v>
      </c>
      <c r="I1476" t="n">
        <v>56545</v>
      </c>
      <c r="J1476" t="n">
        <v>44984</v>
      </c>
      <c r="K1476" s="27">
        <f>(H1476/D1476-1)</f>
        <v/>
      </c>
      <c r="L1476" s="27">
        <f>(I1476/D1476-1)</f>
        <v/>
      </c>
      <c r="M1476" s="27">
        <f>(J1476/D1476-1)</f>
        <v/>
      </c>
      <c r="N1476" t="n">
        <v>46.2</v>
      </c>
      <c r="O1476" s="28">
        <f>(N1476+F1476)/2</f>
        <v/>
      </c>
      <c r="P1476">
        <f>IF(O1476="計算不能","計算不能",IF(O1476&gt;=80,5,IF(O1476&gt;=60,4,IF(O1476&gt;=40,3,IF(O1476&gt;=28,2,1)))))</f>
        <v/>
      </c>
      <c r="Q1476" t="n">
        <v>10232</v>
      </c>
      <c r="R1476" t="n">
        <v>1480</v>
      </c>
      <c r="S1476" s="27">
        <f>R1476/Q1476</f>
        <v/>
      </c>
      <c r="T1476" t="inlineStr">
        <is>
          <t>柳川市は2045年までに人口が約25.5%減と明確な減少トレンド。高齢化の進行と世帯数の縮小により、中長期では賃貸需要の構造的縮小に警戒が必要。</t>
        </is>
      </c>
      <c r="U1476" t="inlineStr">
        <is>
          <t>柳川市は人口密度785人/km²で、主要道路沿いや中心市街地に一定の賃貸需要が局在。立地選別が稼働を左右する。 借家の空室率は約14%と需給は比較的引き締まっている。</t>
        </is>
      </c>
      <c r="V1476" t="inlineStr">
        <is>
          <t>柳川市（福岡県）：遠賀川・筑後川の氾濫、玄界灘沿岸の高潮、北部九州豪雨型の土砂災害に注意。</t>
        </is>
      </c>
    </row>
    <row r="1477">
      <c r="A1477" t="inlineStr">
        <is>
          <t>福岡県</t>
        </is>
      </c>
      <c r="B1477" t="inlineStr">
        <is>
          <t>八女市</t>
        </is>
      </c>
      <c r="C1477" t="n">
        <v>22280</v>
      </c>
      <c r="D1477" t="n">
        <v>57013</v>
      </c>
      <c r="E1477" s="6" t="n">
        <v>118.9</v>
      </c>
      <c r="F1477" s="7" t="n">
        <v>21.9</v>
      </c>
      <c r="G1477" t="n">
        <v>60608</v>
      </c>
      <c r="H1477" t="n">
        <v>57013</v>
      </c>
      <c r="I1477" t="n">
        <v>52813</v>
      </c>
      <c r="J1477" t="n">
        <v>40788</v>
      </c>
      <c r="K1477" s="27">
        <f>(H1477/D1477-1)</f>
        <v/>
      </c>
      <c r="L1477" s="27">
        <f>(I1477/D1477-1)</f>
        <v/>
      </c>
      <c r="M1477" s="27">
        <f>(J1477/D1477-1)</f>
        <v/>
      </c>
      <c r="N1477" t="n">
        <v>45</v>
      </c>
      <c r="O1477" s="28">
        <f>(N1477+F1477)/2</f>
        <v/>
      </c>
      <c r="P1477">
        <f>IF(O1477="計算不能","計算不能",IF(O1477&gt;=80,5,IF(O1477&gt;=60,4,IF(O1477&gt;=40,3,IF(O1477&gt;=28,2,1)))))</f>
        <v/>
      </c>
      <c r="Q1477" t="n">
        <v>9660</v>
      </c>
      <c r="R1477" t="n">
        <v>1160</v>
      </c>
      <c r="S1477" s="27">
        <f>R1477/Q1477</f>
        <v/>
      </c>
      <c r="T1477" t="inlineStr">
        <is>
          <t>八女市は2045年までに人口が約28.5%減と明確な減少トレンド。高齢化の進行と世帯数の縮小により、中長期では賃貸需要の構造的縮小に警戒が必要。</t>
        </is>
      </c>
      <c r="U1477" t="inlineStr">
        <is>
          <t>八女市は人口密度119人/km²と過疎的水準で、民間賃貸の新規需要は薄い。実需に裏付けられた格安戸建ての指値取得のみが現実的。 借家の空室率は約12%と需給は比較的引き締まっている。</t>
        </is>
      </c>
      <c r="V1477" t="inlineStr">
        <is>
          <t>八女市（福岡県）：遠賀川・筑後川の氾濫、玄界灘沿岸の高潮、北部九州豪雨型の土砂災害に注意。</t>
        </is>
      </c>
    </row>
    <row r="1478">
      <c r="A1478" t="inlineStr">
        <is>
          <t>福岡県</t>
        </is>
      </c>
      <c r="B1478" t="inlineStr">
        <is>
          <t>筑後市</t>
        </is>
      </c>
      <c r="C1478" t="n">
        <v>19380</v>
      </c>
      <c r="D1478" t="n">
        <v>48508</v>
      </c>
      <c r="E1478" s="6" t="n">
        <v>1142.2</v>
      </c>
      <c r="F1478" s="7" t="n">
        <v>57.8</v>
      </c>
      <c r="G1478" t="n">
        <v>48827</v>
      </c>
      <c r="H1478" t="n">
        <v>48508</v>
      </c>
      <c r="I1478" t="n">
        <v>47852</v>
      </c>
      <c r="J1478" t="n">
        <v>44816</v>
      </c>
      <c r="K1478" s="27">
        <f>(H1478/D1478-1)</f>
        <v/>
      </c>
      <c r="L1478" s="27">
        <f>(I1478/D1478-1)</f>
        <v/>
      </c>
      <c r="M1478" s="27">
        <f>(J1478/D1478-1)</f>
        <v/>
      </c>
      <c r="N1478" t="n">
        <v>69</v>
      </c>
      <c r="O1478" s="28">
        <f>(N1478+F1478)/2</f>
        <v/>
      </c>
      <c r="P1478">
        <f>IF(O1478="計算不能","計算不能",IF(O1478&gt;=80,5,IF(O1478&gt;=60,4,IF(O1478&gt;=40,3,IF(O1478&gt;=28,2,1)))))</f>
        <v/>
      </c>
      <c r="Q1478" t="n">
        <v>8403</v>
      </c>
      <c r="R1478" t="n">
        <v>1270</v>
      </c>
      <c r="S1478" s="27">
        <f>R1478/Q1478</f>
        <v/>
      </c>
      <c r="T1478" t="inlineStr">
        <is>
          <t>筑後市は2045年までに人口が約7.6%減と緩やかな減少局面。若年層の都市部流出と高齢化が進むが、当面の賃貸稼働は一定程度維持される見通し。</t>
        </is>
      </c>
      <c r="U1478" t="inlineStr">
        <is>
          <t>筑後市は人口密度1,142人/km²で、主要道路沿いや中心市街地に一定の賃貸需要が局在。立地選別が稼働を左右する。 借家の空室率は約15%と需給は比較的引き締まっている。</t>
        </is>
      </c>
      <c r="V1478" t="inlineStr">
        <is>
          <t>筑後市（福岡県）：遠賀川・筑後川の氾濫、玄界灘沿岸の高潮、北部九州豪雨型の土砂災害に注意。</t>
        </is>
      </c>
    </row>
    <row r="1479">
      <c r="A1479" t="inlineStr">
        <is>
          <t>福岡県</t>
        </is>
      </c>
      <c r="B1479" t="inlineStr">
        <is>
          <t>大川市</t>
        </is>
      </c>
      <c r="C1479" t="n">
        <v>12790</v>
      </c>
      <c r="D1479" t="n">
        <v>30660</v>
      </c>
      <c r="E1479" s="6" t="n">
        <v>883.9</v>
      </c>
      <c r="F1479" s="7" t="n">
        <v>52.7</v>
      </c>
      <c r="G1479" t="n">
        <v>32988</v>
      </c>
      <c r="H1479" t="n">
        <v>30660</v>
      </c>
      <c r="I1479" t="n">
        <v>28559</v>
      </c>
      <c r="J1479" t="n">
        <v>22609</v>
      </c>
      <c r="K1479" s="27">
        <f>(H1479/D1479-1)</f>
        <v/>
      </c>
      <c r="L1479" s="27">
        <f>(I1479/D1479-1)</f>
        <v/>
      </c>
      <c r="M1479" s="27">
        <f>(J1479/D1479-1)</f>
        <v/>
      </c>
      <c r="N1479" t="n">
        <v>44.6</v>
      </c>
      <c r="O1479" s="28">
        <f>(N1479+F1479)/2</f>
        <v/>
      </c>
      <c r="P1479">
        <f>IF(O1479="計算不能","計算不能",IF(O1479&gt;=80,5,IF(O1479&gt;=60,4,IF(O1479&gt;=40,3,IF(O1479&gt;=28,2,1)))))</f>
        <v/>
      </c>
      <c r="Q1479" t="n">
        <v>5545</v>
      </c>
      <c r="R1479" t="n">
        <v>900</v>
      </c>
      <c r="S1479" s="27">
        <f>R1479/Q1479</f>
        <v/>
      </c>
      <c r="T1479" t="inlineStr">
        <is>
          <t>大川市は2045年までに人口が約26.3%減と明確な減少トレンド。高齢化の進行と世帯数の縮小により、中長期では賃貸需要の構造的縮小に警戒が必要。</t>
        </is>
      </c>
      <c r="U1479" t="inlineStr">
        <is>
          <t>大川市は人口密度884人/km²で、主要道路沿いや中心市街地に一定の賃貸需要が局在。立地選別が稼働を左右する。 借家の空室率は約16%と需給は比較的引き締まっている。</t>
        </is>
      </c>
      <c r="V1479" t="inlineStr">
        <is>
          <t>大川市（福岡県）：遠賀川・筑後川の氾濫、玄界灘沿岸の高潮、北部九州豪雨型の土砂災害に注意。</t>
        </is>
      </c>
    </row>
    <row r="1480">
      <c r="A1480" t="inlineStr">
        <is>
          <t>福岡県</t>
        </is>
      </c>
      <c r="B1480" t="inlineStr">
        <is>
          <t>行橋市</t>
        </is>
      </c>
      <c r="C1480" t="n">
        <v>30470</v>
      </c>
      <c r="D1480" t="n">
        <v>70614</v>
      </c>
      <c r="E1480" s="6" t="n">
        <v>1001.2</v>
      </c>
      <c r="F1480" s="7" t="n">
        <v>55</v>
      </c>
      <c r="G1480" t="n">
        <v>71426</v>
      </c>
      <c r="H1480" t="n">
        <v>70614</v>
      </c>
      <c r="I1480" t="n">
        <v>69244</v>
      </c>
      <c r="J1480" t="n">
        <v>63527</v>
      </c>
      <c r="K1480" s="27">
        <f>(H1480/D1480-1)</f>
        <v/>
      </c>
      <c r="L1480" s="27">
        <f>(I1480/D1480-1)</f>
        <v/>
      </c>
      <c r="M1480" s="27">
        <f>(J1480/D1480-1)</f>
        <v/>
      </c>
      <c r="N1480" t="n">
        <v>66.40000000000001</v>
      </c>
      <c r="O1480" s="28">
        <f>(N1480+F1480)/2</f>
        <v/>
      </c>
      <c r="P1480">
        <f>IF(O1480="計算不能","計算不能",IF(O1480&gt;=80,5,IF(O1480&gt;=60,4,IF(O1480&gt;=40,3,IF(O1480&gt;=28,2,1)))))</f>
        <v/>
      </c>
      <c r="Q1480" t="n">
        <v>13211</v>
      </c>
      <c r="R1480" t="n">
        <v>1730</v>
      </c>
      <c r="S1480" s="27">
        <f>R1480/Q1480</f>
        <v/>
      </c>
      <c r="T1480" t="inlineStr">
        <is>
          <t>行橋市は2045年までに人口が約10.0%減と緩やかな減少局面。若年層の都市部流出と高齢化が進むが、当面の賃貸稼働は一定程度維持される見通し。</t>
        </is>
      </c>
      <c r="U1480" t="inlineStr">
        <is>
          <t>行橋市は人口密度1,001人/km²で、主要道路沿いや中心市街地に一定の賃貸需要が局在。立地選別が稼働を左右する。 借家の空室率は約13%と需給は比較的引き締まっている。</t>
        </is>
      </c>
      <c r="V1480" t="inlineStr">
        <is>
          <t>行橋市（福岡県）：遠賀川・筑後川の氾濫、玄界灘沿岸の高潮、北部九州豪雨型の土砂災害に注意。</t>
        </is>
      </c>
    </row>
    <row r="1481">
      <c r="A1481" t="inlineStr">
        <is>
          <t>福岡県</t>
        </is>
      </c>
      <c r="B1481" t="inlineStr">
        <is>
          <t>豊前市</t>
        </is>
      </c>
      <c r="C1481" t="n">
        <v>10220</v>
      </c>
      <c r="D1481" t="n">
        <v>22344</v>
      </c>
      <c r="E1481" s="6" t="n">
        <v>200.6</v>
      </c>
      <c r="F1481" s="7" t="n">
        <v>30</v>
      </c>
      <c r="G1481" t="n">
        <v>24391</v>
      </c>
      <c r="H1481" t="n">
        <v>22344</v>
      </c>
      <c r="I1481" t="n">
        <v>20876</v>
      </c>
      <c r="J1481" t="n">
        <v>16685</v>
      </c>
      <c r="K1481" s="27">
        <f>(H1481/D1481-1)</f>
        <v/>
      </c>
      <c r="L1481" s="27">
        <f>(I1481/D1481-1)</f>
        <v/>
      </c>
      <c r="M1481" s="27">
        <f>(J1481/D1481-1)</f>
        <v/>
      </c>
      <c r="N1481" t="n">
        <v>43.7</v>
      </c>
      <c r="O1481" s="28">
        <f>(N1481+F1481)/2</f>
        <v/>
      </c>
      <c r="P1481">
        <f>IF(O1481="計算不能","計算不能",IF(O1481&gt;=80,5,IF(O1481&gt;=60,4,IF(O1481&gt;=40,3,IF(O1481&gt;=28,2,1)))))</f>
        <v/>
      </c>
      <c r="Q1481" t="n">
        <v>4431</v>
      </c>
      <c r="R1481" t="n">
        <v>560</v>
      </c>
      <c r="S1481" s="27">
        <f>R1481/Q1481</f>
        <v/>
      </c>
      <c r="T1481" t="inlineStr">
        <is>
          <t>豊前市は2045年までに人口が約25.3%減と明確な減少トレンド。高齢化の進行と世帯数の縮小により、中長期では賃貸需要の構造的縮小に警戒が必要。</t>
        </is>
      </c>
      <c r="U1481" t="inlineStr">
        <is>
          <t>豊前市は人口密度201人/km²と低密度で、賃貸需要は限定的。持ち家比率が高く、駐車場完備の戸建て賃貸が有利。 借家の空室率は約13%と需給は比較的引き締まっている。</t>
        </is>
      </c>
      <c r="V1481" t="inlineStr">
        <is>
          <t>豊前市（福岡県）：遠賀川・筑後川の氾濫、玄界灘沿岸の高潮、北部九州豪雨型の土砂災害に注意。</t>
        </is>
      </c>
    </row>
    <row r="1482">
      <c r="A1482" t="inlineStr">
        <is>
          <t>福岡県</t>
        </is>
      </c>
      <c r="B1482" t="inlineStr">
        <is>
          <t>中間市</t>
        </is>
      </c>
      <c r="C1482" t="n">
        <v>17160</v>
      </c>
      <c r="D1482" t="n">
        <v>37969</v>
      </c>
      <c r="E1482" s="6" t="n">
        <v>2412</v>
      </c>
      <c r="F1482" s="7" t="n">
        <v>74.09999999999999</v>
      </c>
      <c r="G1482" t="n">
        <v>40362</v>
      </c>
      <c r="H1482" t="n">
        <v>37969</v>
      </c>
      <c r="I1482" t="n">
        <v>35486</v>
      </c>
      <c r="J1482" t="n">
        <v>28177</v>
      </c>
      <c r="K1482" s="27">
        <f>(H1482/D1482-1)</f>
        <v/>
      </c>
      <c r="L1482" s="27">
        <f>(I1482/D1482-1)</f>
        <v/>
      </c>
      <c r="M1482" s="27">
        <f>(J1482/D1482-1)</f>
        <v/>
      </c>
      <c r="N1482" t="n">
        <v>46.7</v>
      </c>
      <c r="O1482" s="28">
        <f>(N1482+F1482)/2</f>
        <v/>
      </c>
      <c r="P1482">
        <f>IF(O1482="計算不能","計算不能",IF(O1482&gt;=80,5,IF(O1482&gt;=60,4,IF(O1482&gt;=40,3,IF(O1482&gt;=28,2,1)))))</f>
        <v/>
      </c>
      <c r="Q1482" t="n">
        <v>7440</v>
      </c>
      <c r="R1482" t="n">
        <v>1360</v>
      </c>
      <c r="S1482" s="27">
        <f>R1482/Q1482</f>
        <v/>
      </c>
      <c r="T1482" t="inlineStr">
        <is>
          <t>中間市は2045年までに人口が約25.8%減と明確な減少トレンド。高齢化の進行と世帯数の縮小により、中長期では賃貸需要の構造的縮小に警戒が必要。</t>
        </is>
      </c>
      <c r="U1482" t="inlineStr">
        <is>
          <t>中間市は人口密度2,412人/km²の都市部で、駅周辺や生活利便施設沿いに安定した賃貸需要がある。適切な家賃設定で高稼働を期待できる。 借家の空室率は約18%とやや高めで、競合との差別化が必要。</t>
        </is>
      </c>
      <c r="V1482" t="inlineStr">
        <is>
          <t>中間市（福岡県）：遠賀川・筑後川の氾濫、玄界灘沿岸の高潮、北部九州豪雨型の土砂災害に注意。</t>
        </is>
      </c>
    </row>
    <row r="1483">
      <c r="A1483" t="inlineStr">
        <is>
          <t>福岡県</t>
        </is>
      </c>
      <c r="B1483" t="inlineStr">
        <is>
          <t>小郡市</t>
        </is>
      </c>
      <c r="C1483" t="n">
        <v>26570</v>
      </c>
      <c r="D1483" t="n">
        <v>58798</v>
      </c>
      <c r="E1483" s="6" t="n">
        <v>1288.8</v>
      </c>
      <c r="F1483" s="7" t="n">
        <v>60.8</v>
      </c>
      <c r="G1483" t="n">
        <v>59360</v>
      </c>
      <c r="H1483" t="n">
        <v>58798</v>
      </c>
      <c r="I1483" t="n">
        <v>57867</v>
      </c>
      <c r="J1483" t="n">
        <v>54174</v>
      </c>
      <c r="K1483" s="27">
        <f>(H1483/D1483-1)</f>
        <v/>
      </c>
      <c r="L1483" s="27">
        <f>(I1483/D1483-1)</f>
        <v/>
      </c>
      <c r="M1483" s="27">
        <f>(J1483/D1483-1)</f>
        <v/>
      </c>
      <c r="N1483" t="n">
        <v>68.09999999999999</v>
      </c>
      <c r="O1483" s="28">
        <f>(N1483+F1483)/2</f>
        <v/>
      </c>
      <c r="P1483">
        <f>IF(O1483="計算不能","計算不能",IF(O1483&gt;=80,5,IF(O1483&gt;=60,4,IF(O1483&gt;=40,3,IF(O1483&gt;=28,2,1)))))</f>
        <v/>
      </c>
      <c r="Q1483" t="n">
        <v>11520</v>
      </c>
      <c r="R1483" t="n">
        <v>930</v>
      </c>
      <c r="S1483" s="27">
        <f>R1483/Q1483</f>
        <v/>
      </c>
      <c r="T1483" t="inlineStr">
        <is>
          <t>小郡市は2045年までに人口が約7.9%減と緩やかな減少局面。若年層の都市部流出と高齢化が進むが、当面の賃貸稼働は一定程度維持される見通し。</t>
        </is>
      </c>
      <c r="U1483" t="inlineStr">
        <is>
          <t>小郡市は人口密度1,289人/km²で、主要道路沿いや中心市街地に一定の賃貸需要が局在。立地選別が稼働を左右する。 借家の空室率は約8%と需給は比較的引き締まっている。</t>
        </is>
      </c>
      <c r="V1483" t="inlineStr">
        <is>
          <t>小郡市（福岡県）：遠賀川・筑後川の氾濫、玄界灘沿岸の高潮、北部九州豪雨型の土砂災害に注意。</t>
        </is>
      </c>
    </row>
    <row r="1484">
      <c r="A1484" t="inlineStr">
        <is>
          <t>福岡県</t>
        </is>
      </c>
      <c r="B1484" t="inlineStr">
        <is>
          <t>筑紫野市</t>
        </is>
      </c>
      <c r="C1484" t="n">
        <v>42860</v>
      </c>
      <c r="D1484" t="n">
        <v>104865</v>
      </c>
      <c r="E1484" s="6" t="n">
        <v>1207.3</v>
      </c>
      <c r="F1484" s="7" t="n">
        <v>59.1</v>
      </c>
      <c r="G1484" t="n">
        <v>103311</v>
      </c>
      <c r="H1484" t="n">
        <v>104865</v>
      </c>
      <c r="I1484" t="n">
        <v>104250</v>
      </c>
      <c r="J1484" t="n">
        <v>99529</v>
      </c>
      <c r="K1484" s="27">
        <f>(H1484/D1484-1)</f>
        <v/>
      </c>
      <c r="L1484" s="27">
        <f>(I1484/D1484-1)</f>
        <v/>
      </c>
      <c r="M1484" s="27">
        <f>(J1484/D1484-1)</f>
        <v/>
      </c>
      <c r="N1484" t="n">
        <v>75</v>
      </c>
      <c r="O1484" s="28">
        <f>(N1484+F1484)/2</f>
        <v/>
      </c>
      <c r="P1484">
        <f>IF(O1484="計算不能","計算不能",IF(O1484&gt;=80,5,IF(O1484&gt;=60,4,IF(O1484&gt;=40,3,IF(O1484&gt;=28,2,1)))))</f>
        <v/>
      </c>
      <c r="Q1484" t="n">
        <v>18583</v>
      </c>
      <c r="R1484" t="n">
        <v>1810</v>
      </c>
      <c r="S1484" s="27">
        <f>R1484/Q1484</f>
        <v/>
      </c>
      <c r="T1484" t="inlineStr">
        <is>
          <t>筑紫野市は2045年までに人口が約5.1%減と緩やかな減少局面。若年層の都市部流出と高齢化が進むが、当面の賃貸稼働は一定程度維持される見通し。</t>
        </is>
      </c>
      <c r="U1484" t="inlineStr">
        <is>
          <t>筑紫野市は人口密度1,207人/km²で、主要道路沿いや中心市街地に一定の賃貸需要が局在。立地選別が稼働を左右する。 借家の空室率は約10%と需給は比較的引き締まっている。</t>
        </is>
      </c>
      <c r="V1484" t="inlineStr">
        <is>
          <t>筑紫野市（福岡県）：遠賀川・筑後川の氾濫、玄界灘沿岸の高潮、北部九州豪雨型の土砂災害に注意。</t>
        </is>
      </c>
    </row>
    <row r="1485">
      <c r="A1485" t="inlineStr">
        <is>
          <t>福岡県</t>
        </is>
      </c>
      <c r="B1485" t="inlineStr">
        <is>
          <t>春日市</t>
        </is>
      </c>
      <c r="C1485" t="n">
        <v>47440</v>
      </c>
      <c r="D1485" t="n">
        <v>110361</v>
      </c>
      <c r="E1485" s="6" t="n">
        <v>7705</v>
      </c>
      <c r="F1485" s="7" t="n">
        <v>95.40000000000001</v>
      </c>
      <c r="G1485" t="n">
        <v>111023</v>
      </c>
      <c r="H1485" t="n">
        <v>110361</v>
      </c>
      <c r="I1485" t="n">
        <v>108737</v>
      </c>
      <c r="J1485" t="n">
        <v>102552</v>
      </c>
      <c r="K1485" s="27">
        <f>(H1485/D1485-1)</f>
        <v/>
      </c>
      <c r="L1485" s="27">
        <f>(I1485/D1485-1)</f>
        <v/>
      </c>
      <c r="M1485" s="27">
        <f>(J1485/D1485-1)</f>
        <v/>
      </c>
      <c r="N1485" t="n">
        <v>69.3</v>
      </c>
      <c r="O1485" s="28">
        <f>(N1485+F1485)/2</f>
        <v/>
      </c>
      <c r="P1485">
        <f>IF(O1485="計算不能","計算不能",IF(O1485&gt;=80,5,IF(O1485&gt;=60,4,IF(O1485&gt;=40,3,IF(O1485&gt;=28,2,1)))))</f>
        <v/>
      </c>
      <c r="Q1485" t="n">
        <v>20569</v>
      </c>
      <c r="R1485" t="n">
        <v>4130</v>
      </c>
      <c r="S1485" s="27">
        <f>R1485/Q1485</f>
        <v/>
      </c>
      <c r="T1485" t="inlineStr">
        <is>
          <t>春日市は2045年までに人口が約7.1%減と緩やかな減少局面。若年層の都市部流出と高齢化が進むが、当面の賃貸稼働は一定程度維持される見通し。</t>
        </is>
      </c>
      <c r="U1485" t="inlineStr">
        <is>
          <t>春日市は人口密度7,705人/km²の高密度市街地で、駅近ワンルームからファミリー向けまで極めて強い賃貸実需が存在。資産流動性・出口戦略の容易さも高い。 借家の空室率は約20%とやや高めで、競合との差別化が必要。</t>
        </is>
      </c>
      <c r="V1485" t="inlineStr">
        <is>
          <t>春日市（福岡県）：遠賀川・筑後川の氾濫、玄界灘沿岸の高潮、北部九州豪雨型の土砂災害に注意。</t>
        </is>
      </c>
    </row>
    <row r="1486">
      <c r="A1486" t="inlineStr">
        <is>
          <t>福岡県</t>
        </is>
      </c>
      <c r="B1486" t="inlineStr">
        <is>
          <t>大野城市</t>
        </is>
      </c>
      <c r="C1486" t="n">
        <v>44340</v>
      </c>
      <c r="D1486" t="n">
        <v>103504</v>
      </c>
      <c r="E1486" s="6" t="n">
        <v>3848.9</v>
      </c>
      <c r="F1486" s="7" t="n">
        <v>80</v>
      </c>
      <c r="G1486" t="n">
        <v>102085</v>
      </c>
      <c r="H1486" t="n">
        <v>103504</v>
      </c>
      <c r="I1486" t="n">
        <v>103506</v>
      </c>
      <c r="J1486" t="n">
        <v>100784</v>
      </c>
      <c r="K1486" s="27">
        <f>(H1486/D1486-1)</f>
        <v/>
      </c>
      <c r="L1486" s="27">
        <f>(I1486/D1486-1)</f>
        <v/>
      </c>
      <c r="M1486" s="27">
        <f>(J1486/D1486-1)</f>
        <v/>
      </c>
      <c r="N1486" t="n">
        <v>76.40000000000001</v>
      </c>
      <c r="O1486" s="28">
        <f>(N1486+F1486)/2</f>
        <v/>
      </c>
      <c r="P1486">
        <f>IF(O1486="計算不能","計算不能",IF(O1486&gt;=80,5,IF(O1486&gt;=60,4,IF(O1486&gt;=40,3,IF(O1486&gt;=28,2,1)))))</f>
        <v/>
      </c>
      <c r="Q1486" t="n">
        <v>19225</v>
      </c>
      <c r="R1486" t="n">
        <v>1670</v>
      </c>
      <c r="S1486" s="27">
        <f>R1486/Q1486</f>
        <v/>
      </c>
      <c r="T1486" t="inlineStr">
        <is>
          <t>大野城市は2045年までの人口減少率が約2.6%と全国平均より緩やかで、概ね横ばいの安定推移。生産年齢人口の維持により、賃貸需要の急減リスクは相対的に低い。</t>
        </is>
      </c>
      <c r="U1486" t="inlineStr">
        <is>
          <t>大野城市は人口密度3,849人/km²の都市部で、駅周辺や生活利便施設沿いに安定した賃貸需要がある。適切な家賃設定で高稼働を期待できる。 借家の空室率は約9%と需給は比較的引き締まっている。</t>
        </is>
      </c>
      <c r="V1486" t="inlineStr">
        <is>
          <t>大野城市（福岡県）：遠賀川・筑後川の氾濫、玄界灘沿岸の高潮、北部九州豪雨型の土砂災害に注意。</t>
        </is>
      </c>
    </row>
    <row r="1487">
      <c r="A1487" t="inlineStr">
        <is>
          <t>福岡県</t>
        </is>
      </c>
      <c r="B1487" t="inlineStr">
        <is>
          <t>宗像市</t>
        </is>
      </c>
      <c r="C1487" t="n">
        <v>42190</v>
      </c>
      <c r="D1487" t="n">
        <v>96578</v>
      </c>
      <c r="E1487" s="6" t="n">
        <v>809.1</v>
      </c>
      <c r="F1487" s="7" t="n">
        <v>51.2</v>
      </c>
      <c r="G1487" t="n">
        <v>97095</v>
      </c>
      <c r="H1487" t="n">
        <v>96578</v>
      </c>
      <c r="I1487" t="n">
        <v>95170</v>
      </c>
      <c r="J1487" t="n">
        <v>88631</v>
      </c>
      <c r="K1487" s="27">
        <f>(H1487/D1487-1)</f>
        <v/>
      </c>
      <c r="L1487" s="27">
        <f>(I1487/D1487-1)</f>
        <v/>
      </c>
      <c r="M1487" s="27">
        <f>(J1487/D1487-1)</f>
        <v/>
      </c>
      <c r="N1487" t="n">
        <v>68.8</v>
      </c>
      <c r="O1487" s="28">
        <f>(N1487+F1487)/2</f>
        <v/>
      </c>
      <c r="P1487">
        <f>IF(O1487="計算不能","計算不能",IF(O1487&gt;=80,5,IF(O1487&gt;=60,4,IF(O1487&gt;=40,3,IF(O1487&gt;=28,2,1)))))</f>
        <v/>
      </c>
      <c r="Q1487" t="n">
        <v>18293</v>
      </c>
      <c r="R1487" t="n">
        <v>2760</v>
      </c>
      <c r="S1487" s="27">
        <f>R1487/Q1487</f>
        <v/>
      </c>
      <c r="T1487" t="inlineStr">
        <is>
          <t>宗像市は2045年までに人口が約8.2%減と緩やかな減少局面。若年層の都市部流出と高齢化が進むが、当面の賃貸稼働は一定程度維持される見通し。</t>
        </is>
      </c>
      <c r="U1487" t="inlineStr">
        <is>
          <t>宗像市は人口密度809人/km²で、主要道路沿いや中心市街地に一定の賃貸需要が局在。立地選別が稼働を左右する。 借家の空室率は約15%と需給は比較的引き締まっている。</t>
        </is>
      </c>
      <c r="V1487" t="inlineStr">
        <is>
          <t>宗像市（福岡県）：遠賀川・筑後川の氾濫、玄界灘沿岸の高潮、北部九州豪雨型の土砂災害に注意。</t>
        </is>
      </c>
    </row>
    <row r="1488">
      <c r="A1488" t="inlineStr">
        <is>
          <t>福岡県</t>
        </is>
      </c>
      <c r="B1488" t="inlineStr">
        <is>
          <t>太宰府市</t>
        </is>
      </c>
      <c r="C1488" t="n">
        <v>31470</v>
      </c>
      <c r="D1488" t="n">
        <v>72592</v>
      </c>
      <c r="E1488" s="6" t="n">
        <v>2460.2</v>
      </c>
      <c r="F1488" s="7" t="n">
        <v>74.59999999999999</v>
      </c>
      <c r="G1488" t="n">
        <v>73164</v>
      </c>
      <c r="H1488" t="n">
        <v>72592</v>
      </c>
      <c r="I1488" t="n">
        <v>72643</v>
      </c>
      <c r="J1488" t="n">
        <v>70510</v>
      </c>
      <c r="K1488" s="27">
        <f>(H1488/D1488-1)</f>
        <v/>
      </c>
      <c r="L1488" s="27">
        <f>(I1488/D1488-1)</f>
        <v/>
      </c>
      <c r="M1488" s="27">
        <f>(J1488/D1488-1)</f>
        <v/>
      </c>
      <c r="N1488" t="n">
        <v>72.09999999999999</v>
      </c>
      <c r="O1488" s="28">
        <f>(N1488+F1488)/2</f>
        <v/>
      </c>
      <c r="P1488">
        <f>IF(O1488="計算不能","計算不能",IF(O1488&gt;=80,5,IF(O1488&gt;=60,4,IF(O1488&gt;=40,3,IF(O1488&gt;=28,2,1)))))</f>
        <v/>
      </c>
      <c r="Q1488" t="n">
        <v>13645</v>
      </c>
      <c r="R1488" t="n">
        <v>1500</v>
      </c>
      <c r="S1488" s="27">
        <f>R1488/Q1488</f>
        <v/>
      </c>
      <c r="T1488" t="inlineStr">
        <is>
          <t>太宰府市は2045年までの人口減少率が約2.9%と全国平均より緩やかで、概ね横ばいの安定推移。生産年齢人口の維持により、賃貸需要の急減リスクは相対的に低い。</t>
        </is>
      </c>
      <c r="U1488" t="inlineStr">
        <is>
          <t>太宰府市は人口密度2,460人/km²の都市部で、駅周辺や生活利便施設沿いに安定した賃貸需要がある。適切な家賃設定で高稼働を期待できる。 借家の空室率は約11%と需給は比較的引き締まっている。</t>
        </is>
      </c>
      <c r="V1488" t="inlineStr">
        <is>
          <t>太宰府市（福岡県）：遠賀川・筑後川の氾濫、玄界灘沿岸の高潮、北部九州豪雨型の土砂災害に注意。</t>
        </is>
      </c>
    </row>
    <row r="1489">
      <c r="A1489" t="inlineStr">
        <is>
          <t>福岡県</t>
        </is>
      </c>
      <c r="B1489" t="inlineStr">
        <is>
          <t>古賀市</t>
        </is>
      </c>
      <c r="C1489" t="n">
        <v>24010</v>
      </c>
      <c r="D1489" t="n">
        <v>57957</v>
      </c>
      <c r="E1489" s="6" t="n">
        <v>1387</v>
      </c>
      <c r="F1489" s="7" t="n">
        <v>62.7</v>
      </c>
      <c r="G1489" t="n">
        <v>58786</v>
      </c>
      <c r="H1489" t="n">
        <v>57957</v>
      </c>
      <c r="I1489" t="n">
        <v>57467</v>
      </c>
      <c r="J1489" t="n">
        <v>54878</v>
      </c>
      <c r="K1489" s="27">
        <f>(H1489/D1489-1)</f>
        <v/>
      </c>
      <c r="L1489" s="27">
        <f>(I1489/D1489-1)</f>
        <v/>
      </c>
      <c r="M1489" s="27">
        <f>(J1489/D1489-1)</f>
        <v/>
      </c>
      <c r="N1489" t="n">
        <v>69</v>
      </c>
      <c r="O1489" s="28">
        <f>(N1489+F1489)/2</f>
        <v/>
      </c>
      <c r="P1489">
        <f>IF(O1489="計算不能","計算不能",IF(O1489&gt;=80,5,IF(O1489&gt;=60,4,IF(O1489&gt;=40,3,IF(O1489&gt;=28,2,1)))))</f>
        <v/>
      </c>
      <c r="Q1489" t="n">
        <v>10410</v>
      </c>
      <c r="R1489" t="n">
        <v>2200</v>
      </c>
      <c r="S1489" s="27">
        <f>R1489/Q1489</f>
        <v/>
      </c>
      <c r="T1489" t="inlineStr">
        <is>
          <t>古賀市は2045年までに人口が約5.3%減と緩やかな減少局面。若年層の都市部流出と高齢化が進むが、当面の賃貸稼働は一定程度維持される見通し。</t>
        </is>
      </c>
      <c r="U1489" t="inlineStr">
        <is>
          <t>古賀市は人口密度1,387人/km²で、主要道路沿いや中心市街地に一定の賃貸需要が局在。立地選別が稼働を左右する。 借家の空室率は約21%とやや高めで、競合との差別化が必要。</t>
        </is>
      </c>
      <c r="V1489" t="inlineStr">
        <is>
          <t>古賀市（福岡県）：遠賀川・筑後川の氾濫、玄界灘沿岸の高潮、北部九州豪雨型の土砂災害に注意。</t>
        </is>
      </c>
    </row>
    <row r="1490">
      <c r="A1490" t="inlineStr">
        <is>
          <t>福岡県</t>
        </is>
      </c>
      <c r="B1490" t="inlineStr">
        <is>
          <t>福津市</t>
        </is>
      </c>
      <c r="C1490" t="n">
        <v>27910</v>
      </c>
      <c r="D1490" t="n">
        <v>69394</v>
      </c>
      <c r="E1490" s="6" t="n">
        <v>1309</v>
      </c>
      <c r="F1490" s="7" t="n">
        <v>61.2</v>
      </c>
      <c r="G1490" t="n">
        <v>67033</v>
      </c>
      <c r="H1490" t="n">
        <v>69394</v>
      </c>
      <c r="I1490" t="n">
        <v>70965</v>
      </c>
      <c r="J1490" t="n">
        <v>72687</v>
      </c>
      <c r="K1490" s="27">
        <f>(H1490/D1490-1)</f>
        <v/>
      </c>
      <c r="L1490" s="27">
        <f>(I1490/D1490-1)</f>
        <v/>
      </c>
      <c r="M1490" s="27">
        <f>(J1490/D1490-1)</f>
        <v/>
      </c>
      <c r="N1490" t="n">
        <v>86.09999999999999</v>
      </c>
      <c r="O1490" s="28">
        <f>(N1490+F1490)/2</f>
        <v/>
      </c>
      <c r="P1490">
        <f>IF(O1490="計算不能","計算不能",IF(O1490&gt;=80,5,IF(O1490&gt;=60,4,IF(O1490&gt;=40,3,IF(O1490&gt;=28,2,1)))))</f>
        <v/>
      </c>
      <c r="Q1490" t="n">
        <v>12101</v>
      </c>
      <c r="R1490" t="n">
        <v>1160</v>
      </c>
      <c r="S1490" s="27">
        <f>R1490/Q1490</f>
        <v/>
      </c>
      <c r="T1490" t="inlineStr">
        <is>
          <t>福津市は2025年から2045年にかけて人口が約4.7%増と全国的にも希少な人口増トレンド。都市機能の集積と職住近接需要を背景に、単身・若年ファミリー層の流入が継続し、賃貸母数の拡大が見込める。</t>
        </is>
      </c>
      <c r="U1490" t="inlineStr">
        <is>
          <t>福津市は人口密度1,309人/km²で、主要道路沿いや中心市街地に一定の賃貸需要が局在。立地選別が稼働を左右する。 借家の空室率は約10%と需給は比較的引き締まっている。</t>
        </is>
      </c>
      <c r="V1490" t="inlineStr">
        <is>
          <t>福津市（福岡県）：遠賀川・筑後川の氾濫、玄界灘沿岸の高潮、北部九州豪雨型の土砂災害に注意。</t>
        </is>
      </c>
    </row>
    <row r="1491">
      <c r="A1491" t="inlineStr">
        <is>
          <t>福岡県</t>
        </is>
      </c>
      <c r="B1491" t="inlineStr">
        <is>
          <t>うきは市</t>
        </is>
      </c>
      <c r="C1491" t="n">
        <v>9950</v>
      </c>
      <c r="D1491" t="n">
        <v>26210</v>
      </c>
      <c r="E1491" s="6" t="n">
        <v>221.1</v>
      </c>
      <c r="F1491" s="7" t="n">
        <v>31.1</v>
      </c>
      <c r="G1491" t="n">
        <v>27981</v>
      </c>
      <c r="H1491" t="n">
        <v>26210</v>
      </c>
      <c r="I1491" t="n">
        <v>24376</v>
      </c>
      <c r="J1491" t="n">
        <v>18938</v>
      </c>
      <c r="K1491" s="27">
        <f>(H1491/D1491-1)</f>
        <v/>
      </c>
      <c r="L1491" s="27">
        <f>(I1491/D1491-1)</f>
        <v/>
      </c>
      <c r="M1491" s="27">
        <f>(J1491/D1491-1)</f>
        <v/>
      </c>
      <c r="N1491" t="n">
        <v>44.9</v>
      </c>
      <c r="O1491" s="28">
        <f>(N1491+F1491)/2</f>
        <v/>
      </c>
      <c r="P1491">
        <f>IF(O1491="計算不能","計算不能",IF(O1491&gt;=80,5,IF(O1491&gt;=60,4,IF(O1491&gt;=40,3,IF(O1491&gt;=28,2,1)))))</f>
        <v/>
      </c>
      <c r="Q1491" t="n">
        <v>4314</v>
      </c>
      <c r="R1491" t="n">
        <v>550</v>
      </c>
      <c r="S1491" s="27">
        <f>R1491/Q1491</f>
        <v/>
      </c>
      <c r="T1491" t="inlineStr">
        <is>
          <t>うきは市は2045年までに人口が約27.7%減と明確な減少トレンド。高齢化の進行と世帯数の縮小により、中長期では賃貸需要の構造的縮小に警戒が必要。</t>
        </is>
      </c>
      <c r="U1491" t="inlineStr">
        <is>
          <t>うきは市は人口密度221人/km²と低密度で、賃貸需要は限定的。持ち家比率が高く、駐車場完備の戸建て賃貸が有利。 借家の空室率は約13%と需給は比較的引き締まっている。</t>
        </is>
      </c>
      <c r="V1491" t="inlineStr">
        <is>
          <t>うきは市（福岡県）：遠賀川・筑後川の氾濫、玄界灘沿岸の高潮、北部九州豪雨型の土砂災害に注意。</t>
        </is>
      </c>
    </row>
    <row r="1492">
      <c r="A1492" t="inlineStr">
        <is>
          <t>福岡県</t>
        </is>
      </c>
      <c r="B1492" t="inlineStr">
        <is>
          <t>宮若市</t>
        </is>
      </c>
      <c r="C1492" t="n">
        <v>10590</v>
      </c>
      <c r="D1492" t="n">
        <v>24838</v>
      </c>
      <c r="E1492" s="6" t="n">
        <v>172.2</v>
      </c>
      <c r="F1492" s="7" t="n">
        <v>27.2</v>
      </c>
      <c r="G1492" t="n">
        <v>26298</v>
      </c>
      <c r="H1492" t="n">
        <v>24838</v>
      </c>
      <c r="I1492" t="n">
        <v>23465</v>
      </c>
      <c r="J1492" t="n">
        <v>19480</v>
      </c>
      <c r="K1492" s="27">
        <f>(H1492/D1492-1)</f>
        <v/>
      </c>
      <c r="L1492" s="27">
        <f>(I1492/D1492-1)</f>
        <v/>
      </c>
      <c r="M1492" s="27">
        <f>(J1492/D1492-1)</f>
        <v/>
      </c>
      <c r="N1492" t="n">
        <v>50.1</v>
      </c>
      <c r="O1492" s="28">
        <f>(N1492+F1492)/2</f>
        <v/>
      </c>
      <c r="P1492">
        <f>IF(O1492="計算不能","計算不能",IF(O1492&gt;=80,5,IF(O1492&gt;=60,4,IF(O1492&gt;=40,3,IF(O1492&gt;=28,2,1)))))</f>
        <v/>
      </c>
      <c r="Q1492" t="n">
        <v>4591</v>
      </c>
      <c r="R1492" t="n">
        <v>770</v>
      </c>
      <c r="S1492" s="27">
        <f>R1492/Q1492</f>
        <v/>
      </c>
      <c r="T1492" t="inlineStr">
        <is>
          <t>宮若市は2045年までに人口が約21.6%減と明確な減少トレンド。高齢化の進行と世帯数の縮小により、中長期では賃貸需要の構造的縮小に警戒が必要。</t>
        </is>
      </c>
      <c r="U1492" t="inlineStr">
        <is>
          <t>宮若市は人口密度172人/km²と過疎的水準で、民間賃貸の新規需要は薄い。実需に裏付けられた格安戸建ての指値取得のみが現実的。 借家の空室率は約17%と需給は比較的引き締まっている。</t>
        </is>
      </c>
      <c r="V1492" t="inlineStr">
        <is>
          <t>宮若市（福岡県）：遠賀川・筑後川の氾濫、玄界灘沿岸の高潮、北部九州豪雨型の土砂災害に注意。</t>
        </is>
      </c>
    </row>
    <row r="1493">
      <c r="A1493" t="inlineStr">
        <is>
          <t>福岡県</t>
        </is>
      </c>
      <c r="B1493" t="inlineStr">
        <is>
          <t>嘉麻市</t>
        </is>
      </c>
      <c r="C1493" t="n">
        <v>13590</v>
      </c>
      <c r="D1493" t="n">
        <v>32024</v>
      </c>
      <c r="E1493" s="6" t="n">
        <v>236.2</v>
      </c>
      <c r="F1493" s="7" t="n">
        <v>31.8</v>
      </c>
      <c r="G1493" t="n">
        <v>35473</v>
      </c>
      <c r="H1493" t="n">
        <v>32024</v>
      </c>
      <c r="I1493" t="n">
        <v>29008</v>
      </c>
      <c r="J1493" t="n">
        <v>20550</v>
      </c>
      <c r="K1493" s="27">
        <f>(H1493/D1493-1)</f>
        <v/>
      </c>
      <c r="L1493" s="27">
        <f>(I1493/D1493-1)</f>
        <v/>
      </c>
      <c r="M1493" s="27">
        <f>(J1493/D1493-1)</f>
        <v/>
      </c>
      <c r="N1493" t="n">
        <v>39.2</v>
      </c>
      <c r="O1493" s="28">
        <f>(N1493+F1493)/2</f>
        <v/>
      </c>
      <c r="P1493">
        <f>IF(O1493="計算不能","計算不能",IF(O1493&gt;=80,5,IF(O1493&gt;=60,4,IF(O1493&gt;=40,3,IF(O1493&gt;=28,2,1)))))</f>
        <v/>
      </c>
      <c r="Q1493" t="n">
        <v>5892</v>
      </c>
      <c r="R1493" t="n">
        <v>1280</v>
      </c>
      <c r="S1493" s="27">
        <f>R1493/Q1493</f>
        <v/>
      </c>
      <c r="T1493" t="inlineStr">
        <is>
          <t>嘉麻市は2045年までに人口が約35.8%減と急激な過疎・超高齢化が進行。若年労働世代の流出と自然減が重なり、賃貸事業としての持続性は極めて限定的。</t>
        </is>
      </c>
      <c r="U1493" t="inlineStr">
        <is>
          <t>嘉麻市は人口密度236人/km²と低密度で、賃貸需要は限定的。持ち家比率が高く、駐車場完備の戸建て賃貸が有利。 借家の空室率は約22%とやや高めで、競合との差別化が必要。</t>
        </is>
      </c>
      <c r="V1493" t="inlineStr">
        <is>
          <t>嘉麻市（福岡県）：遠賀川・筑後川の氾濫、玄界灘沿岸の高潮、北部九州豪雨型の土砂災害に注意。</t>
        </is>
      </c>
    </row>
    <row r="1494">
      <c r="A1494" t="inlineStr">
        <is>
          <t>福岡県</t>
        </is>
      </c>
      <c r="B1494" t="inlineStr">
        <is>
          <t>朝倉市</t>
        </is>
      </c>
      <c r="C1494" t="n">
        <v>19630</v>
      </c>
      <c r="D1494" t="n">
        <v>47408</v>
      </c>
      <c r="E1494" s="6" t="n">
        <v>192.4</v>
      </c>
      <c r="F1494" s="7" t="n">
        <v>29.2</v>
      </c>
      <c r="G1494" t="n">
        <v>50273</v>
      </c>
      <c r="H1494" t="n">
        <v>47408</v>
      </c>
      <c r="I1494" t="n">
        <v>44400</v>
      </c>
      <c r="J1494" t="n">
        <v>35578</v>
      </c>
      <c r="K1494" s="27">
        <f>(H1494/D1494-1)</f>
        <v/>
      </c>
      <c r="L1494" s="27">
        <f>(I1494/D1494-1)</f>
        <v/>
      </c>
      <c r="M1494" s="27">
        <f>(J1494/D1494-1)</f>
        <v/>
      </c>
      <c r="N1494" t="n">
        <v>47.6</v>
      </c>
      <c r="O1494" s="28">
        <f>(N1494+F1494)/2</f>
        <v/>
      </c>
      <c r="P1494">
        <f>IF(O1494="計算不能","計算不能",IF(O1494&gt;=80,5,IF(O1494&gt;=60,4,IF(O1494&gt;=40,3,IF(O1494&gt;=28,2,1)))))</f>
        <v/>
      </c>
      <c r="Q1494" t="n">
        <v>8511</v>
      </c>
      <c r="R1494" t="n">
        <v>1650</v>
      </c>
      <c r="S1494" s="27">
        <f>R1494/Q1494</f>
        <v/>
      </c>
      <c r="T1494" t="inlineStr">
        <is>
          <t>朝倉市は2045年までに人口が約25.0%減と明確な減少トレンド。高齢化の進行と世帯数の縮小により、中長期では賃貸需要の構造的縮小に警戒が必要。</t>
        </is>
      </c>
      <c r="U1494" t="inlineStr">
        <is>
          <t>朝倉市は人口密度192人/km²と過疎的水準で、民間賃貸の新規需要は薄い。実需に裏付けられた格安戸建ての指値取得のみが現実的。 借家の空室率は約19%とやや高めで、競合との差別化が必要。</t>
        </is>
      </c>
      <c r="V1494" t="inlineStr">
        <is>
          <t>朝倉市（福岡県）：遠賀川・筑後川の氾濫、玄界灘沿岸の高潮、北部九州豪雨型の土砂災害に注意。</t>
        </is>
      </c>
    </row>
    <row r="1495">
      <c r="A1495" t="inlineStr">
        <is>
          <t>福岡県</t>
        </is>
      </c>
      <c r="B1495" t="inlineStr">
        <is>
          <t>みやま市</t>
        </is>
      </c>
      <c r="C1495" t="n">
        <v>12740</v>
      </c>
      <c r="D1495" t="n">
        <v>33410</v>
      </c>
      <c r="E1495" s="6" t="n">
        <v>313.9</v>
      </c>
      <c r="F1495" s="7" t="n">
        <v>35.7</v>
      </c>
      <c r="G1495" t="n">
        <v>35861</v>
      </c>
      <c r="H1495" t="n">
        <v>33410</v>
      </c>
      <c r="I1495" t="n">
        <v>30888</v>
      </c>
      <c r="J1495" t="n">
        <v>23570</v>
      </c>
      <c r="K1495" s="27">
        <f>(H1495/D1495-1)</f>
        <v/>
      </c>
      <c r="L1495" s="27">
        <f>(I1495/D1495-1)</f>
        <v/>
      </c>
      <c r="M1495" s="27">
        <f>(J1495/D1495-1)</f>
        <v/>
      </c>
      <c r="N1495" t="n">
        <v>43.8</v>
      </c>
      <c r="O1495" s="28">
        <f>(N1495+F1495)/2</f>
        <v/>
      </c>
      <c r="P1495">
        <f>IF(O1495="計算不能","計算不能",IF(O1495&gt;=80,5,IF(O1495&gt;=60,4,IF(O1495&gt;=40,3,IF(O1495&gt;=28,2,1)))))</f>
        <v/>
      </c>
      <c r="Q1495" t="n">
        <v>5523</v>
      </c>
      <c r="R1495" t="n">
        <v>660</v>
      </c>
      <c r="S1495" s="27">
        <f>R1495/Q1495</f>
        <v/>
      </c>
      <c r="T1495" t="inlineStr">
        <is>
          <t>みやま市は2045年までに人口が約29.5%減と明確な減少トレンド。高齢化の進行と世帯数の縮小により、中長期では賃貸需要の構造的縮小に警戒が必要。</t>
        </is>
      </c>
      <c r="U1495" t="inlineStr">
        <is>
          <t>みやま市は人口密度314人/km²と低密度で、賃貸需要は限定的。持ち家比率が高く、駐車場完備の戸建て賃貸が有利。 借家の空室率は約12%と需給は比較的引き締まっている。</t>
        </is>
      </c>
      <c r="V1495" t="inlineStr">
        <is>
          <t>みやま市（福岡県）：遠賀川・筑後川の氾濫、玄界灘沿岸の高潮、北部九州豪雨型の土砂災害に注意。</t>
        </is>
      </c>
    </row>
    <row r="1496">
      <c r="A1496" t="inlineStr">
        <is>
          <t>福岡県</t>
        </is>
      </c>
      <c r="B1496" t="inlineStr">
        <is>
          <t>糸島市</t>
        </is>
      </c>
      <c r="C1496" t="n">
        <v>39700</v>
      </c>
      <c r="D1496" t="n">
        <v>100207</v>
      </c>
      <c r="E1496" s="6" t="n">
        <v>466.8</v>
      </c>
      <c r="F1496" s="7" t="n">
        <v>43.3</v>
      </c>
      <c r="G1496" t="n">
        <v>98877</v>
      </c>
      <c r="H1496" t="n">
        <v>100207</v>
      </c>
      <c r="I1496" t="n">
        <v>98395</v>
      </c>
      <c r="J1496" t="n">
        <v>90483</v>
      </c>
      <c r="K1496" s="27">
        <f>(H1496/D1496-1)</f>
        <v/>
      </c>
      <c r="L1496" s="27">
        <f>(I1496/D1496-1)</f>
        <v/>
      </c>
      <c r="M1496" s="27">
        <f>(J1496/D1496-1)</f>
        <v/>
      </c>
      <c r="N1496" t="n">
        <v>71.5</v>
      </c>
      <c r="O1496" s="28">
        <f>(N1496+F1496)/2</f>
        <v/>
      </c>
      <c r="P1496">
        <f>IF(O1496="計算不能","計算不能",IF(O1496&gt;=80,5,IF(O1496&gt;=60,4,IF(O1496&gt;=40,3,IF(O1496&gt;=28,2,1)))))</f>
        <v/>
      </c>
      <c r="Q1496" t="n">
        <v>17213</v>
      </c>
      <c r="R1496" t="n">
        <v>700</v>
      </c>
      <c r="S1496" s="27">
        <f>R1496/Q1496</f>
        <v/>
      </c>
      <c r="T1496" t="inlineStr">
        <is>
          <t>糸島市は2045年までに人口が約9.7%減と緩やかな減少局面。若年層の都市部流出と高齢化が進むが、当面の賃貸稼働は一定程度維持される見通し。</t>
        </is>
      </c>
      <c r="U1496" t="inlineStr">
        <is>
          <t>糸島市は人口密度467人/km²と低密度で、賃貸需要は限定的。持ち家比率が高く、駐車場完備の戸建て賃貸が有利。 借家の空室率は約4%と需給は比較的引き締まっている。</t>
        </is>
      </c>
      <c r="V1496" t="inlineStr">
        <is>
          <t>糸島市（福岡県）：遠賀川・筑後川の氾濫、玄界灘沿岸の高潮、北部九州豪雨型の土砂災害に注意。</t>
        </is>
      </c>
    </row>
    <row r="1497">
      <c r="A1497" t="inlineStr">
        <is>
          <t>福岡県</t>
        </is>
      </c>
      <c r="B1497" t="inlineStr">
        <is>
          <t>那珂川市</t>
        </is>
      </c>
      <c r="C1497" t="n">
        <v>19430</v>
      </c>
      <c r="D1497" t="n">
        <v>49180</v>
      </c>
      <c r="E1497" s="6" t="n">
        <v>637.4</v>
      </c>
      <c r="F1497" s="7" t="n">
        <v>47.7</v>
      </c>
      <c r="G1497" t="n">
        <v>50112</v>
      </c>
      <c r="H1497" t="n">
        <v>49180</v>
      </c>
      <c r="I1497" t="n">
        <v>48809</v>
      </c>
      <c r="J1497" t="n">
        <v>47184</v>
      </c>
      <c r="K1497" s="27">
        <f>(H1497/D1497-1)</f>
        <v/>
      </c>
      <c r="L1497" s="27">
        <f>(I1497/D1497-1)</f>
        <v/>
      </c>
      <c r="M1497" s="27">
        <f>(J1497/D1497-1)</f>
        <v/>
      </c>
      <c r="N1497" t="n">
        <v>68.8</v>
      </c>
      <c r="O1497" s="28">
        <f>(N1497+F1497)/2</f>
        <v/>
      </c>
      <c r="P1497">
        <f>IF(O1497="計算不能","計算不能",IF(O1497&gt;=80,5,IF(O1497&gt;=60,4,IF(O1497&gt;=40,3,IF(O1497&gt;=28,2,1)))))</f>
        <v/>
      </c>
      <c r="Q1497" t="n">
        <v>8424</v>
      </c>
      <c r="R1497" t="n">
        <v>1170</v>
      </c>
      <c r="S1497" s="27">
        <f>R1497/Q1497</f>
        <v/>
      </c>
      <c r="T1497" t="inlineStr">
        <is>
          <t>那珂川市は2045年までの人口減少率が約4.1%と全国平均より緩やかで、概ね横ばいの安定推移。生産年齢人口の維持により、賃貸需要の急減リスクは相対的に低い。</t>
        </is>
      </c>
      <c r="U1497" t="inlineStr">
        <is>
          <t>那珂川市は人口密度637人/km²で、主要道路沿いや中心市街地に一定の賃貸需要が局在。立地選別が稼働を左右する。 借家の空室率は約14%と需給は比較的引き締まっている。</t>
        </is>
      </c>
      <c r="V1497" t="inlineStr">
        <is>
          <t>那珂川市（福岡県）：遠賀川・筑後川の氾濫、玄界灘沿岸の高潮、北部九州豪雨型の土砂災害に注意。</t>
        </is>
      </c>
    </row>
    <row r="1498">
      <c r="A1498" t="inlineStr">
        <is>
          <t>福岡県</t>
        </is>
      </c>
      <c r="B1498" t="inlineStr">
        <is>
          <t>宇美町</t>
        </is>
      </c>
      <c r="C1498" t="n">
        <v>14010</v>
      </c>
      <c r="D1498" t="n">
        <v>36936</v>
      </c>
      <c r="E1498" s="6" t="n">
        <v>1232.7</v>
      </c>
      <c r="F1498" s="7" t="n">
        <v>59.7</v>
      </c>
      <c r="G1498" t="n">
        <v>37671</v>
      </c>
      <c r="H1498" t="n">
        <v>36936</v>
      </c>
      <c r="I1498" t="n">
        <v>35838</v>
      </c>
      <c r="J1498" t="n">
        <v>32083</v>
      </c>
      <c r="K1498" s="27">
        <f>(H1498/D1498-1)</f>
        <v/>
      </c>
      <c r="L1498" s="27">
        <f>(I1498/D1498-1)</f>
        <v/>
      </c>
      <c r="M1498" s="27">
        <f>(J1498/D1498-1)</f>
        <v/>
      </c>
      <c r="N1498" t="n">
        <v>62.6</v>
      </c>
      <c r="O1498" s="28">
        <f>(N1498+F1498)/2</f>
        <v/>
      </c>
      <c r="P1498">
        <f>IF(O1498="計算不能","計算不能",IF(O1498&gt;=80,5,IF(O1498&gt;=60,4,IF(O1498&gt;=40,3,IF(O1498&gt;=28,2,1)))))</f>
        <v/>
      </c>
      <c r="Q1498" t="n">
        <v>6074</v>
      </c>
      <c r="R1498" t="n">
        <v>700</v>
      </c>
      <c r="S1498" s="27">
        <f>R1498/Q1498</f>
        <v/>
      </c>
      <c r="T1498" t="inlineStr">
        <is>
          <t>宇美町は2045年までに人口が約13.1%減と緩やかな減少局面。若年層の都市部流出と高齢化が進むが、当面の賃貸稼働は一定程度維持される見通し。</t>
        </is>
      </c>
      <c r="U1498" t="inlineStr">
        <is>
          <t>宇美町は人口密度1,233人/km²で、主要道路沿いや中心市街地に一定の賃貸需要が局在。立地選別が稼働を左右する。 借家の空室率は約12%と需給は比較的引き締まっている。</t>
        </is>
      </c>
      <c r="V1498" t="inlineStr">
        <is>
          <t>宇美町（福岡県）：遠賀川・筑後川の氾濫、玄界灘沿岸の高潮、北部九州豪雨型の土砂災害に注意。</t>
        </is>
      </c>
    </row>
    <row r="1499">
      <c r="A1499" t="inlineStr">
        <is>
          <t>福岡県</t>
        </is>
      </c>
      <c r="B1499" t="inlineStr">
        <is>
          <t>篠栗町</t>
        </is>
      </c>
      <c r="C1499" t="n">
        <v>12830</v>
      </c>
      <c r="D1499" t="n">
        <v>30620</v>
      </c>
      <c r="E1499" s="6" t="n">
        <v>799.2</v>
      </c>
      <c r="F1499" s="7" t="n">
        <v>51</v>
      </c>
      <c r="G1499" t="n">
        <v>31209</v>
      </c>
      <c r="H1499" t="n">
        <v>30620</v>
      </c>
      <c r="I1499" t="n">
        <v>30253</v>
      </c>
      <c r="J1499" t="n">
        <v>28872</v>
      </c>
      <c r="K1499" s="27">
        <f>(H1499/D1499-1)</f>
        <v/>
      </c>
      <c r="L1499" s="27">
        <f>(I1499/D1499-1)</f>
        <v/>
      </c>
      <c r="M1499" s="27">
        <f>(J1499/D1499-1)</f>
        <v/>
      </c>
      <c r="N1499" t="n">
        <v>67.59999999999999</v>
      </c>
      <c r="O1499" s="28">
        <f>(N1499+F1499)/2</f>
        <v/>
      </c>
      <c r="P1499">
        <f>IF(O1499="計算不能","計算不能",IF(O1499&gt;=80,5,IF(O1499&gt;=60,4,IF(O1499&gt;=40,3,IF(O1499&gt;=28,2,1)))))</f>
        <v/>
      </c>
      <c r="Q1499" t="n">
        <v>5562</v>
      </c>
      <c r="R1499" t="n">
        <v>670</v>
      </c>
      <c r="S1499" s="27">
        <f>R1499/Q1499</f>
        <v/>
      </c>
      <c r="T1499" t="inlineStr">
        <is>
          <t>篠栗町は2045年までに人口が約5.7%減と緩やかな減少局面。若年層の都市部流出と高齢化が進むが、当面の賃貸稼働は一定程度維持される見通し。</t>
        </is>
      </c>
      <c r="U1499" t="inlineStr">
        <is>
          <t>篠栗町は人口密度799人/km²で、主要道路沿いや中心市街地に一定の賃貸需要が局在。立地選別が稼働を左右する。 借家の空室率は約12%と需給は比較的引き締まっている。</t>
        </is>
      </c>
      <c r="V1499" t="inlineStr">
        <is>
          <t>篠栗町（福岡県）：遠賀川・筑後川の氾濫、玄界灘沿岸の高潮、北部九州豪雨型の土砂災害に注意。</t>
        </is>
      </c>
    </row>
    <row r="1500">
      <c r="A1500" t="inlineStr">
        <is>
          <t>福岡県</t>
        </is>
      </c>
      <c r="B1500" t="inlineStr">
        <is>
          <t>志免町</t>
        </is>
      </c>
      <c r="C1500" t="n">
        <v>19460</v>
      </c>
      <c r="D1500" t="n">
        <v>47347</v>
      </c>
      <c r="E1500" s="6" t="n">
        <v>5225.2</v>
      </c>
      <c r="F1500" s="7" t="n">
        <v>90.5</v>
      </c>
      <c r="G1500" t="n">
        <v>46377</v>
      </c>
      <c r="H1500" t="n">
        <v>47347</v>
      </c>
      <c r="I1500" t="n">
        <v>47772</v>
      </c>
      <c r="J1500" t="n">
        <v>48014</v>
      </c>
      <c r="K1500" s="27">
        <f>(H1500/D1500-1)</f>
        <v/>
      </c>
      <c r="L1500" s="27">
        <f>(I1500/D1500-1)</f>
        <v/>
      </c>
      <c r="M1500" s="27">
        <f>(J1500/D1500-1)</f>
        <v/>
      </c>
      <c r="N1500" t="n">
        <v>80.5</v>
      </c>
      <c r="O1500" s="28">
        <f>(N1500+F1500)/2</f>
        <v/>
      </c>
      <c r="P1500">
        <f>IF(O1500="計算不能","計算不能",IF(O1500&gt;=80,5,IF(O1500&gt;=60,4,IF(O1500&gt;=40,3,IF(O1500&gt;=28,2,1)))))</f>
        <v/>
      </c>
      <c r="Q1500" t="n">
        <v>8437</v>
      </c>
      <c r="R1500" t="n">
        <v>650</v>
      </c>
      <c r="S1500" s="27">
        <f>R1500/Q1500</f>
        <v/>
      </c>
      <c r="T1500" t="inlineStr">
        <is>
          <t>志免町は2045年までの人口減少率が約1.4%と全国平均より緩やかで、概ね横ばいの安定推移。生産年齢人口の維持により、賃貸需要の急減リスクは相対的に低い。</t>
        </is>
      </c>
      <c r="U1500" t="inlineStr">
        <is>
          <t>志免町は人口密度5,225人/km²の高密度市街地で、駅近ワンルームからファミリー向けまで極めて強い賃貸実需が存在。資産流動性・出口戦略の容易さも高い。 借家の空室率は約8%と需給は比較的引き締まっている。</t>
        </is>
      </c>
      <c r="V1500" t="inlineStr">
        <is>
          <t>志免町（福岡県）：遠賀川・筑後川の氾濫、玄界灘沿岸の高潮、北部九州豪雨型の土砂災害に注意。</t>
        </is>
      </c>
    </row>
    <row r="1501">
      <c r="A1501" t="inlineStr">
        <is>
          <t>福岡県</t>
        </is>
      </c>
      <c r="B1501" t="inlineStr">
        <is>
          <t>須恵町</t>
        </is>
      </c>
      <c r="C1501" t="n">
        <v>11290</v>
      </c>
      <c r="D1501" t="n">
        <v>29282</v>
      </c>
      <c r="E1501" s="6" t="n">
        <v>1782.3</v>
      </c>
      <c r="F1501" s="7" t="n">
        <v>67.8</v>
      </c>
      <c r="G1501" t="n">
        <v>28628</v>
      </c>
      <c r="H1501" t="n">
        <v>29282</v>
      </c>
      <c r="I1501" t="n">
        <v>29480</v>
      </c>
      <c r="J1501" t="n">
        <v>29173</v>
      </c>
      <c r="K1501" s="27">
        <f>(H1501/D1501-1)</f>
        <v/>
      </c>
      <c r="L1501" s="27">
        <f>(I1501/D1501-1)</f>
        <v/>
      </c>
      <c r="M1501" s="27">
        <f>(J1501/D1501-1)</f>
        <v/>
      </c>
      <c r="N1501" t="n">
        <v>79.90000000000001</v>
      </c>
      <c r="O1501" s="28">
        <f>(N1501+F1501)/2</f>
        <v/>
      </c>
      <c r="P1501">
        <f>IF(O1501="計算不能","計算不能",IF(O1501&gt;=80,5,IF(O1501&gt;=60,4,IF(O1501&gt;=40,3,IF(O1501&gt;=28,2,1)))))</f>
        <v/>
      </c>
      <c r="Q1501" t="n">
        <v>4895</v>
      </c>
      <c r="R1501" t="n">
        <v>310</v>
      </c>
      <c r="S1501" s="27">
        <f>R1501/Q1501</f>
        <v/>
      </c>
      <c r="T1501" t="inlineStr">
        <is>
          <t>須恵町は2045年までの人口減少率が約0.4%と全国平均より緩やかで、概ね横ばいの安定推移。生産年齢人口の維持により、賃貸需要の急減リスクは相対的に低い。</t>
        </is>
      </c>
      <c r="U1501" t="inlineStr">
        <is>
          <t>須恵町は人口密度1,782人/km²の都市部で、駅周辺や生活利便施設沿いに安定した賃貸需要がある。適切な家賃設定で高稼働を期待できる。 借家の空室率は約6%と需給は比較的引き締まっている。</t>
        </is>
      </c>
      <c r="V1501" t="inlineStr">
        <is>
          <t>須恵町（福岡県）：遠賀川・筑後川の氾濫、玄界灘沿岸の高潮、北部九州豪雨型の土砂災害に注意。</t>
        </is>
      </c>
    </row>
    <row r="1502">
      <c r="A1502" t="inlineStr">
        <is>
          <t>福岡県</t>
        </is>
      </c>
      <c r="B1502" t="inlineStr">
        <is>
          <t>新宮町</t>
        </is>
      </c>
      <c r="C1502" t="n">
        <v>12620</v>
      </c>
      <c r="D1502" t="n">
        <v>33743</v>
      </c>
      <c r="E1502" s="6" t="n">
        <v>1700.7</v>
      </c>
      <c r="F1502" s="7" t="n">
        <v>67</v>
      </c>
      <c r="G1502" t="n">
        <v>32927</v>
      </c>
      <c r="H1502" t="n">
        <v>33743</v>
      </c>
      <c r="I1502" t="n">
        <v>34045</v>
      </c>
      <c r="J1502" t="n">
        <v>34039</v>
      </c>
      <c r="K1502" s="27">
        <f>(H1502/D1502-1)</f>
        <v/>
      </c>
      <c r="L1502" s="27">
        <f>(I1502/D1502-1)</f>
        <v/>
      </c>
      <c r="M1502" s="27">
        <f>(J1502/D1502-1)</f>
        <v/>
      </c>
      <c r="N1502" t="n">
        <v>81</v>
      </c>
      <c r="O1502" s="28">
        <f>(N1502+F1502)/2</f>
        <v/>
      </c>
      <c r="P1502">
        <f>IF(O1502="計算不能","計算不能",IF(O1502&gt;=80,5,IF(O1502&gt;=60,4,IF(O1502&gt;=40,3,IF(O1502&gt;=28,2,1)))))</f>
        <v/>
      </c>
      <c r="Q1502" t="n">
        <v>5471</v>
      </c>
      <c r="R1502" t="n">
        <v>490</v>
      </c>
      <c r="S1502" s="27">
        <f>R1502/Q1502</f>
        <v/>
      </c>
      <c r="T1502" t="inlineStr">
        <is>
          <t>新宮町は2045年までの人口減少率が約0.9%と全国平均より緩やかで、概ね横ばいの安定推移。生産年齢人口の維持により、賃貸需要の急減リスクは相対的に低い。</t>
        </is>
      </c>
      <c r="U1502" t="inlineStr">
        <is>
          <t>新宮町は人口密度1,701人/km²の都市部で、駅周辺や生活利便施設沿いに安定した賃貸需要がある。適切な家賃設定で高稼働を期待できる。 借家の空室率は約9%と需給は比較的引き締まっている。</t>
        </is>
      </c>
      <c r="V1502" t="inlineStr">
        <is>
          <t>新宮町（福岡県）：遠賀川・筑後川の氾濫、玄界灘沿岸の高潮、北部九州豪雨型の土砂災害に注意。</t>
        </is>
      </c>
    </row>
    <row r="1503">
      <c r="A1503" t="inlineStr">
        <is>
          <t>福岡県</t>
        </is>
      </c>
      <c r="B1503" t="inlineStr">
        <is>
          <t>久山町</t>
        </is>
      </c>
      <c r="C1503" t="n">
        <v>3907</v>
      </c>
      <c r="D1503" t="n">
        <v>9284</v>
      </c>
      <c r="E1503" s="6" t="n">
        <v>247.5</v>
      </c>
      <c r="F1503" s="7" t="n">
        <v>32.4</v>
      </c>
      <c r="G1503" t="n">
        <v>9068</v>
      </c>
      <c r="H1503" t="n">
        <v>9284</v>
      </c>
      <c r="I1503" t="n">
        <v>9423</v>
      </c>
      <c r="J1503" t="n">
        <v>9696</v>
      </c>
      <c r="K1503" s="27">
        <f>(H1503/D1503-1)</f>
        <v/>
      </c>
      <c r="L1503" s="27">
        <f>(I1503/D1503-1)</f>
        <v/>
      </c>
      <c r="M1503" s="27">
        <f>(J1503/D1503-1)</f>
        <v/>
      </c>
      <c r="N1503" t="n">
        <v>83.09999999999999</v>
      </c>
      <c r="O1503" s="28">
        <f>(N1503+F1503)/2</f>
        <v/>
      </c>
      <c r="P1503">
        <f>IF(O1503="計算不能","計算不能",IF(O1503&gt;=80,5,IF(O1503&gt;=60,4,IF(O1503&gt;=40,3,IF(O1503&gt;=28,2,1)))))</f>
        <v/>
      </c>
      <c r="Q1503" t="n">
        <v>1694</v>
      </c>
      <c r="R1503" t="n">
        <v>0</v>
      </c>
      <c r="S1503" s="27">
        <f>R1503/Q1503</f>
        <v/>
      </c>
      <c r="T1503" t="inlineStr">
        <is>
          <t>久山町は2025年から2045年にかけて人口が約4.4%増と全国的にも希少な人口増トレンド。都市機能の集積と職住近接需要を背景に、単身・若年ファミリー層の流入が継続し、賃貸母数の拡大が見込める。</t>
        </is>
      </c>
      <c r="U1503" t="inlineStr">
        <is>
          <t>久山町は人口密度248人/km²と低密度で、賃貸需要は限定的。持ち家比率が高く、駐車場完備の戸建て賃貸が有利。 借家の空室率は約0%と需給は比較的引き締まっている。</t>
        </is>
      </c>
      <c r="V1503" t="inlineStr">
        <is>
          <t>久山町（福岡県）：遠賀川・筑後川の氾濫、玄界灘沿岸の高潮、北部九州豪雨型の土砂災害に注意。</t>
        </is>
      </c>
    </row>
    <row r="1504">
      <c r="A1504" t="inlineStr">
        <is>
          <t>福岡県</t>
        </is>
      </c>
      <c r="B1504" t="inlineStr">
        <is>
          <t>粕屋町</t>
        </is>
      </c>
      <c r="C1504" t="n">
        <v>20610</v>
      </c>
      <c r="D1504" t="n">
        <v>49274</v>
      </c>
      <c r="E1504" s="6" t="n">
        <v>3432.8</v>
      </c>
      <c r="F1504" s="7" t="n">
        <v>80</v>
      </c>
      <c r="G1504" t="n">
        <v>48190</v>
      </c>
      <c r="H1504" t="n">
        <v>49274</v>
      </c>
      <c r="I1504" t="n">
        <v>50747</v>
      </c>
      <c r="J1504" t="n">
        <v>52834</v>
      </c>
      <c r="K1504" s="27">
        <f>(H1504/D1504-1)</f>
        <v/>
      </c>
      <c r="L1504" s="27">
        <f>(I1504/D1504-1)</f>
        <v/>
      </c>
      <c r="M1504" s="27">
        <f>(J1504/D1504-1)</f>
        <v/>
      </c>
      <c r="N1504" t="n">
        <v>85.3</v>
      </c>
      <c r="O1504" s="28">
        <f>(N1504+F1504)/2</f>
        <v/>
      </c>
      <c r="P1504">
        <f>IF(O1504="計算不能","計算不能",IF(O1504&gt;=80,5,IF(O1504&gt;=60,4,IF(O1504&gt;=40,3,IF(O1504&gt;=28,2,1)))))</f>
        <v/>
      </c>
      <c r="Q1504" t="n">
        <v>8936</v>
      </c>
      <c r="R1504" t="n">
        <v>890</v>
      </c>
      <c r="S1504" s="27">
        <f>R1504/Q1504</f>
        <v/>
      </c>
      <c r="T1504" t="inlineStr">
        <is>
          <t>粕屋町は2025年から2045年にかけて人口が約7.2%増と全国的にも希少な人口増トレンド。都市機能の集積と職住近接需要を背景に、単身・若年ファミリー層の流入が継続し、賃貸母数の拡大が見込める。</t>
        </is>
      </c>
      <c r="U1504" t="inlineStr">
        <is>
          <t>粕屋町は人口密度3,433人/km²の都市部で、駅周辺や生活利便施設沿いに安定した賃貸需要がある。適切な家賃設定で高稼働を期待できる。 借家の空室率は約10%と需給は比較的引き締まっている。</t>
        </is>
      </c>
      <c r="V1504" t="inlineStr">
        <is>
          <t>粕屋町（福岡県）：遠賀川・筑後川の氾濫、玄界灘沿岸の高潮、北部九州豪雨型の土砂災害に注意。</t>
        </is>
      </c>
    </row>
    <row r="1505">
      <c r="A1505" t="inlineStr">
        <is>
          <t>福岡県</t>
        </is>
      </c>
      <c r="B1505" t="inlineStr">
        <is>
          <t>芦屋町</t>
        </is>
      </c>
      <c r="C1505" t="n">
        <v>6406</v>
      </c>
      <c r="D1505" t="n">
        <v>12599</v>
      </c>
      <c r="E1505" s="6" t="n">
        <v>1062.4</v>
      </c>
      <c r="F1505" s="7" t="n">
        <v>56.2</v>
      </c>
      <c r="G1505" t="n">
        <v>13545</v>
      </c>
      <c r="H1505" t="n">
        <v>12599</v>
      </c>
      <c r="I1505" t="n">
        <v>11651</v>
      </c>
      <c r="J1505" t="n">
        <v>9083</v>
      </c>
      <c r="K1505" s="27">
        <f>(H1505/D1505-1)</f>
        <v/>
      </c>
      <c r="L1505" s="27">
        <f>(I1505/D1505-1)</f>
        <v/>
      </c>
      <c r="M1505" s="27">
        <f>(J1505/D1505-1)</f>
        <v/>
      </c>
      <c r="N1505" t="n">
        <v>44.1</v>
      </c>
      <c r="O1505" s="28">
        <f>(N1505+F1505)/2</f>
        <v/>
      </c>
      <c r="P1505">
        <f>IF(O1505="計算不能","計算不能",IF(O1505&gt;=80,5,IF(O1505&gt;=60,4,IF(O1505&gt;=40,3,IF(O1505&gt;=28,2,1)))))</f>
        <v/>
      </c>
      <c r="Q1505" t="n">
        <v>2777</v>
      </c>
      <c r="R1505" t="n">
        <v>0</v>
      </c>
      <c r="S1505" s="27">
        <f>R1505/Q1505</f>
        <v/>
      </c>
      <c r="T1505" t="inlineStr">
        <is>
          <t>芦屋町は2045年までに人口が約27.9%減と明確な減少トレンド。高齢化の進行と世帯数の縮小により、中長期では賃貸需要の構造的縮小に警戒が必要。</t>
        </is>
      </c>
      <c r="U1505" t="inlineStr">
        <is>
          <t>芦屋町は人口密度1,062人/km²で、主要道路沿いや中心市街地に一定の賃貸需要が局在。立地選別が稼働を左右する。 借家の空室率は約0%と需給は比較的引き締まっている。</t>
        </is>
      </c>
      <c r="V1505" t="inlineStr">
        <is>
          <t>芦屋町（福岡県）：遠賀川・筑後川の氾濫、玄界灘沿岸の高潮、北部九州豪雨型の土砂災害に注意。</t>
        </is>
      </c>
    </row>
    <row r="1506">
      <c r="A1506" t="inlineStr">
        <is>
          <t>福岡県</t>
        </is>
      </c>
      <c r="B1506" t="inlineStr">
        <is>
          <t>水巻町</t>
        </is>
      </c>
      <c r="C1506" t="n">
        <v>13670</v>
      </c>
      <c r="D1506" t="n">
        <v>26925</v>
      </c>
      <c r="E1506" s="6" t="n">
        <v>2511.7</v>
      </c>
      <c r="F1506" s="7" t="n">
        <v>75.09999999999999</v>
      </c>
      <c r="G1506" t="n">
        <v>28114</v>
      </c>
      <c r="H1506" t="n">
        <v>26925</v>
      </c>
      <c r="I1506" t="n">
        <v>25679</v>
      </c>
      <c r="J1506" t="n">
        <v>21480</v>
      </c>
      <c r="K1506" s="27">
        <f>(H1506/D1506-1)</f>
        <v/>
      </c>
      <c r="L1506" s="27">
        <f>(I1506/D1506-1)</f>
        <v/>
      </c>
      <c r="M1506" s="27">
        <f>(J1506/D1506-1)</f>
        <v/>
      </c>
      <c r="N1506" t="n">
        <v>53.8</v>
      </c>
      <c r="O1506" s="28">
        <f>(N1506+F1506)/2</f>
        <v/>
      </c>
      <c r="P1506">
        <f>IF(O1506="計算不能","計算不能",IF(O1506&gt;=80,5,IF(O1506&gt;=60,4,IF(O1506&gt;=40,3,IF(O1506&gt;=28,2,1)))))</f>
        <v/>
      </c>
      <c r="Q1506" t="n">
        <v>5927</v>
      </c>
      <c r="R1506" t="n">
        <v>2060</v>
      </c>
      <c r="S1506" s="27">
        <f>R1506/Q1506</f>
        <v/>
      </c>
      <c r="T1506" t="inlineStr">
        <is>
          <t>水巻町は2045年までに人口が約20.2%減と明確な減少トレンド。高齢化の進行と世帯数の縮小により、中長期では賃貸需要の構造的縮小に警戒が必要。</t>
        </is>
      </c>
      <c r="U1506" t="inlineStr">
        <is>
          <t>水巻町は人口密度2,512人/km²の都市部で、駅周辺や生活利便施設沿いに安定した賃貸需要がある。適切な家賃設定で高稼働を期待できる。 借家の空室率は約35%と供給過多気味で、空室長期化リスクに要警戒。</t>
        </is>
      </c>
      <c r="V1506" t="inlineStr">
        <is>
          <t>水巻町（福岡県）：遠賀川・筑後川の氾濫、玄界灘沿岸の高潮、北部九州豪雨型の土砂災害に注意。</t>
        </is>
      </c>
    </row>
    <row r="1507">
      <c r="A1507" t="inlineStr">
        <is>
          <t>福岡県</t>
        </is>
      </c>
      <c r="B1507" t="inlineStr">
        <is>
          <t>岡垣町</t>
        </is>
      </c>
      <c r="C1507" t="n">
        <v>12770</v>
      </c>
      <c r="D1507" t="n">
        <v>30316</v>
      </c>
      <c r="E1507" s="6" t="n">
        <v>628.8</v>
      </c>
      <c r="F1507" s="7" t="n">
        <v>47.6</v>
      </c>
      <c r="G1507" t="n">
        <v>31007</v>
      </c>
      <c r="H1507" t="n">
        <v>30316</v>
      </c>
      <c r="I1507" t="n">
        <v>29308</v>
      </c>
      <c r="J1507" t="n">
        <v>26298</v>
      </c>
      <c r="K1507" s="27">
        <f>(H1507/D1507-1)</f>
        <v/>
      </c>
      <c r="L1507" s="27">
        <f>(I1507/D1507-1)</f>
        <v/>
      </c>
      <c r="M1507" s="27">
        <f>(J1507/D1507-1)</f>
        <v/>
      </c>
      <c r="N1507" t="n">
        <v>61.8</v>
      </c>
      <c r="O1507" s="28">
        <f>(N1507+F1507)/2</f>
        <v/>
      </c>
      <c r="P1507">
        <f>IF(O1507="計算不能","計算不能",IF(O1507&gt;=80,5,IF(O1507&gt;=60,4,IF(O1507&gt;=40,3,IF(O1507&gt;=28,2,1)))))</f>
        <v/>
      </c>
      <c r="Q1507" t="n">
        <v>5536</v>
      </c>
      <c r="R1507" t="n">
        <v>830</v>
      </c>
      <c r="S1507" s="27">
        <f>R1507/Q1507</f>
        <v/>
      </c>
      <c r="T1507" t="inlineStr">
        <is>
          <t>岡垣町は2045年までに人口が約13.3%減と緩やかな減少局面。若年層の都市部流出と高齢化が進むが、当面の賃貸稼働は一定程度維持される見通し。</t>
        </is>
      </c>
      <c r="U1507" t="inlineStr">
        <is>
          <t>岡垣町は人口密度629人/km²で、主要道路沿いや中心市街地に一定の賃貸需要が局在。立地選別が稼働を左右する。 借家の空室率は約15%と需給は比較的引き締まっている。</t>
        </is>
      </c>
      <c r="V1507" t="inlineStr">
        <is>
          <t>岡垣町（福岡県）：遠賀川・筑後川の氾濫、玄界灘沿岸の高潮、北部九州豪雨型の土砂災害に注意。</t>
        </is>
      </c>
    </row>
    <row r="1508">
      <c r="A1508" t="inlineStr">
        <is>
          <t>福岡県</t>
        </is>
      </c>
      <c r="B1508" t="inlineStr">
        <is>
          <t>遠賀町</t>
        </is>
      </c>
      <c r="C1508" t="n">
        <v>7230</v>
      </c>
      <c r="D1508" t="n">
        <v>18150</v>
      </c>
      <c r="E1508" s="6" t="n">
        <v>830.5</v>
      </c>
      <c r="F1508" s="7" t="n">
        <v>51.6</v>
      </c>
      <c r="G1508" t="n">
        <v>18723</v>
      </c>
      <c r="H1508" t="n">
        <v>18150</v>
      </c>
      <c r="I1508" t="n">
        <v>17363</v>
      </c>
      <c r="J1508" t="n">
        <v>14935</v>
      </c>
      <c r="K1508" s="27">
        <f>(H1508/D1508-1)</f>
        <v/>
      </c>
      <c r="L1508" s="27">
        <f>(I1508/D1508-1)</f>
        <v/>
      </c>
      <c r="M1508" s="27">
        <f>(J1508/D1508-1)</f>
        <v/>
      </c>
      <c r="N1508" t="n">
        <v>57.4</v>
      </c>
      <c r="O1508" s="28">
        <f>(N1508+F1508)/2</f>
        <v/>
      </c>
      <c r="P1508">
        <f>IF(O1508="計算不能","計算不能",IF(O1508&gt;=80,5,IF(O1508&gt;=60,4,IF(O1508&gt;=40,3,IF(O1508&gt;=28,2,1)))))</f>
        <v/>
      </c>
      <c r="Q1508" t="n">
        <v>3134</v>
      </c>
      <c r="R1508" t="n">
        <v>300</v>
      </c>
      <c r="S1508" s="27">
        <f>R1508/Q1508</f>
        <v/>
      </c>
      <c r="T1508" t="inlineStr">
        <is>
          <t>遠賀町は2045年までに人口が約17.7%減と明確な減少トレンド。高齢化の進行と世帯数の縮小により、中長期では賃貸需要の構造的縮小に警戒が必要。</t>
        </is>
      </c>
      <c r="U1508" t="inlineStr">
        <is>
          <t>遠賀町は人口密度830人/km²で、主要道路沿いや中心市街地に一定の賃貸需要が局在。立地選別が稼働を左右する。 借家の空室率は約10%と需給は比較的引き締まっている。</t>
        </is>
      </c>
      <c r="V1508" t="inlineStr">
        <is>
          <t>遠賀町（福岡県）：遠賀川・筑後川の氾濫、玄界灘沿岸の高潮、北部九州豪雨型の土砂災害に注意。</t>
        </is>
      </c>
    </row>
    <row r="1509">
      <c r="A1509" t="inlineStr">
        <is>
          <t>福岡県</t>
        </is>
      </c>
      <c r="B1509" t="inlineStr">
        <is>
          <t>小竹町</t>
        </is>
      </c>
      <c r="C1509" t="n">
        <v>3798</v>
      </c>
      <c r="D1509" t="n">
        <v>6538</v>
      </c>
      <c r="E1509" s="6" t="n">
        <v>457.5</v>
      </c>
      <c r="F1509" s="7" t="n">
        <v>42.9</v>
      </c>
      <c r="G1509" t="n">
        <v>7151</v>
      </c>
      <c r="H1509" t="n">
        <v>6538</v>
      </c>
      <c r="I1509" t="n">
        <v>5960</v>
      </c>
      <c r="J1509" t="n">
        <v>4252</v>
      </c>
      <c r="K1509" s="27">
        <f>(H1509/D1509-1)</f>
        <v/>
      </c>
      <c r="L1509" s="27">
        <f>(I1509/D1509-1)</f>
        <v/>
      </c>
      <c r="M1509" s="27">
        <f>(J1509/D1509-1)</f>
        <v/>
      </c>
      <c r="N1509" t="n">
        <v>40.6</v>
      </c>
      <c r="O1509" s="28">
        <f>(N1509+F1509)/2</f>
        <v/>
      </c>
      <c r="P1509">
        <f>IF(O1509="計算不能","計算不能",IF(O1509&gt;=80,5,IF(O1509&gt;=60,4,IF(O1509&gt;=40,3,IF(O1509&gt;=28,2,1)))))</f>
        <v/>
      </c>
      <c r="Q1509" t="n">
        <v>1646</v>
      </c>
      <c r="R1509" t="n">
        <v>0</v>
      </c>
      <c r="S1509" s="27">
        <f>R1509/Q1509</f>
        <v/>
      </c>
      <c r="T1509" t="inlineStr">
        <is>
          <t>小竹町は2045年までに人口が約35.0%減と急激な過疎・超高齢化が進行。若年労働世代の流出と自然減が重なり、賃貸事業としての持続性は極めて限定的。</t>
        </is>
      </c>
      <c r="U1509" t="inlineStr">
        <is>
          <t>小竹町は人口密度458人/km²と低密度で、賃貸需要は限定的。持ち家比率が高く、駐車場完備の戸建て賃貸が有利。 借家の空室率は約0%と需給は比較的引き締まっている。</t>
        </is>
      </c>
      <c r="V1509" t="inlineStr">
        <is>
          <t>小竹町（福岡県）：遠賀川・筑後川の氾濫、玄界灘沿岸の高潮、北部九州豪雨型の土砂災害に注意。</t>
        </is>
      </c>
    </row>
    <row r="1510">
      <c r="A1510" t="inlineStr">
        <is>
          <t>福岡県</t>
        </is>
      </c>
      <c r="B1510" t="inlineStr">
        <is>
          <t>鞍手町</t>
        </is>
      </c>
      <c r="C1510" t="n">
        <v>6230</v>
      </c>
      <c r="D1510" t="n">
        <v>14051</v>
      </c>
      <c r="E1510" s="6" t="n">
        <v>393.9</v>
      </c>
      <c r="F1510" s="7" t="n">
        <v>39.7</v>
      </c>
      <c r="G1510" t="n">
        <v>15080</v>
      </c>
      <c r="H1510" t="n">
        <v>14051</v>
      </c>
      <c r="I1510" t="n">
        <v>12972</v>
      </c>
      <c r="J1510" t="n">
        <v>9697</v>
      </c>
      <c r="K1510" s="27">
        <f>(H1510/D1510-1)</f>
        <v/>
      </c>
      <c r="L1510" s="27">
        <f>(I1510/D1510-1)</f>
        <v/>
      </c>
      <c r="M1510" s="27">
        <f>(J1510/D1510-1)</f>
        <v/>
      </c>
      <c r="N1510" t="n">
        <v>43.5</v>
      </c>
      <c r="O1510" s="28">
        <f>(N1510+F1510)/2</f>
        <v/>
      </c>
      <c r="P1510">
        <f>IF(O1510="計算不能","計算不能",IF(O1510&gt;=80,5,IF(O1510&gt;=60,4,IF(O1510&gt;=40,3,IF(O1510&gt;=28,2,1)))))</f>
        <v/>
      </c>
      <c r="Q1510" t="n">
        <v>2701</v>
      </c>
      <c r="R1510" t="n">
        <v>530</v>
      </c>
      <c r="S1510" s="27">
        <f>R1510/Q1510</f>
        <v/>
      </c>
      <c r="T1510" t="inlineStr">
        <is>
          <t>鞍手町は2045年までに人口が約31.0%減と急激な過疎・超高齢化が進行。若年労働世代の流出と自然減が重なり、賃貸事業としての持続性は極めて限定的。</t>
        </is>
      </c>
      <c r="U1510" t="inlineStr">
        <is>
          <t>鞍手町は人口密度394人/km²と低密度で、賃貸需要は限定的。持ち家比率が高く、駐車場完備の戸建て賃貸が有利。 借家の空室率は約20%とやや高めで、競合との差別化が必要。</t>
        </is>
      </c>
      <c r="V1510" t="inlineStr">
        <is>
          <t>鞍手町（福岡県）：遠賀川・筑後川の氾濫、玄界灘沿岸の高潮、北部九州豪雨型の土砂災害に注意。</t>
        </is>
      </c>
    </row>
    <row r="1511">
      <c r="A1511" t="inlineStr">
        <is>
          <t>福岡県</t>
        </is>
      </c>
      <c r="B1511" t="inlineStr">
        <is>
          <t>桂川町</t>
        </is>
      </c>
      <c r="C1511" t="n">
        <v>6290</v>
      </c>
      <c r="D1511" t="n">
        <v>12101</v>
      </c>
      <c r="E1511" s="6" t="n">
        <v>606</v>
      </c>
      <c r="F1511" s="7" t="n">
        <v>47.1</v>
      </c>
      <c r="G1511" t="n">
        <v>12878</v>
      </c>
      <c r="H1511" t="n">
        <v>12101</v>
      </c>
      <c r="I1511" t="n">
        <v>11440</v>
      </c>
      <c r="J1511" t="n">
        <v>9357</v>
      </c>
      <c r="K1511" s="27">
        <f>(H1511/D1511-1)</f>
        <v/>
      </c>
      <c r="L1511" s="27">
        <f>(I1511/D1511-1)</f>
        <v/>
      </c>
      <c r="M1511" s="27">
        <f>(J1511/D1511-1)</f>
        <v/>
      </c>
      <c r="N1511" t="n">
        <v>48.7</v>
      </c>
      <c r="O1511" s="28">
        <f>(N1511+F1511)/2</f>
        <v/>
      </c>
      <c r="P1511">
        <f>IF(O1511="計算不能","計算不能",IF(O1511&gt;=80,5,IF(O1511&gt;=60,4,IF(O1511&gt;=40,3,IF(O1511&gt;=28,2,1)))))</f>
        <v/>
      </c>
      <c r="Q1511" t="n">
        <v>2727</v>
      </c>
      <c r="R1511" t="n">
        <v>0</v>
      </c>
      <c r="S1511" s="27">
        <f>R1511/Q1511</f>
        <v/>
      </c>
      <c r="T1511" t="inlineStr">
        <is>
          <t>桂川町は2045年までに人口が約22.7%減と明確な減少トレンド。高齢化の進行と世帯数の縮小により、中長期では賃貸需要の構造的縮小に警戒が必要。</t>
        </is>
      </c>
      <c r="U1511" t="inlineStr">
        <is>
          <t>桂川町は人口密度606人/km²で、主要道路沿いや中心市街地に一定の賃貸需要が局在。立地選別が稼働を左右する。 借家の空室率は約0%と需給は比較的引き締まっている。</t>
        </is>
      </c>
      <c r="V1511" t="inlineStr">
        <is>
          <t>桂川町（福岡県）：遠賀川・筑後川の氾濫、玄界灘沿岸の高潮、北部九州豪雨型の土砂災害に注意。</t>
        </is>
      </c>
    </row>
    <row r="1512">
      <c r="A1512" t="inlineStr">
        <is>
          <t>福岡県</t>
        </is>
      </c>
      <c r="B1512" t="inlineStr">
        <is>
          <t>筑前町</t>
        </is>
      </c>
      <c r="C1512" t="n">
        <v>11010</v>
      </c>
      <c r="D1512" t="n">
        <v>29564</v>
      </c>
      <c r="E1512" s="6" t="n">
        <v>459.6</v>
      </c>
      <c r="F1512" s="7" t="n">
        <v>43</v>
      </c>
      <c r="G1512" t="n">
        <v>29591</v>
      </c>
      <c r="H1512" t="n">
        <v>29564</v>
      </c>
      <c r="I1512" t="n">
        <v>29043</v>
      </c>
      <c r="J1512" t="n">
        <v>26857</v>
      </c>
      <c r="K1512" s="27">
        <f>(H1512/D1512-1)</f>
        <v/>
      </c>
      <c r="L1512" s="27">
        <f>(I1512/D1512-1)</f>
        <v/>
      </c>
      <c r="M1512" s="27">
        <f>(J1512/D1512-1)</f>
        <v/>
      </c>
      <c r="N1512" t="n">
        <v>69</v>
      </c>
      <c r="O1512" s="28">
        <f>(N1512+F1512)/2</f>
        <v/>
      </c>
      <c r="P1512">
        <f>IF(O1512="計算不能","計算不能",IF(O1512&gt;=80,5,IF(O1512&gt;=60,4,IF(O1512&gt;=40,3,IF(O1512&gt;=28,2,1)))))</f>
        <v/>
      </c>
      <c r="Q1512" t="n">
        <v>4773</v>
      </c>
      <c r="R1512" t="n">
        <v>370</v>
      </c>
      <c r="S1512" s="27">
        <f>R1512/Q1512</f>
        <v/>
      </c>
      <c r="T1512" t="inlineStr">
        <is>
          <t>筑前町は2045年までに人口が約9.2%減と緩やかな減少局面。若年層の都市部流出と高齢化が進むが、当面の賃貸稼働は一定程度維持される見通し。</t>
        </is>
      </c>
      <c r="U1512" t="inlineStr">
        <is>
          <t>筑前町は人口密度460人/km²と低密度で、賃貸需要は限定的。持ち家比率が高く、駐車場完備の戸建て賃貸が有利。 借家の空室率は約8%と需給は比較的引き締まっている。</t>
        </is>
      </c>
      <c r="V1512" t="inlineStr">
        <is>
          <t>筑前町（福岡県）：遠賀川・筑後川の氾濫、玄界灘沿岸の高潮、北部九州豪雨型の土砂災害に注意。</t>
        </is>
      </c>
    </row>
    <row r="1513">
      <c r="A1513" t="inlineStr">
        <is>
          <t>福岡県</t>
        </is>
      </c>
      <c r="B1513" t="inlineStr">
        <is>
          <t>東峰村</t>
        </is>
      </c>
      <c r="C1513" t="n">
        <v>790</v>
      </c>
      <c r="D1513" t="n">
        <v>1676</v>
      </c>
      <c r="E1513" s="6" t="n">
        <v>31.1</v>
      </c>
      <c r="F1513" s="7" t="n">
        <v>13.1</v>
      </c>
      <c r="G1513" t="n">
        <v>1899</v>
      </c>
      <c r="H1513" t="n">
        <v>1676</v>
      </c>
      <c r="I1513" t="n">
        <v>1472</v>
      </c>
      <c r="J1513" t="n">
        <v>969</v>
      </c>
      <c r="K1513" s="27">
        <f>(H1513/D1513-1)</f>
        <v/>
      </c>
      <c r="L1513" s="27">
        <f>(I1513/D1513-1)</f>
        <v/>
      </c>
      <c r="M1513" s="27">
        <f>(J1513/D1513-1)</f>
        <v/>
      </c>
      <c r="N1513" t="n">
        <v>35.2</v>
      </c>
      <c r="O1513" s="28">
        <f>(N1513+F1513)/2</f>
        <v/>
      </c>
      <c r="P1513">
        <f>IF(O1513="計算不能","計算不能",IF(O1513&gt;=80,5,IF(O1513&gt;=60,4,IF(O1513&gt;=40,3,IF(O1513&gt;=28,2,1)))))</f>
        <v/>
      </c>
      <c r="Q1513" t="n">
        <v>342</v>
      </c>
      <c r="R1513" t="n">
        <v>0</v>
      </c>
      <c r="S1513" s="27">
        <f>R1513/Q1513</f>
        <v/>
      </c>
      <c r="T1513" t="inlineStr">
        <is>
          <t>東峰村は2045年までに人口が約42.2%減と急激な過疎・超高齢化が進行。若年労働世代の流出と自然減が重なり、賃貸事業としての持続性は極めて限定的。</t>
        </is>
      </c>
      <c r="U1513" t="inlineStr">
        <is>
          <t>東峰村は人口密度31人/km²と過疎的水準で、民間賃貸の新規需要は薄い。実需に裏付けられた格安戸建ての指値取得のみが現実的。 借家の空室率は約0%と需給は比較的引き締まっている。</t>
        </is>
      </c>
      <c r="V1513" t="inlineStr">
        <is>
          <t>東峰村（福岡県）：遠賀川・筑後川の氾濫、玄界灘沿岸の高潮、北部九州豪雨型の土砂災害に注意。</t>
        </is>
      </c>
    </row>
    <row r="1514">
      <c r="A1514" t="inlineStr">
        <is>
          <t>福岡県</t>
        </is>
      </c>
      <c r="B1514" t="inlineStr">
        <is>
          <t>大刀洗町</t>
        </is>
      </c>
      <c r="C1514" t="n">
        <v>5850</v>
      </c>
      <c r="D1514" t="n">
        <v>15738</v>
      </c>
      <c r="E1514" s="6" t="n">
        <v>691.8</v>
      </c>
      <c r="F1514" s="7" t="n">
        <v>48.8</v>
      </c>
      <c r="G1514" t="n">
        <v>15521</v>
      </c>
      <c r="H1514" t="n">
        <v>15738</v>
      </c>
      <c r="I1514" t="n">
        <v>15429</v>
      </c>
      <c r="J1514" t="n">
        <v>14209</v>
      </c>
      <c r="K1514" s="27">
        <f>(H1514/D1514-1)</f>
        <v/>
      </c>
      <c r="L1514" s="27">
        <f>(I1514/D1514-1)</f>
        <v/>
      </c>
      <c r="M1514" s="27">
        <f>(J1514/D1514-1)</f>
        <v/>
      </c>
      <c r="N1514" t="n">
        <v>71.5</v>
      </c>
      <c r="O1514" s="28">
        <f>(N1514+F1514)/2</f>
        <v/>
      </c>
      <c r="P1514">
        <f>IF(O1514="計算不能","計算不能",IF(O1514&gt;=80,5,IF(O1514&gt;=60,4,IF(O1514&gt;=40,3,IF(O1514&gt;=28,2,1)))))</f>
        <v/>
      </c>
      <c r="Q1514" t="n">
        <v>2536</v>
      </c>
      <c r="R1514" t="n">
        <v>880</v>
      </c>
      <c r="S1514" s="27">
        <f>R1514/Q1514</f>
        <v/>
      </c>
      <c r="T1514" t="inlineStr">
        <is>
          <t>大刀洗町は2045年までに人口が約9.7%減と緩やかな減少局面。若年層の都市部流出と高齢化が進むが、当面の賃貸稼働は一定程度維持される見通し。</t>
        </is>
      </c>
      <c r="U1514" t="inlineStr">
        <is>
          <t>大刀洗町は人口密度692人/km²で、主要道路沿いや中心市街地に一定の賃貸需要が局在。立地選別が稼働を左右する。 借家の空室率は約35%と供給過多気味で、空室長期化リスクに要警戒。</t>
        </is>
      </c>
      <c r="V1514" t="inlineStr">
        <is>
          <t>大刀洗町（福岡県）：遠賀川・筑後川の氾濫、玄界灘沿岸の高潮、北部九州豪雨型の土砂災害に注意。</t>
        </is>
      </c>
    </row>
    <row r="1515">
      <c r="A1515" t="inlineStr">
        <is>
          <t>福岡県</t>
        </is>
      </c>
      <c r="B1515" t="inlineStr">
        <is>
          <t>大木町</t>
        </is>
      </c>
      <c r="C1515" t="n">
        <v>5345</v>
      </c>
      <c r="D1515" t="n">
        <v>13090</v>
      </c>
      <c r="E1515" s="6" t="n">
        <v>714.3</v>
      </c>
      <c r="F1515" s="7" t="n">
        <v>49.3</v>
      </c>
      <c r="G1515" t="n">
        <v>13820</v>
      </c>
      <c r="H1515" t="n">
        <v>13090</v>
      </c>
      <c r="I1515" t="n">
        <v>12553</v>
      </c>
      <c r="J1515" t="n">
        <v>10799</v>
      </c>
      <c r="K1515" s="27">
        <f>(H1515/D1515-1)</f>
        <v/>
      </c>
      <c r="L1515" s="27">
        <f>(I1515/D1515-1)</f>
        <v/>
      </c>
      <c r="M1515" s="27">
        <f>(J1515/D1515-1)</f>
        <v/>
      </c>
      <c r="N1515" t="n">
        <v>53.4</v>
      </c>
      <c r="O1515" s="28">
        <f>(N1515+F1515)/2</f>
        <v/>
      </c>
      <c r="P1515">
        <f>IF(O1515="計算不能","計算不能",IF(O1515&gt;=80,5,IF(O1515&gt;=60,4,IF(O1515&gt;=40,3,IF(O1515&gt;=28,2,1)))))</f>
        <v/>
      </c>
      <c r="Q1515" t="n">
        <v>2317</v>
      </c>
      <c r="R1515" t="n">
        <v>0</v>
      </c>
      <c r="S1515" s="27">
        <f>R1515/Q1515</f>
        <v/>
      </c>
      <c r="T1515" t="inlineStr">
        <is>
          <t>大木町は2045年までに人口が約17.5%減と明確な減少トレンド。高齢化の進行と世帯数の縮小により、中長期では賃貸需要の構造的縮小に警戒が必要。</t>
        </is>
      </c>
      <c r="U1515" t="inlineStr">
        <is>
          <t>大木町は人口密度714人/km²で、主要道路沿いや中心市街地に一定の賃貸需要が局在。立地選別が稼働を左右する。 借家の空室率は約0%と需給は比較的引き締まっている。</t>
        </is>
      </c>
      <c r="V1515" t="inlineStr">
        <is>
          <t>大木町（福岡県）：遠賀川・筑後川の氾濫、玄界灘沿岸の高潮、北部九州豪雨型の土砂災害に注意。</t>
        </is>
      </c>
    </row>
    <row r="1516">
      <c r="A1516" t="inlineStr">
        <is>
          <t>福岡県</t>
        </is>
      </c>
      <c r="B1516" t="inlineStr">
        <is>
          <t>広川町</t>
        </is>
      </c>
      <c r="C1516" t="n">
        <v>7670</v>
      </c>
      <c r="D1516" t="n">
        <v>19503</v>
      </c>
      <c r="E1516" s="6" t="n">
        <v>507.7</v>
      </c>
      <c r="F1516" s="7" t="n">
        <v>45.2</v>
      </c>
      <c r="G1516" t="n">
        <v>19969</v>
      </c>
      <c r="H1516" t="n">
        <v>19503</v>
      </c>
      <c r="I1516" t="n">
        <v>18917</v>
      </c>
      <c r="J1516" t="n">
        <v>16939</v>
      </c>
      <c r="K1516" s="27">
        <f>(H1516/D1516-1)</f>
        <v/>
      </c>
      <c r="L1516" s="27">
        <f>(I1516/D1516-1)</f>
        <v/>
      </c>
      <c r="M1516" s="27">
        <f>(J1516/D1516-1)</f>
        <v/>
      </c>
      <c r="N1516" t="n">
        <v>61.9</v>
      </c>
      <c r="O1516" s="28">
        <f>(N1516+F1516)/2</f>
        <v/>
      </c>
      <c r="P1516">
        <f>IF(O1516="計算不能","計算不能",IF(O1516&gt;=80,5,IF(O1516&gt;=60,4,IF(O1516&gt;=40,3,IF(O1516&gt;=28,2,1)))))</f>
        <v/>
      </c>
      <c r="Q1516" t="n">
        <v>3325</v>
      </c>
      <c r="R1516" t="n">
        <v>610</v>
      </c>
      <c r="S1516" s="27">
        <f>R1516/Q1516</f>
        <v/>
      </c>
      <c r="T1516" t="inlineStr">
        <is>
          <t>広川町は2045年までに人口が約13.1%減と緩やかな減少局面。若年層の都市部流出と高齢化が進むが、当面の賃貸稼働は一定程度維持される見通し。</t>
        </is>
      </c>
      <c r="U1516" t="inlineStr">
        <is>
          <t>広川町は人口密度508人/km²で、主要道路沿いや中心市街地に一定の賃貸需要が局在。立地選別が稼働を左右する。 借家の空室率は約18%とやや高めで、競合との差別化が必要。</t>
        </is>
      </c>
      <c r="V1516" t="inlineStr">
        <is>
          <t>広川町（福岡県）：遠賀川・筑後川の氾濫、玄界灘沿岸の高潮、北部九州豪雨型の土砂災害に注意。</t>
        </is>
      </c>
    </row>
    <row r="1517">
      <c r="A1517" t="inlineStr">
        <is>
          <t>福岡県</t>
        </is>
      </c>
      <c r="B1517" t="inlineStr">
        <is>
          <t>香春町</t>
        </is>
      </c>
      <c r="C1517" t="n">
        <v>5317</v>
      </c>
      <c r="D1517" t="n">
        <v>9436</v>
      </c>
      <c r="E1517" s="6" t="n">
        <v>210.2</v>
      </c>
      <c r="F1517" s="7" t="n">
        <v>30.5</v>
      </c>
      <c r="G1517" t="n">
        <v>10191</v>
      </c>
      <c r="H1517" t="n">
        <v>9436</v>
      </c>
      <c r="I1517" t="n">
        <v>8680</v>
      </c>
      <c r="J1517" t="n">
        <v>6463</v>
      </c>
      <c r="K1517" s="27">
        <f>(H1517/D1517-1)</f>
        <v/>
      </c>
      <c r="L1517" s="27">
        <f>(I1517/D1517-1)</f>
        <v/>
      </c>
      <c r="M1517" s="27">
        <f>(J1517/D1517-1)</f>
        <v/>
      </c>
      <c r="N1517" t="n">
        <v>42.7</v>
      </c>
      <c r="O1517" s="28">
        <f>(N1517+F1517)/2</f>
        <v/>
      </c>
      <c r="P1517">
        <f>IF(O1517="計算不能","計算不能",IF(O1517&gt;=80,5,IF(O1517&gt;=60,4,IF(O1517&gt;=40,3,IF(O1517&gt;=28,2,1)))))</f>
        <v/>
      </c>
      <c r="Q1517" t="n">
        <v>2305</v>
      </c>
      <c r="R1517" t="n">
        <v>0</v>
      </c>
      <c r="S1517" s="27">
        <f>R1517/Q1517</f>
        <v/>
      </c>
      <c r="T1517" t="inlineStr">
        <is>
          <t>香春町は2045年までに人口が約31.5%減と急激な過疎・超高齢化が進行。若年労働世代の流出と自然減が重なり、賃貸事業としての持続性は極めて限定的。</t>
        </is>
      </c>
      <c r="U1517" t="inlineStr">
        <is>
          <t>香春町は人口密度210人/km²と低密度で、賃貸需要は限定的。持ち家比率が高く、駐車場完備の戸建て賃貸が有利。 借家の空室率は約0%と需給は比較的引き締まっている。</t>
        </is>
      </c>
      <c r="V1517" t="inlineStr">
        <is>
          <t>香春町（福岡県）：遠賀川・筑後川の氾濫、玄界灘沿岸の高潮、北部九州豪雨型の土砂災害に注意。</t>
        </is>
      </c>
    </row>
    <row r="1518">
      <c r="A1518" t="inlineStr">
        <is>
          <t>福岡県</t>
        </is>
      </c>
      <c r="B1518" t="inlineStr">
        <is>
          <t>添田町</t>
        </is>
      </c>
      <c r="C1518" t="n">
        <v>4375</v>
      </c>
      <c r="D1518" t="n">
        <v>7940</v>
      </c>
      <c r="E1518" s="6" t="n">
        <v>57.6</v>
      </c>
      <c r="F1518" s="7" t="n">
        <v>15.8</v>
      </c>
      <c r="G1518" t="n">
        <v>8801</v>
      </c>
      <c r="H1518" t="n">
        <v>7940</v>
      </c>
      <c r="I1518" t="n">
        <v>7102</v>
      </c>
      <c r="J1518" t="n">
        <v>4839</v>
      </c>
      <c r="K1518" s="27">
        <f>(H1518/D1518-1)</f>
        <v/>
      </c>
      <c r="L1518" s="27">
        <f>(I1518/D1518-1)</f>
        <v/>
      </c>
      <c r="M1518" s="27">
        <f>(J1518/D1518-1)</f>
        <v/>
      </c>
      <c r="N1518" t="n">
        <v>38.1</v>
      </c>
      <c r="O1518" s="28">
        <f>(N1518+F1518)/2</f>
        <v/>
      </c>
      <c r="P1518">
        <f>IF(O1518="計算不能","計算不能",IF(O1518&gt;=80,5,IF(O1518&gt;=60,4,IF(O1518&gt;=40,3,IF(O1518&gt;=28,2,1)))))</f>
        <v/>
      </c>
      <c r="Q1518" t="n">
        <v>1896</v>
      </c>
      <c r="R1518" t="n">
        <v>0</v>
      </c>
      <c r="S1518" s="27">
        <f>R1518/Q1518</f>
        <v/>
      </c>
      <c r="T1518" t="inlineStr">
        <is>
          <t>添田町は2045年までに人口が約39.1%減と急激な過疎・超高齢化が進行。若年労働世代の流出と自然減が重なり、賃貸事業としての持続性は極めて限定的。</t>
        </is>
      </c>
      <c r="U1518" t="inlineStr">
        <is>
          <t>添田町は人口密度58人/km²と過疎的水準で、民間賃貸の新規需要は薄い。実需に裏付けられた格安戸建ての指値取得のみが現実的。 借家の空室率は約0%と需給は比較的引き締まっている。</t>
        </is>
      </c>
      <c r="V1518" t="inlineStr">
        <is>
          <t>添田町（福岡県）：遠賀川・筑後川の氾濫、玄界灘沿岸の高潮、北部九州豪雨型の土砂災害に注意。</t>
        </is>
      </c>
    </row>
    <row r="1519">
      <c r="A1519" t="inlineStr">
        <is>
          <t>福岡県</t>
        </is>
      </c>
      <c r="B1519" t="inlineStr">
        <is>
          <t>糸田町</t>
        </is>
      </c>
      <c r="C1519" t="n">
        <v>4541</v>
      </c>
      <c r="D1519" t="n">
        <v>7896</v>
      </c>
      <c r="E1519" s="6" t="n">
        <v>941</v>
      </c>
      <c r="F1519" s="7" t="n">
        <v>53.8</v>
      </c>
      <c r="G1519" t="n">
        <v>8407</v>
      </c>
      <c r="H1519" t="n">
        <v>7896</v>
      </c>
      <c r="I1519" t="n">
        <v>7387</v>
      </c>
      <c r="J1519" t="n">
        <v>5803</v>
      </c>
      <c r="K1519" s="27">
        <f>(H1519/D1519-1)</f>
        <v/>
      </c>
      <c r="L1519" s="27">
        <f>(I1519/D1519-1)</f>
        <v/>
      </c>
      <c r="M1519" s="27">
        <f>(J1519/D1519-1)</f>
        <v/>
      </c>
      <c r="N1519" t="n">
        <v>46.2</v>
      </c>
      <c r="O1519" s="28">
        <f>(N1519+F1519)/2</f>
        <v/>
      </c>
      <c r="P1519">
        <f>IF(O1519="計算不能","計算不能",IF(O1519&gt;=80,5,IF(O1519&gt;=60,4,IF(O1519&gt;=40,3,IF(O1519&gt;=28,2,1)))))</f>
        <v/>
      </c>
      <c r="Q1519" t="n">
        <v>1968</v>
      </c>
      <c r="R1519" t="n">
        <v>0</v>
      </c>
      <c r="S1519" s="27">
        <f>R1519/Q1519</f>
        <v/>
      </c>
      <c r="T1519" t="inlineStr">
        <is>
          <t>糸田町は2045年までに人口が約26.5%減と明確な減少トレンド。高齢化の進行と世帯数の縮小により、中長期では賃貸需要の構造的縮小に警戒が必要。</t>
        </is>
      </c>
      <c r="U1519" t="inlineStr">
        <is>
          <t>糸田町は人口密度941人/km²で、主要道路沿いや中心市街地に一定の賃貸需要が局在。立地選別が稼働を左右する。 借家の空室率は約0%と需給は比較的引き締まっている。</t>
        </is>
      </c>
      <c r="V1519" t="inlineStr">
        <is>
          <t>糸田町（福岡県）：遠賀川・筑後川の氾濫、玄界灘沿岸の高潮、北部九州豪雨型の土砂災害に注意。</t>
        </is>
      </c>
    </row>
    <row r="1520">
      <c r="A1520" t="inlineStr">
        <is>
          <t>福岡県</t>
        </is>
      </c>
      <c r="B1520" t="inlineStr">
        <is>
          <t>川崎町</t>
        </is>
      </c>
      <c r="C1520" t="n">
        <v>6530</v>
      </c>
      <c r="D1520" t="n">
        <v>13762</v>
      </c>
      <c r="E1520" s="6" t="n">
        <v>372.7</v>
      </c>
      <c r="F1520" s="7" t="n">
        <v>38.6</v>
      </c>
      <c r="G1520" t="n">
        <v>15176</v>
      </c>
      <c r="H1520" t="n">
        <v>13762</v>
      </c>
      <c r="I1520" t="n">
        <v>12414</v>
      </c>
      <c r="J1520" t="n">
        <v>8578</v>
      </c>
      <c r="K1520" s="27">
        <f>(H1520/D1520-1)</f>
        <v/>
      </c>
      <c r="L1520" s="27">
        <f>(I1520/D1520-1)</f>
        <v/>
      </c>
      <c r="M1520" s="27">
        <f>(J1520/D1520-1)</f>
        <v/>
      </c>
      <c r="N1520" t="n">
        <v>39</v>
      </c>
      <c r="O1520" s="28">
        <f>(N1520+F1520)/2</f>
        <v/>
      </c>
      <c r="P1520">
        <f>IF(O1520="計算不能","計算不能",IF(O1520&gt;=80,5,IF(O1520&gt;=60,4,IF(O1520&gt;=40,3,IF(O1520&gt;=28,2,1)))))</f>
        <v/>
      </c>
      <c r="Q1520" t="n">
        <v>2831</v>
      </c>
      <c r="R1520" t="n">
        <v>600</v>
      </c>
      <c r="S1520" s="27">
        <f>R1520/Q1520</f>
        <v/>
      </c>
      <c r="T1520" t="inlineStr">
        <is>
          <t>川崎町は2045年までに人口が約37.7%減と急激な過疎・超高齢化が進行。若年労働世代の流出と自然減が重なり、賃貸事業としての持続性は極めて限定的。</t>
        </is>
      </c>
      <c r="U1520" t="inlineStr">
        <is>
          <t>川崎町は人口密度373人/km²と低密度で、賃貸需要は限定的。持ち家比率が高く、駐車場完備の戸建て賃貸が有利。 借家の空室率は約21%とやや高めで、競合との差別化が必要。</t>
        </is>
      </c>
      <c r="V1520" t="inlineStr">
        <is>
          <t>川崎町（福岡県）：遠賀川・筑後川の氾濫、玄界灘沿岸の高潮、北部九州豪雨型の土砂災害に注意。</t>
        </is>
      </c>
    </row>
    <row r="1521">
      <c r="A1521" t="inlineStr">
        <is>
          <t>福岡県</t>
        </is>
      </c>
      <c r="B1521" t="inlineStr">
        <is>
          <t>大任町</t>
        </is>
      </c>
      <c r="C1521" t="n">
        <v>2646</v>
      </c>
      <c r="D1521" t="n">
        <v>4763</v>
      </c>
      <c r="E1521" s="6" t="n">
        <v>334.2</v>
      </c>
      <c r="F1521" s="7" t="n">
        <v>36.7</v>
      </c>
      <c r="G1521" t="n">
        <v>5008</v>
      </c>
      <c r="H1521" t="n">
        <v>4763</v>
      </c>
      <c r="I1521" t="n">
        <v>4533</v>
      </c>
      <c r="J1521" t="n">
        <v>3768</v>
      </c>
      <c r="K1521" s="27">
        <f>(H1521/D1521-1)</f>
        <v/>
      </c>
      <c r="L1521" s="27">
        <f>(I1521/D1521-1)</f>
        <v/>
      </c>
      <c r="M1521" s="27">
        <f>(J1521/D1521-1)</f>
        <v/>
      </c>
      <c r="N1521" t="n">
        <v>52.1</v>
      </c>
      <c r="O1521" s="28">
        <f>(N1521+F1521)/2</f>
        <v/>
      </c>
      <c r="P1521">
        <f>IF(O1521="計算不能","計算不能",IF(O1521&gt;=80,5,IF(O1521&gt;=60,4,IF(O1521&gt;=40,3,IF(O1521&gt;=28,2,1)))))</f>
        <v/>
      </c>
      <c r="Q1521" t="n">
        <v>1147</v>
      </c>
      <c r="R1521" t="n">
        <v>0</v>
      </c>
      <c r="S1521" s="27">
        <f>R1521/Q1521</f>
        <v/>
      </c>
      <c r="T1521" t="inlineStr">
        <is>
          <t>大任町は2045年までに人口が約20.9%減と明確な減少トレンド。高齢化の進行と世帯数の縮小により、中長期では賃貸需要の構造的縮小に警戒が必要。</t>
        </is>
      </c>
      <c r="U1521" t="inlineStr">
        <is>
          <t>大任町は人口密度334人/km²と低密度で、賃貸需要は限定的。持ち家比率が高く、駐車場完備の戸建て賃貸が有利。 借家の空室率は約0%と需給は比較的引き締まっている。</t>
        </is>
      </c>
      <c r="V1521" t="inlineStr">
        <is>
          <t>大任町（福岡県）：遠賀川・筑後川の氾濫、玄界灘沿岸の高潮、北部九州豪雨型の土砂災害に注意。</t>
        </is>
      </c>
    </row>
    <row r="1522">
      <c r="A1522" t="inlineStr">
        <is>
          <t>福岡県</t>
        </is>
      </c>
      <c r="B1522" t="inlineStr">
        <is>
          <t>赤村</t>
        </is>
      </c>
      <c r="C1522" t="n">
        <v>1456</v>
      </c>
      <c r="D1522" t="n">
        <v>2576</v>
      </c>
      <c r="E1522" s="6" t="n">
        <v>78</v>
      </c>
      <c r="F1522" s="7" t="n">
        <v>17.8</v>
      </c>
      <c r="G1522" t="n">
        <v>2774</v>
      </c>
      <c r="H1522" t="n">
        <v>2576</v>
      </c>
      <c r="I1522" t="n">
        <v>2398</v>
      </c>
      <c r="J1522" t="n">
        <v>1855</v>
      </c>
      <c r="K1522" s="27">
        <f>(H1522/D1522-1)</f>
        <v/>
      </c>
      <c r="L1522" s="27">
        <f>(I1522/D1522-1)</f>
        <v/>
      </c>
      <c r="M1522" s="27">
        <f>(J1522/D1522-1)</f>
        <v/>
      </c>
      <c r="N1522" t="n">
        <v>44.1</v>
      </c>
      <c r="O1522" s="28">
        <f>(N1522+F1522)/2</f>
        <v/>
      </c>
      <c r="P1522">
        <f>IF(O1522="計算不能","計算不能",IF(O1522&gt;=80,5,IF(O1522&gt;=60,4,IF(O1522&gt;=40,3,IF(O1522&gt;=28,2,1)))))</f>
        <v/>
      </c>
      <c r="Q1522" t="n">
        <v>631</v>
      </c>
      <c r="R1522" t="n">
        <v>0</v>
      </c>
      <c r="S1522" s="27">
        <f>R1522/Q1522</f>
        <v/>
      </c>
      <c r="T1522" t="inlineStr">
        <is>
          <t>赤村は2045年までに人口が約28.0%減と明確な減少トレンド。高齢化の進行と世帯数の縮小により、中長期では賃貸需要の構造的縮小に警戒が必要。</t>
        </is>
      </c>
      <c r="U1522" t="inlineStr">
        <is>
          <t>赤村は人口密度78人/km²と過疎的水準で、民間賃貸の新規需要は薄い。実需に裏付けられた格安戸建ての指値取得のみが現実的。 借家の空室率は約0%と需給は比較的引き締まっている。</t>
        </is>
      </c>
      <c r="V1522" t="inlineStr">
        <is>
          <t>赤村（福岡県）：遠賀川・筑後川の氾濫、玄界灘沿岸の高潮、北部九州豪雨型の土砂災害に注意。</t>
        </is>
      </c>
    </row>
    <row r="1523">
      <c r="A1523" t="inlineStr">
        <is>
          <t>福岡県</t>
        </is>
      </c>
      <c r="B1523" t="inlineStr">
        <is>
          <t>福智町</t>
        </is>
      </c>
      <c r="C1523" t="n">
        <v>8810</v>
      </c>
      <c r="D1523" t="n">
        <v>19626</v>
      </c>
      <c r="E1523" s="6" t="n">
        <v>472.6</v>
      </c>
      <c r="F1523" s="7" t="n">
        <v>43.6</v>
      </c>
      <c r="G1523" t="n">
        <v>21398</v>
      </c>
      <c r="H1523" t="n">
        <v>19626</v>
      </c>
      <c r="I1523" t="n">
        <v>18231</v>
      </c>
      <c r="J1523" t="n">
        <v>13938</v>
      </c>
      <c r="K1523" s="27">
        <f>(H1523/D1523-1)</f>
        <v/>
      </c>
      <c r="L1523" s="27">
        <f>(I1523/D1523-1)</f>
        <v/>
      </c>
      <c r="M1523" s="27">
        <f>(J1523/D1523-1)</f>
        <v/>
      </c>
      <c r="N1523" t="n">
        <v>42.8</v>
      </c>
      <c r="O1523" s="28">
        <f>(N1523+F1523)/2</f>
        <v/>
      </c>
      <c r="P1523">
        <f>IF(O1523="計算不能","計算不能",IF(O1523&gt;=80,5,IF(O1523&gt;=60,4,IF(O1523&gt;=40,3,IF(O1523&gt;=28,2,1)))))</f>
        <v/>
      </c>
      <c r="Q1523" t="n">
        <v>3819</v>
      </c>
      <c r="R1523" t="n">
        <v>350</v>
      </c>
      <c r="S1523" s="27">
        <f>R1523/Q1523</f>
        <v/>
      </c>
      <c r="T1523" t="inlineStr">
        <is>
          <t>福智町は2045年までに人口が約29.0%減と明確な減少トレンド。高齢化の進行と世帯数の縮小により、中長期では賃貸需要の構造的縮小に警戒が必要。</t>
        </is>
      </c>
      <c r="U1523" t="inlineStr">
        <is>
          <t>福智町は人口密度473人/km²と低密度で、賃貸需要は限定的。持ち家比率が高く、駐車場完備の戸建て賃貸が有利。 借家の空室率は約9%と需給は比較的引き締まっている。</t>
        </is>
      </c>
      <c r="V1523" t="inlineStr">
        <is>
          <t>福智町（福岡県）：遠賀川・筑後川の氾濫、玄界灘沿岸の高潮、北部九州豪雨型の土砂災害に注意。</t>
        </is>
      </c>
    </row>
    <row r="1524">
      <c r="A1524" t="inlineStr">
        <is>
          <t>福岡県</t>
        </is>
      </c>
      <c r="B1524" t="inlineStr">
        <is>
          <t>苅田町</t>
        </is>
      </c>
      <c r="C1524" t="n">
        <v>17840</v>
      </c>
      <c r="D1524" t="n">
        <v>37734</v>
      </c>
      <c r="E1524" s="6" t="n">
        <v>766.9</v>
      </c>
      <c r="F1524" s="7" t="n">
        <v>50.3</v>
      </c>
      <c r="G1524" t="n">
        <v>37684</v>
      </c>
      <c r="H1524" t="n">
        <v>37734</v>
      </c>
      <c r="I1524" t="n">
        <v>37442</v>
      </c>
      <c r="J1524" t="n">
        <v>35489</v>
      </c>
      <c r="K1524" s="27">
        <f>(H1524/D1524-1)</f>
        <v/>
      </c>
      <c r="L1524" s="27">
        <f>(I1524/D1524-1)</f>
        <v/>
      </c>
      <c r="M1524" s="27">
        <f>(J1524/D1524-1)</f>
        <v/>
      </c>
      <c r="N1524" t="n">
        <v>71.7</v>
      </c>
      <c r="O1524" s="28">
        <f>(N1524+F1524)/2</f>
        <v/>
      </c>
      <c r="P1524">
        <f>IF(O1524="計算不能","計算不能",IF(O1524&gt;=80,5,IF(O1524&gt;=60,4,IF(O1524&gt;=40,3,IF(O1524&gt;=28,2,1)))))</f>
        <v/>
      </c>
      <c r="Q1524" t="n">
        <v>7735</v>
      </c>
      <c r="R1524" t="n">
        <v>1510</v>
      </c>
      <c r="S1524" s="27">
        <f>R1524/Q1524</f>
        <v/>
      </c>
      <c r="T1524" t="inlineStr">
        <is>
          <t>苅田町は2045年までに人口が約5.9%減と緩やかな減少局面。若年層の都市部流出と高齢化が進むが、当面の賃貸稼働は一定程度維持される見通し。</t>
        </is>
      </c>
      <c r="U1524" t="inlineStr">
        <is>
          <t>苅田町は人口密度767人/km²で、主要道路沿いや中心市街地に一定の賃貸需要が局在。立地選別が稼働を左右する。 借家の空室率は約20%とやや高めで、競合との差別化が必要。</t>
        </is>
      </c>
      <c r="V1524" t="inlineStr">
        <is>
          <t>苅田町（福岡県）：遠賀川・筑後川の氾濫、玄界灘沿岸の高潮、北部九州豪雨型の土砂災害に注意。</t>
        </is>
      </c>
    </row>
    <row r="1525">
      <c r="A1525" t="inlineStr">
        <is>
          <t>福岡県</t>
        </is>
      </c>
      <c r="B1525" t="inlineStr">
        <is>
          <t>みやこ町</t>
        </is>
      </c>
      <c r="C1525" t="n">
        <v>7560</v>
      </c>
      <c r="D1525" t="n">
        <v>16993</v>
      </c>
      <c r="E1525" s="6" t="n">
        <v>110.7</v>
      </c>
      <c r="F1525" s="7" t="n">
        <v>21.1</v>
      </c>
      <c r="G1525" t="n">
        <v>18825</v>
      </c>
      <c r="H1525" t="n">
        <v>16993</v>
      </c>
      <c r="I1525" t="n">
        <v>15564</v>
      </c>
      <c r="J1525" t="n">
        <v>11418</v>
      </c>
      <c r="K1525" s="27">
        <f>(H1525/D1525-1)</f>
        <v/>
      </c>
      <c r="L1525" s="27">
        <f>(I1525/D1525-1)</f>
        <v/>
      </c>
      <c r="M1525" s="27">
        <f>(J1525/D1525-1)</f>
        <v/>
      </c>
      <c r="N1525" t="n">
        <v>40.2</v>
      </c>
      <c r="O1525" s="28">
        <f>(N1525+F1525)/2</f>
        <v/>
      </c>
      <c r="P1525">
        <f>IF(O1525="計算不能","計算不能",IF(O1525&gt;=80,5,IF(O1525&gt;=60,4,IF(O1525&gt;=40,3,IF(O1525&gt;=28,2,1)))))</f>
        <v/>
      </c>
      <c r="Q1525" t="n">
        <v>3277</v>
      </c>
      <c r="R1525" t="n">
        <v>140</v>
      </c>
      <c r="S1525" s="27">
        <f>R1525/Q1525</f>
        <v/>
      </c>
      <c r="T1525" t="inlineStr">
        <is>
          <t>みやこ町は2045年までに人口が約32.8%減と急激な過疎・超高齢化が進行。若年労働世代の流出と自然減が重なり、賃貸事業としての持続性は極めて限定的。</t>
        </is>
      </c>
      <c r="U1525" t="inlineStr">
        <is>
          <t>みやこ町は人口密度111人/km²と過疎的水準で、民間賃貸の新規需要は薄い。実需に裏付けられた格安戸建ての指値取得のみが現実的。 借家の空室率は約4%と需給は比較的引き締まっている。</t>
        </is>
      </c>
      <c r="V1525" t="inlineStr">
        <is>
          <t>みやこ町（福岡県）：遠賀川・筑後川の氾濫、玄界灘沿岸の高潮、北部九州豪雨型の土砂災害に注意。</t>
        </is>
      </c>
    </row>
    <row r="1526">
      <c r="A1526" t="inlineStr">
        <is>
          <t>福岡県</t>
        </is>
      </c>
      <c r="B1526" t="inlineStr">
        <is>
          <t>吉富町</t>
        </is>
      </c>
      <c r="C1526" t="n">
        <v>3057</v>
      </c>
      <c r="D1526" t="n">
        <v>6251</v>
      </c>
      <c r="E1526" s="6" t="n">
        <v>1092</v>
      </c>
      <c r="F1526" s="7" t="n">
        <v>56.8</v>
      </c>
      <c r="G1526" t="n">
        <v>6536</v>
      </c>
      <c r="H1526" t="n">
        <v>6251</v>
      </c>
      <c r="I1526" t="n">
        <v>5962</v>
      </c>
      <c r="J1526" t="n">
        <v>5130</v>
      </c>
      <c r="K1526" s="27">
        <f>(H1526/D1526-1)</f>
        <v/>
      </c>
      <c r="L1526" s="27">
        <f>(I1526/D1526-1)</f>
        <v/>
      </c>
      <c r="M1526" s="27">
        <f>(J1526/D1526-1)</f>
        <v/>
      </c>
      <c r="N1526" t="n">
        <v>54.6</v>
      </c>
      <c r="O1526" s="28">
        <f>(N1526+F1526)/2</f>
        <v/>
      </c>
      <c r="P1526">
        <f>IF(O1526="計算不能","計算不能",IF(O1526&gt;=80,5,IF(O1526&gt;=60,4,IF(O1526&gt;=40,3,IF(O1526&gt;=28,2,1)))))</f>
        <v/>
      </c>
      <c r="Q1526" t="n">
        <v>1325</v>
      </c>
      <c r="R1526" t="n">
        <v>0</v>
      </c>
      <c r="S1526" s="27">
        <f>R1526/Q1526</f>
        <v/>
      </c>
      <c r="T1526" t="inlineStr">
        <is>
          <t>吉富町は2045年までに人口が約17.9%減と明確な減少トレンド。高齢化の進行と世帯数の縮小により、中長期では賃貸需要の構造的縮小に警戒が必要。</t>
        </is>
      </c>
      <c r="U1526" t="inlineStr">
        <is>
          <t>吉富町は人口密度1,092人/km²で、主要道路沿いや中心市街地に一定の賃貸需要が局在。立地選別が稼働を左右する。 借家の空室率は約0%と需給は比較的引き締まっている。</t>
        </is>
      </c>
      <c r="V1526" t="inlineStr">
        <is>
          <t>吉富町（福岡県）：遠賀川・筑後川の氾濫、玄界灘沿岸の高潮、北部九州豪雨型の土砂災害に注意。</t>
        </is>
      </c>
    </row>
    <row r="1527">
      <c r="A1527" t="inlineStr">
        <is>
          <t>福岡県</t>
        </is>
      </c>
      <c r="B1527" t="inlineStr">
        <is>
          <t>上毛町</t>
        </is>
      </c>
      <c r="C1527" t="n">
        <v>3208</v>
      </c>
      <c r="D1527" t="n">
        <v>6913</v>
      </c>
      <c r="E1527" s="6" t="n">
        <v>106.7</v>
      </c>
      <c r="F1527" s="7" t="n">
        <v>20.7</v>
      </c>
      <c r="G1527" t="n">
        <v>7251</v>
      </c>
      <c r="H1527" t="n">
        <v>6913</v>
      </c>
      <c r="I1527" t="n">
        <v>6532</v>
      </c>
      <c r="J1527" t="n">
        <v>5492</v>
      </c>
      <c r="K1527" s="27">
        <f>(H1527/D1527-1)</f>
        <v/>
      </c>
      <c r="L1527" s="27">
        <f>(I1527/D1527-1)</f>
        <v/>
      </c>
      <c r="M1527" s="27">
        <f>(J1527/D1527-1)</f>
        <v/>
      </c>
      <c r="N1527" t="n">
        <v>52.2</v>
      </c>
      <c r="O1527" s="28">
        <f>(N1527+F1527)/2</f>
        <v/>
      </c>
      <c r="P1527">
        <f>IF(O1527="計算不能","計算不能",IF(O1527&gt;=80,5,IF(O1527&gt;=60,4,IF(O1527&gt;=40,3,IF(O1527&gt;=28,2,1)))))</f>
        <v/>
      </c>
      <c r="Q1527" t="n">
        <v>1390</v>
      </c>
      <c r="R1527" t="n">
        <v>0</v>
      </c>
      <c r="S1527" s="27">
        <f>R1527/Q1527</f>
        <v/>
      </c>
      <c r="T1527" t="inlineStr">
        <is>
          <t>上毛町は2045年までに人口が約20.6%減と明確な減少トレンド。高齢化の進行と世帯数の縮小により、中長期では賃貸需要の構造的縮小に警戒が必要。</t>
        </is>
      </c>
      <c r="U1527" t="inlineStr">
        <is>
          <t>上毛町は人口密度107人/km²と過疎的水準で、民間賃貸の新規需要は薄い。実需に裏付けられた格安戸建ての指値取得のみが現実的。 借家の空室率は約0%と需給は比較的引き締まっている。</t>
        </is>
      </c>
      <c r="V1527" t="inlineStr">
        <is>
          <t>上毛町（福岡県）：遠賀川・筑後川の氾濫、玄界灘沿岸の高潮、北部九州豪雨型の土砂災害に注意。</t>
        </is>
      </c>
    </row>
    <row r="1528">
      <c r="A1528" t="inlineStr">
        <is>
          <t>福岡県</t>
        </is>
      </c>
      <c r="B1528" t="inlineStr">
        <is>
          <t>築上町</t>
        </is>
      </c>
      <c r="C1528" t="n">
        <v>6760</v>
      </c>
      <c r="D1528" t="n">
        <v>15717</v>
      </c>
      <c r="E1528" s="6" t="n">
        <v>128.5</v>
      </c>
      <c r="F1528" s="7" t="n">
        <v>22.9</v>
      </c>
      <c r="G1528" t="n">
        <v>17189</v>
      </c>
      <c r="H1528" t="n">
        <v>15717</v>
      </c>
      <c r="I1528" t="n">
        <v>14522</v>
      </c>
      <c r="J1528" t="n">
        <v>10907</v>
      </c>
      <c r="K1528" s="27">
        <f>(H1528/D1528-1)</f>
        <v/>
      </c>
      <c r="L1528" s="27">
        <f>(I1528/D1528-1)</f>
        <v/>
      </c>
      <c r="M1528" s="27">
        <f>(J1528/D1528-1)</f>
        <v/>
      </c>
      <c r="N1528" t="n">
        <v>42</v>
      </c>
      <c r="O1528" s="28">
        <f>(N1528+F1528)/2</f>
        <v/>
      </c>
      <c r="P1528">
        <f>IF(O1528="計算不能","計算不能",IF(O1528&gt;=80,5,IF(O1528&gt;=60,4,IF(O1528&gt;=40,3,IF(O1528&gt;=28,2,1)))))</f>
        <v/>
      </c>
      <c r="Q1528" t="n">
        <v>2931</v>
      </c>
      <c r="R1528" t="n">
        <v>380</v>
      </c>
      <c r="S1528" s="27">
        <f>R1528/Q1528</f>
        <v/>
      </c>
      <c r="T1528" t="inlineStr">
        <is>
          <t>築上町は2045年までに人口が約30.6%減と急激な過疎・超高齢化が進行。若年労働世代の流出と自然減が重なり、賃貸事業としての持続性は極めて限定的。</t>
        </is>
      </c>
      <c r="U1528" t="inlineStr">
        <is>
          <t>築上町は人口密度128人/km²と過疎的水準で、民間賃貸の新規需要は薄い。実需に裏付けられた格安戸建ての指値取得のみが現実的。 借家の空室率は約13%と需給は比較的引き締まっている。</t>
        </is>
      </c>
      <c r="V1528" t="inlineStr">
        <is>
          <t>築上町（福岡県）：遠賀川・筑後川の氾濫、玄界灘沿岸の高潮、北部九州豪雨型の土砂災害に注意。</t>
        </is>
      </c>
    </row>
    <row r="1529">
      <c r="A1529" t="inlineStr">
        <is>
          <t>佐賀県</t>
        </is>
      </c>
      <c r="B1529" t="inlineStr">
        <is>
          <t>佐賀市</t>
        </is>
      </c>
      <c r="C1529" t="n">
        <v>97530</v>
      </c>
      <c r="D1529" t="n">
        <v>228262</v>
      </c>
      <c r="E1529" s="6" t="n">
        <v>527.4</v>
      </c>
      <c r="F1529" s="7" t="n">
        <v>45.5</v>
      </c>
      <c r="G1529" t="n">
        <v>233301</v>
      </c>
      <c r="H1529" t="n">
        <v>228262</v>
      </c>
      <c r="I1529" t="n">
        <v>222225</v>
      </c>
      <c r="J1529" t="n">
        <v>201748</v>
      </c>
      <c r="K1529" s="27">
        <f>(H1529/D1529-1)</f>
        <v/>
      </c>
      <c r="L1529" s="27">
        <f>(I1529/D1529-1)</f>
        <v/>
      </c>
      <c r="M1529" s="27">
        <f>(J1529/D1529-1)</f>
        <v/>
      </c>
      <c r="N1529" t="n">
        <v>63.2</v>
      </c>
      <c r="O1529" s="28">
        <f>(N1529+F1529)/2</f>
        <v/>
      </c>
      <c r="P1529">
        <f>IF(O1529="計算不能","計算不能",IF(O1529&gt;=80,5,IF(O1529&gt;=60,4,IF(O1529&gt;=40,3,IF(O1529&gt;=28,2,1)))))</f>
        <v/>
      </c>
      <c r="Q1529" t="n">
        <v>28172</v>
      </c>
      <c r="R1529" t="n">
        <v>10050</v>
      </c>
      <c r="S1529" s="27">
        <f>R1529/Q1529</f>
        <v/>
      </c>
      <c r="T1529" t="inlineStr">
        <is>
          <t>佐賀市は2045年までに人口が約11.6%減と緩やかな減少局面。若年層の都市部流出と高齢化が進むが、当面の賃貸稼働は一定程度維持される見通し。</t>
        </is>
      </c>
      <c r="U1529" t="inlineStr">
        <is>
          <t>佐賀市は人口密度527人/km²で、主要道路沿いや中心市街地に一定の賃貸需要が局在。立地選別が稼働を左右する。 借家の空室率は約36%と供給過多気味で、空室長期化リスクに要警戒。</t>
        </is>
      </c>
      <c r="V1529" t="inlineStr">
        <is>
          <t>佐賀市（佐賀県）：筑後川・六角川の氾濫と低平地の内水、有明海の高潮、玄界灘の津波に留意。</t>
        </is>
      </c>
    </row>
    <row r="1530">
      <c r="A1530" t="inlineStr">
        <is>
          <t>佐賀県</t>
        </is>
      </c>
      <c r="B1530" t="inlineStr">
        <is>
          <t>唐津市</t>
        </is>
      </c>
      <c r="C1530" t="n">
        <v>44420</v>
      </c>
      <c r="D1530" t="n">
        <v>110274</v>
      </c>
      <c r="E1530" s="6" t="n">
        <v>226</v>
      </c>
      <c r="F1530" s="7" t="n">
        <v>31.3</v>
      </c>
      <c r="G1530" t="n">
        <v>117373</v>
      </c>
      <c r="H1530" t="n">
        <v>110274</v>
      </c>
      <c r="I1530" t="n">
        <v>103933</v>
      </c>
      <c r="J1530" t="n">
        <v>85955</v>
      </c>
      <c r="K1530" s="27">
        <f>(H1530/D1530-1)</f>
        <v/>
      </c>
      <c r="L1530" s="27">
        <f>(I1530/D1530-1)</f>
        <v/>
      </c>
      <c r="M1530" s="27">
        <f>(J1530/D1530-1)</f>
        <v/>
      </c>
      <c r="N1530" t="n">
        <v>48.8</v>
      </c>
      <c r="O1530" s="28">
        <f>(N1530+F1530)/2</f>
        <v/>
      </c>
      <c r="P1530">
        <f>IF(O1530="計算不能","計算不能",IF(O1530&gt;=80,5,IF(O1530&gt;=60,4,IF(O1530&gt;=40,3,IF(O1530&gt;=28,2,1)))))</f>
        <v/>
      </c>
      <c r="Q1530" t="n">
        <v>12831</v>
      </c>
      <c r="R1530" t="n">
        <v>3010</v>
      </c>
      <c r="S1530" s="27">
        <f>R1530/Q1530</f>
        <v/>
      </c>
      <c r="T1530" t="inlineStr">
        <is>
          <t>唐津市は2045年までに人口が約22.1%減と明確な減少トレンド。高齢化の進行と世帯数の縮小により、中長期では賃貸需要の構造的縮小に警戒が必要。</t>
        </is>
      </c>
      <c r="U1530" t="inlineStr">
        <is>
          <t>唐津市は人口密度226人/km²と低密度で、賃貸需要は限定的。持ち家比率が高く、駐車場完備の戸建て賃貸が有利。 借家の空室率は約23%とやや高めで、競合との差別化が必要。</t>
        </is>
      </c>
      <c r="V1530" t="inlineStr">
        <is>
          <t>唐津市（佐賀県）：筑後川・六角川の氾濫と低平地の内水、有明海の高潮、玄界灘の津波に留意。</t>
        </is>
      </c>
    </row>
    <row r="1531">
      <c r="A1531" t="inlineStr">
        <is>
          <t>佐賀県</t>
        </is>
      </c>
      <c r="B1531" t="inlineStr">
        <is>
          <t>鳥栖市</t>
        </is>
      </c>
      <c r="C1531" t="n">
        <v>30220</v>
      </c>
      <c r="D1531" t="n">
        <v>75219</v>
      </c>
      <c r="E1531" s="6" t="n">
        <v>1038.5</v>
      </c>
      <c r="F1531" s="7" t="n">
        <v>55.8</v>
      </c>
      <c r="G1531" t="n">
        <v>74196</v>
      </c>
      <c r="H1531" t="n">
        <v>75219</v>
      </c>
      <c r="I1531" t="n">
        <v>75395</v>
      </c>
      <c r="J1531" t="n">
        <v>73636</v>
      </c>
      <c r="K1531" s="27">
        <f>(H1531/D1531-1)</f>
        <v/>
      </c>
      <c r="L1531" s="27">
        <f>(I1531/D1531-1)</f>
        <v/>
      </c>
      <c r="M1531" s="27">
        <f>(J1531/D1531-1)</f>
        <v/>
      </c>
      <c r="N1531" t="n">
        <v>76.90000000000001</v>
      </c>
      <c r="O1531" s="28">
        <f>(N1531+F1531)/2</f>
        <v/>
      </c>
      <c r="P1531">
        <f>IF(O1531="計算不能","計算不能",IF(O1531&gt;=80,5,IF(O1531&gt;=60,4,IF(O1531&gt;=40,3,IF(O1531&gt;=28,2,1)))))</f>
        <v/>
      </c>
      <c r="Q1531" t="n">
        <v>8729</v>
      </c>
      <c r="R1531" t="n">
        <v>2070</v>
      </c>
      <c r="S1531" s="27">
        <f>R1531/Q1531</f>
        <v/>
      </c>
      <c r="T1531" t="inlineStr">
        <is>
          <t>鳥栖市は2045年までの人口減少率が約2.1%と全国平均より緩やかで、概ね横ばいの安定推移。生産年齢人口の維持により、賃貸需要の急減リスクは相対的に低い。</t>
        </is>
      </c>
      <c r="U1531" t="inlineStr">
        <is>
          <t>鳥栖市は人口密度1,038人/km²で、主要道路沿いや中心市街地に一定の賃貸需要が局在。立地選別が稼働を左右する。 借家の空室率は約24%とやや高めで、競合との差別化が必要。</t>
        </is>
      </c>
      <c r="V1531" t="inlineStr">
        <is>
          <t>鳥栖市（佐賀県）：筑後川・六角川の氾濫と低平地の内水、有明海の高潮、玄界灘の津波に留意。</t>
        </is>
      </c>
    </row>
    <row r="1532">
      <c r="A1532" t="inlineStr">
        <is>
          <t>佐賀県</t>
        </is>
      </c>
      <c r="B1532" t="inlineStr">
        <is>
          <t>多久市</t>
        </is>
      </c>
      <c r="C1532" t="n">
        <v>6650</v>
      </c>
      <c r="D1532" t="n">
        <v>16934</v>
      </c>
      <c r="E1532" s="6" t="n">
        <v>174.2</v>
      </c>
      <c r="F1532" s="7" t="n">
        <v>27.4</v>
      </c>
      <c r="G1532" t="n">
        <v>18295</v>
      </c>
      <c r="H1532" t="n">
        <v>16934</v>
      </c>
      <c r="I1532" t="n">
        <v>15546</v>
      </c>
      <c r="J1532" t="n">
        <v>11565</v>
      </c>
      <c r="K1532" s="27">
        <f>(H1532/D1532-1)</f>
        <v/>
      </c>
      <c r="L1532" s="27">
        <f>(I1532/D1532-1)</f>
        <v/>
      </c>
      <c r="M1532" s="27">
        <f>(J1532/D1532-1)</f>
        <v/>
      </c>
      <c r="N1532" t="n">
        <v>42.6</v>
      </c>
      <c r="O1532" s="28">
        <f>(N1532+F1532)/2</f>
        <v/>
      </c>
      <c r="P1532">
        <f>IF(O1532="計算不能","計算不能",IF(O1532&gt;=80,5,IF(O1532&gt;=60,4,IF(O1532&gt;=40,3,IF(O1532&gt;=28,2,1)))))</f>
        <v/>
      </c>
      <c r="Q1532" t="n">
        <v>1920</v>
      </c>
      <c r="R1532" t="n">
        <v>150</v>
      </c>
      <c r="S1532" s="27">
        <f>R1532/Q1532</f>
        <v/>
      </c>
      <c r="T1532" t="inlineStr">
        <is>
          <t>多久市は2045年までに人口が約31.7%減と急激な過疎・超高齢化が進行。若年労働世代の流出と自然減が重なり、賃貸事業としての持続性は極めて限定的。</t>
        </is>
      </c>
      <c r="U1532" t="inlineStr">
        <is>
          <t>多久市は人口密度174人/km²と過疎的水準で、民間賃貸の新規需要は薄い。実需に裏付けられた格安戸建ての指値取得のみが現実的。 借家の空室率は約8%と需給は比較的引き締まっている。</t>
        </is>
      </c>
      <c r="V1532" t="inlineStr">
        <is>
          <t>多久市（佐賀県）：筑後川・六角川の氾濫と低平地の内水、有明海の高潮、玄界灘の津波に留意。</t>
        </is>
      </c>
    </row>
    <row r="1533">
      <c r="A1533" t="inlineStr">
        <is>
          <t>佐賀県</t>
        </is>
      </c>
      <c r="B1533" t="inlineStr">
        <is>
          <t>伊万里市</t>
        </is>
      </c>
      <c r="C1533" t="n">
        <v>20020</v>
      </c>
      <c r="D1533" t="n">
        <v>49048</v>
      </c>
      <c r="E1533" s="6" t="n">
        <v>194.9</v>
      </c>
      <c r="F1533" s="7" t="n">
        <v>29.5</v>
      </c>
      <c r="G1533" t="n">
        <v>52629</v>
      </c>
      <c r="H1533" t="n">
        <v>49048</v>
      </c>
      <c r="I1533" t="n">
        <v>46271</v>
      </c>
      <c r="J1533" t="n">
        <v>38350</v>
      </c>
      <c r="K1533" s="27">
        <f>(H1533/D1533-1)</f>
        <v/>
      </c>
      <c r="L1533" s="27">
        <f>(I1533/D1533-1)</f>
        <v/>
      </c>
      <c r="M1533" s="27">
        <f>(J1533/D1533-1)</f>
        <v/>
      </c>
      <c r="N1533" t="n">
        <v>47.5</v>
      </c>
      <c r="O1533" s="28">
        <f>(N1533+F1533)/2</f>
        <v/>
      </c>
      <c r="P1533">
        <f>IF(O1533="計算不能","計算不能",IF(O1533&gt;=80,5,IF(O1533&gt;=60,4,IF(O1533&gt;=40,3,IF(O1533&gt;=28,2,1)))))</f>
        <v/>
      </c>
      <c r="Q1533" t="n">
        <v>5783</v>
      </c>
      <c r="R1533" t="n">
        <v>810</v>
      </c>
      <c r="S1533" s="27">
        <f>R1533/Q1533</f>
        <v/>
      </c>
      <c r="T1533" t="inlineStr">
        <is>
          <t>伊万里市は2045年までに人口が約21.8%減と明確な減少トレンド。高齢化の進行と世帯数の縮小により、中長期では賃貸需要の構造的縮小に警戒が必要。</t>
        </is>
      </c>
      <c r="U1533" t="inlineStr">
        <is>
          <t>伊万里市は人口密度195人/km²と過疎的水準で、民間賃貸の新規需要は薄い。実需に裏付けられた格安戸建ての指値取得のみが現実的。 借家の空室率は約14%と需給は比較的引き締まっている。</t>
        </is>
      </c>
      <c r="V1533" t="inlineStr">
        <is>
          <t>伊万里市（佐賀県）：筑後川・六角川の氾濫と低平地の内水、有明海の高潮、玄界灘の津波に留意。</t>
        </is>
      </c>
    </row>
    <row r="1534">
      <c r="A1534" t="inlineStr">
        <is>
          <t>佐賀県</t>
        </is>
      </c>
      <c r="B1534" t="inlineStr">
        <is>
          <t>武雄市</t>
        </is>
      </c>
      <c r="C1534" t="n">
        <v>17640</v>
      </c>
      <c r="D1534" t="n">
        <v>46267</v>
      </c>
      <c r="E1534" s="6" t="n">
        <v>234</v>
      </c>
      <c r="F1534" s="7" t="n">
        <v>31.7</v>
      </c>
      <c r="G1534" t="n">
        <v>47914</v>
      </c>
      <c r="H1534" t="n">
        <v>46267</v>
      </c>
      <c r="I1534" t="n">
        <v>44423</v>
      </c>
      <c r="J1534" t="n">
        <v>38602</v>
      </c>
      <c r="K1534" s="27">
        <f>(H1534/D1534-1)</f>
        <v/>
      </c>
      <c r="L1534" s="27">
        <f>(I1534/D1534-1)</f>
        <v/>
      </c>
      <c r="M1534" s="27">
        <f>(J1534/D1534-1)</f>
        <v/>
      </c>
      <c r="N1534" t="n">
        <v>57.4</v>
      </c>
      <c r="O1534" s="28">
        <f>(N1534+F1534)/2</f>
        <v/>
      </c>
      <c r="P1534">
        <f>IF(O1534="計算不能","計算不能",IF(O1534&gt;=80,5,IF(O1534&gt;=60,4,IF(O1534&gt;=40,3,IF(O1534&gt;=28,2,1)))))</f>
        <v/>
      </c>
      <c r="Q1534" t="n">
        <v>5095</v>
      </c>
      <c r="R1534" t="n">
        <v>1070</v>
      </c>
      <c r="S1534" s="27">
        <f>R1534/Q1534</f>
        <v/>
      </c>
      <c r="T1534" t="inlineStr">
        <is>
          <t>武雄市は2045年までに人口が約16.6%減と明確な減少トレンド。高齢化の進行と世帯数の縮小により、中長期では賃貸需要の構造的縮小に警戒が必要。</t>
        </is>
      </c>
      <c r="U1534" t="inlineStr">
        <is>
          <t>武雄市は人口密度234人/km²と低密度で、賃貸需要は限定的。持ち家比率が高く、駐車場完備の戸建て賃貸が有利。 借家の空室率は約21%とやや高めで、競合との差別化が必要。</t>
        </is>
      </c>
      <c r="V1534" t="inlineStr">
        <is>
          <t>武雄市（佐賀県）：筑後川・六角川の氾濫と低平地の内水、有明海の高潮、玄界灘の津波に留意。</t>
        </is>
      </c>
    </row>
    <row r="1535">
      <c r="A1535" t="inlineStr">
        <is>
          <t>佐賀県</t>
        </is>
      </c>
      <c r="B1535" t="inlineStr">
        <is>
          <t>鹿島市</t>
        </is>
      </c>
      <c r="C1535" t="n">
        <v>9770</v>
      </c>
      <c r="D1535" t="n">
        <v>25894</v>
      </c>
      <c r="E1535" s="6" t="n">
        <v>233.4</v>
      </c>
      <c r="F1535" s="7" t="n">
        <v>31.7</v>
      </c>
      <c r="G1535" t="n">
        <v>27892</v>
      </c>
      <c r="H1535" t="n">
        <v>25894</v>
      </c>
      <c r="I1535" t="n">
        <v>24175</v>
      </c>
      <c r="J1535" t="n">
        <v>19226</v>
      </c>
      <c r="K1535" s="27">
        <f>(H1535/D1535-1)</f>
        <v/>
      </c>
      <c r="L1535" s="27">
        <f>(I1535/D1535-1)</f>
        <v/>
      </c>
      <c r="M1535" s="27">
        <f>(J1535/D1535-1)</f>
        <v/>
      </c>
      <c r="N1535" t="n">
        <v>44.7</v>
      </c>
      <c r="O1535" s="28">
        <f>(N1535+F1535)/2</f>
        <v/>
      </c>
      <c r="P1535">
        <f>IF(O1535="計算不能","計算不能",IF(O1535&gt;=80,5,IF(O1535&gt;=60,4,IF(O1535&gt;=40,3,IF(O1535&gt;=28,2,1)))))</f>
        <v/>
      </c>
      <c r="Q1535" t="n">
        <v>2822</v>
      </c>
      <c r="R1535" t="n">
        <v>580</v>
      </c>
      <c r="S1535" s="27">
        <f>R1535/Q1535</f>
        <v/>
      </c>
      <c r="T1535" t="inlineStr">
        <is>
          <t>鹿島市は2045年までに人口が約25.8%減と明確な減少トレンド。高齢化の進行と世帯数の縮小により、中長期では賃貸需要の構造的縮小に警戒が必要。</t>
        </is>
      </c>
      <c r="U1535" t="inlineStr">
        <is>
          <t>鹿島市は人口密度233人/km²と低密度で、賃貸需要は限定的。持ち家比率が高く、駐車場完備の戸建て賃貸が有利。 借家の空室率は約21%とやや高めで、競合との差別化が必要。</t>
        </is>
      </c>
      <c r="V1535" t="inlineStr">
        <is>
          <t>鹿島市（佐賀県）：筑後川・六角川の氾濫と低平地の内水、有明海の高潮、玄界灘の津波に留意。</t>
        </is>
      </c>
    </row>
    <row r="1536">
      <c r="A1536" t="inlineStr">
        <is>
          <t>佐賀県</t>
        </is>
      </c>
      <c r="B1536" t="inlineStr">
        <is>
          <t>小城市</t>
        </is>
      </c>
      <c r="C1536" t="n">
        <v>16470</v>
      </c>
      <c r="D1536" t="n">
        <v>42690</v>
      </c>
      <c r="E1536" s="6" t="n">
        <v>450.1</v>
      </c>
      <c r="F1536" s="7" t="n">
        <v>42.5</v>
      </c>
      <c r="G1536" t="n">
        <v>43952</v>
      </c>
      <c r="H1536" t="n">
        <v>42690</v>
      </c>
      <c r="I1536" t="n">
        <v>41225</v>
      </c>
      <c r="J1536" t="n">
        <v>36090</v>
      </c>
      <c r="K1536" s="27">
        <f>(H1536/D1536-1)</f>
        <v/>
      </c>
      <c r="L1536" s="27">
        <f>(I1536/D1536-1)</f>
        <v/>
      </c>
      <c r="M1536" s="27">
        <f>(J1536/D1536-1)</f>
        <v/>
      </c>
      <c r="N1536" t="n">
        <v>59.4</v>
      </c>
      <c r="O1536" s="28">
        <f>(N1536+F1536)/2</f>
        <v/>
      </c>
      <c r="P1536">
        <f>IF(O1536="計算不能","計算不能",IF(O1536&gt;=80,5,IF(O1536&gt;=60,4,IF(O1536&gt;=40,3,IF(O1536&gt;=28,2,1)))))</f>
        <v/>
      </c>
      <c r="Q1536" t="n">
        <v>4757</v>
      </c>
      <c r="R1536" t="n">
        <v>670</v>
      </c>
      <c r="S1536" s="27">
        <f>R1536/Q1536</f>
        <v/>
      </c>
      <c r="T1536" t="inlineStr">
        <is>
          <t>小城市は2045年までに人口が約15.5%減と明確な減少トレンド。高齢化の進行と世帯数の縮小により、中長期では賃貸需要の構造的縮小に警戒が必要。</t>
        </is>
      </c>
      <c r="U1536" t="inlineStr">
        <is>
          <t>小城市は人口密度450人/km²と低密度で、賃貸需要は限定的。持ち家比率が高く、駐車場完備の戸建て賃貸が有利。 借家の空室率は約14%と需給は比較的引き締まっている。</t>
        </is>
      </c>
      <c r="V1536" t="inlineStr">
        <is>
          <t>小城市（佐賀県）：筑後川・六角川の氾濫と低平地の内水、有明海の高潮、玄界灘の津波に留意。</t>
        </is>
      </c>
    </row>
    <row r="1537">
      <c r="A1537" t="inlineStr">
        <is>
          <t>佐賀県</t>
        </is>
      </c>
      <c r="B1537" t="inlineStr">
        <is>
          <t>嬉野市</t>
        </is>
      </c>
      <c r="C1537" t="n">
        <v>9100</v>
      </c>
      <c r="D1537" t="n">
        <v>24225</v>
      </c>
      <c r="E1537" s="6" t="n">
        <v>192.4</v>
      </c>
      <c r="F1537" s="7" t="n">
        <v>29.2</v>
      </c>
      <c r="G1537" t="n">
        <v>25848</v>
      </c>
      <c r="H1537" t="n">
        <v>24225</v>
      </c>
      <c r="I1537" t="n">
        <v>22598</v>
      </c>
      <c r="J1537" t="n">
        <v>17759</v>
      </c>
      <c r="K1537" s="27">
        <f>(H1537/D1537-1)</f>
        <v/>
      </c>
      <c r="L1537" s="27">
        <f>(I1537/D1537-1)</f>
        <v/>
      </c>
      <c r="M1537" s="27">
        <f>(J1537/D1537-1)</f>
        <v/>
      </c>
      <c r="N1537" t="n">
        <v>45.5</v>
      </c>
      <c r="O1537" s="28">
        <f>(N1537+F1537)/2</f>
        <v/>
      </c>
      <c r="P1537">
        <f>IF(O1537="計算不能","計算不能",IF(O1537&gt;=80,5,IF(O1537&gt;=60,4,IF(O1537&gt;=40,3,IF(O1537&gt;=28,2,1)))))</f>
        <v/>
      </c>
      <c r="Q1537" t="n">
        <v>2628</v>
      </c>
      <c r="R1537" t="n">
        <v>580</v>
      </c>
      <c r="S1537" s="27">
        <f>R1537/Q1537</f>
        <v/>
      </c>
      <c r="T1537" t="inlineStr">
        <is>
          <t>嬉野市は2045年までに人口が約26.7%減と明確な減少トレンド。高齢化の進行と世帯数の縮小により、中長期では賃貸需要の構造的縮小に警戒が必要。</t>
        </is>
      </c>
      <c r="U1537" t="inlineStr">
        <is>
          <t>嬉野市は人口密度192人/km²と過疎的水準で、民間賃貸の新規需要は薄い。実需に裏付けられた格安戸建ての指値取得のみが現実的。 借家の空室率は約22%とやや高めで、競合との差別化が必要。</t>
        </is>
      </c>
      <c r="V1537" t="inlineStr">
        <is>
          <t>嬉野市（佐賀県）：筑後川・六角川の氾濫と低平地の内水、有明海の高潮、玄界灘の津波に留意。</t>
        </is>
      </c>
    </row>
    <row r="1538">
      <c r="A1538" t="inlineStr">
        <is>
          <t>佐賀県</t>
        </is>
      </c>
      <c r="B1538" t="inlineStr">
        <is>
          <t>神埼市</t>
        </is>
      </c>
      <c r="C1538" t="n">
        <v>11510</v>
      </c>
      <c r="D1538" t="n">
        <v>29979</v>
      </c>
      <c r="E1538" s="6" t="n">
        <v>234.9</v>
      </c>
      <c r="F1538" s="7" t="n">
        <v>31.7</v>
      </c>
      <c r="G1538" t="n">
        <v>31022</v>
      </c>
      <c r="H1538" t="n">
        <v>29979</v>
      </c>
      <c r="I1538" t="n">
        <v>28759</v>
      </c>
      <c r="J1538" t="n">
        <v>24754</v>
      </c>
      <c r="K1538" s="27">
        <f>(H1538/D1538-1)</f>
        <v/>
      </c>
      <c r="L1538" s="27">
        <f>(I1538/D1538-1)</f>
        <v/>
      </c>
      <c r="M1538" s="27">
        <f>(J1538/D1538-1)</f>
        <v/>
      </c>
      <c r="N1538" t="n">
        <v>57.1</v>
      </c>
      <c r="O1538" s="28">
        <f>(N1538+F1538)/2</f>
        <v/>
      </c>
      <c r="P1538">
        <f>IF(O1538="計算不能","計算不能",IF(O1538&gt;=80,5,IF(O1538&gt;=60,4,IF(O1538&gt;=40,3,IF(O1538&gt;=28,2,1)))))</f>
        <v/>
      </c>
      <c r="Q1538" t="n">
        <v>3324</v>
      </c>
      <c r="R1538" t="n">
        <v>690</v>
      </c>
      <c r="S1538" s="27">
        <f>R1538/Q1538</f>
        <v/>
      </c>
      <c r="T1538" t="inlineStr">
        <is>
          <t>神埼市は2045年までに人口が約17.4%減と明確な減少トレンド。高齢化の進行と世帯数の縮小により、中長期では賃貸需要の構造的縮小に警戒が必要。</t>
        </is>
      </c>
      <c r="U1538" t="inlineStr">
        <is>
          <t>神埼市は人口密度235人/km²と低密度で、賃貸需要は限定的。持ち家比率が高く、駐車場完備の戸建て賃貸が有利。 借家の空室率は約21%とやや高めで、競合との差別化が必要。</t>
        </is>
      </c>
      <c r="V1538" t="inlineStr">
        <is>
          <t>神埼市（佐賀県）：筑後川・六角川の氾濫と低平地の内水、有明海の高潮、玄界灘の津波に留意。</t>
        </is>
      </c>
    </row>
    <row r="1539">
      <c r="A1539" t="inlineStr">
        <is>
          <t>佐賀県</t>
        </is>
      </c>
      <c r="B1539" t="inlineStr">
        <is>
          <t>吉野ヶ里町</t>
        </is>
      </c>
      <c r="C1539" t="n">
        <v>6180</v>
      </c>
      <c r="D1539" t="n">
        <v>16133</v>
      </c>
      <c r="E1539" s="6" t="n">
        <v>370.3</v>
      </c>
      <c r="F1539" s="7" t="n">
        <v>38.5</v>
      </c>
      <c r="G1539" t="n">
        <v>16323</v>
      </c>
      <c r="H1539" t="n">
        <v>16133</v>
      </c>
      <c r="I1539" t="n">
        <v>15813</v>
      </c>
      <c r="J1539" t="n">
        <v>14593</v>
      </c>
      <c r="K1539" s="27">
        <f>(H1539/D1539-1)</f>
        <v/>
      </c>
      <c r="L1539" s="27">
        <f>(I1539/D1539-1)</f>
        <v/>
      </c>
      <c r="M1539" s="27">
        <f>(J1539/D1539-1)</f>
        <v/>
      </c>
      <c r="N1539" t="n">
        <v>66.59999999999999</v>
      </c>
      <c r="O1539" s="28">
        <f>(N1539+F1539)/2</f>
        <v/>
      </c>
      <c r="P1539">
        <f>IF(O1539="計算不能","計算不能",IF(O1539&gt;=80,5,IF(O1539&gt;=60,4,IF(O1539&gt;=40,3,IF(O1539&gt;=28,2,1)))))</f>
        <v/>
      </c>
      <c r="Q1539" t="n">
        <v>1785</v>
      </c>
      <c r="R1539" t="n">
        <v>1030</v>
      </c>
      <c r="S1539" s="27">
        <f>R1539/Q1539</f>
        <v/>
      </c>
      <c r="T1539" t="inlineStr">
        <is>
          <t>吉野ヶ里町は2045年までに人口が約9.5%減と緩やかな減少局面。若年層の都市部流出と高齢化が進むが、当面の賃貸稼働は一定程度維持される見通し。</t>
        </is>
      </c>
      <c r="U1539" t="inlineStr">
        <is>
          <t>吉野ヶ里町は人口密度370人/km²と低密度で、賃貸需要は限定的。持ち家比率が高く、駐車場完備の戸建て賃貸が有利。 借家の空室率は約58%と供給過多気味で、空室長期化リスクに要警戒。</t>
        </is>
      </c>
      <c r="V1539" t="inlineStr">
        <is>
          <t>吉野ヶ里町（佐賀県）：筑後川・六角川の氾濫と低平地の内水、有明海の高潮、玄界灘の津波に留意。</t>
        </is>
      </c>
    </row>
    <row r="1540">
      <c r="A1540" t="inlineStr">
        <is>
          <t>佐賀県</t>
        </is>
      </c>
      <c r="B1540" t="inlineStr">
        <is>
          <t>基山町</t>
        </is>
      </c>
      <c r="C1540" t="n">
        <v>7170</v>
      </c>
      <c r="D1540" t="n">
        <v>16866</v>
      </c>
      <c r="E1540" s="6" t="n">
        <v>780.3</v>
      </c>
      <c r="F1540" s="7" t="n">
        <v>50.6</v>
      </c>
      <c r="G1540" t="n">
        <v>17250</v>
      </c>
      <c r="H1540" t="n">
        <v>16866</v>
      </c>
      <c r="I1540" t="n">
        <v>16199</v>
      </c>
      <c r="J1540" t="n">
        <v>13848</v>
      </c>
      <c r="K1540" s="27">
        <f>(H1540/D1540-1)</f>
        <v/>
      </c>
      <c r="L1540" s="27">
        <f>(I1540/D1540-1)</f>
        <v/>
      </c>
      <c r="M1540" s="27">
        <f>(J1540/D1540-1)</f>
        <v/>
      </c>
      <c r="N1540" t="n">
        <v>59.1</v>
      </c>
      <c r="O1540" s="28">
        <f>(N1540+F1540)/2</f>
        <v/>
      </c>
      <c r="P1540">
        <f>IF(O1540="計算不能","計算不能",IF(O1540&gt;=80,5,IF(O1540&gt;=60,4,IF(O1540&gt;=40,3,IF(O1540&gt;=28,2,1)))))</f>
        <v/>
      </c>
      <c r="Q1540" t="n">
        <v>2071</v>
      </c>
      <c r="R1540" t="n">
        <v>270</v>
      </c>
      <c r="S1540" s="27">
        <f>R1540/Q1540</f>
        <v/>
      </c>
      <c r="T1540" t="inlineStr">
        <is>
          <t>基山町は2045年までに人口が約17.9%減と明確な減少トレンド。高齢化の進行と世帯数の縮小により、中長期では賃貸需要の構造的縮小に警戒が必要。</t>
        </is>
      </c>
      <c r="U1540" t="inlineStr">
        <is>
          <t>基山町は人口密度780人/km²で、主要道路沿いや中心市街地に一定の賃貸需要が局在。立地選別が稼働を左右する。 借家の空室率は約13%と需給は比較的引き締まっている。</t>
        </is>
      </c>
      <c r="V1540" t="inlineStr">
        <is>
          <t>基山町（佐賀県）：筑後川・六角川の氾濫と低平地の内水、有明海の高潮、玄界灘の津波に留意。</t>
        </is>
      </c>
    </row>
    <row r="1541">
      <c r="A1541" t="inlineStr">
        <is>
          <t>佐賀県</t>
        </is>
      </c>
      <c r="B1541" t="inlineStr">
        <is>
          <t>上峰町</t>
        </is>
      </c>
      <c r="C1541" t="n">
        <v>4016</v>
      </c>
      <c r="D1541" t="n">
        <v>9254</v>
      </c>
      <c r="E1541" s="6" t="n">
        <v>731.1</v>
      </c>
      <c r="F1541" s="7" t="n">
        <v>49.6</v>
      </c>
      <c r="G1541" t="n">
        <v>9286</v>
      </c>
      <c r="H1541" t="n">
        <v>9254</v>
      </c>
      <c r="I1541" t="n">
        <v>9056</v>
      </c>
      <c r="J1541" t="n">
        <v>8286</v>
      </c>
      <c r="K1541" s="27">
        <f>(H1541/D1541-1)</f>
        <v/>
      </c>
      <c r="L1541" s="27">
        <f>(I1541/D1541-1)</f>
        <v/>
      </c>
      <c r="M1541" s="27">
        <f>(J1541/D1541-1)</f>
        <v/>
      </c>
      <c r="N1541" t="n">
        <v>67.59999999999999</v>
      </c>
      <c r="O1541" s="28">
        <f>(N1541+F1541)/2</f>
        <v/>
      </c>
      <c r="P1541">
        <f>IF(O1541="計算不能","計算不能",IF(O1541&gt;=80,5,IF(O1541&gt;=60,4,IF(O1541&gt;=40,3,IF(O1541&gt;=28,2,1)))))</f>
        <v/>
      </c>
      <c r="Q1541" t="n">
        <v>1160</v>
      </c>
      <c r="R1541" t="n">
        <v>0</v>
      </c>
      <c r="S1541" s="27">
        <f>R1541/Q1541</f>
        <v/>
      </c>
      <c r="T1541" t="inlineStr">
        <is>
          <t>上峰町は2045年までに人口が約10.5%減と緩やかな減少局面。若年層の都市部流出と高齢化が進むが、当面の賃貸稼働は一定程度維持される見通し。</t>
        </is>
      </c>
      <c r="U1541" t="inlineStr">
        <is>
          <t>上峰町は人口密度731人/km²で、主要道路沿いや中心市街地に一定の賃貸需要が局在。立地選別が稼働を左右する。 借家の空室率は約0%と需給は比較的引き締まっている。</t>
        </is>
      </c>
      <c r="V1541" t="inlineStr">
        <is>
          <t>上峰町（佐賀県）：筑後川・六角川の氾濫と低平地の内水、有明海の高潮、玄界灘の津波に留意。</t>
        </is>
      </c>
    </row>
    <row r="1542">
      <c r="A1542" t="inlineStr">
        <is>
          <t>佐賀県</t>
        </is>
      </c>
      <c r="B1542" t="inlineStr">
        <is>
          <t>みやき町</t>
        </is>
      </c>
      <c r="C1542" t="n">
        <v>9490</v>
      </c>
      <c r="D1542" t="n">
        <v>25652</v>
      </c>
      <c r="E1542" s="6" t="n">
        <v>491.1</v>
      </c>
      <c r="F1542" s="7" t="n">
        <v>44.6</v>
      </c>
      <c r="G1542" t="n">
        <v>25511</v>
      </c>
      <c r="H1542" t="n">
        <v>25652</v>
      </c>
      <c r="I1542" t="n">
        <v>24884</v>
      </c>
      <c r="J1542" t="n">
        <v>21854</v>
      </c>
      <c r="K1542" s="27">
        <f>(H1542/D1542-1)</f>
        <v/>
      </c>
      <c r="L1542" s="27">
        <f>(I1542/D1542-1)</f>
        <v/>
      </c>
      <c r="M1542" s="27">
        <f>(J1542/D1542-1)</f>
        <v/>
      </c>
      <c r="N1542" t="n">
        <v>66.59999999999999</v>
      </c>
      <c r="O1542" s="28">
        <f>(N1542+F1542)/2</f>
        <v/>
      </c>
      <c r="P1542">
        <f>IF(O1542="計算不能","計算不能",IF(O1542&gt;=80,5,IF(O1542&gt;=60,4,IF(O1542&gt;=40,3,IF(O1542&gt;=28,2,1)))))</f>
        <v/>
      </c>
      <c r="Q1542" t="n">
        <v>2741</v>
      </c>
      <c r="R1542" t="n">
        <v>350</v>
      </c>
      <c r="S1542" s="27">
        <f>R1542/Q1542</f>
        <v/>
      </c>
      <c r="T1542" t="inlineStr">
        <is>
          <t>みやき町は2045年までに人口が約14.8%減と緩やかな減少局面。若年層の都市部流出と高齢化が進むが、当面の賃貸稼働は一定程度維持される見通し。</t>
        </is>
      </c>
      <c r="U1542" t="inlineStr">
        <is>
          <t>みやき町は人口密度491人/km²と低密度で、賃貸需要は限定的。持ち家比率が高く、駐車場完備の戸建て賃貸が有利。 借家の空室率は約13%と需給は比較的引き締まっている。</t>
        </is>
      </c>
      <c r="V1542" t="inlineStr">
        <is>
          <t>みやき町（佐賀県）：筑後川・六角川の氾濫と低平地の内水、有明海の高潮、玄界灘の津波に留意。</t>
        </is>
      </c>
    </row>
    <row r="1543">
      <c r="A1543" t="inlineStr">
        <is>
          <t>佐賀県</t>
        </is>
      </c>
      <c r="B1543" t="inlineStr">
        <is>
          <t>玄海町</t>
        </is>
      </c>
      <c r="C1543" t="n">
        <v>1891</v>
      </c>
      <c r="D1543" t="n">
        <v>5208</v>
      </c>
      <c r="E1543" s="6" t="n">
        <v>128.5</v>
      </c>
      <c r="F1543" s="7" t="n">
        <v>22.9</v>
      </c>
      <c r="G1543" t="n">
        <v>5609</v>
      </c>
      <c r="H1543" t="n">
        <v>5208</v>
      </c>
      <c r="I1543" t="n">
        <v>4830</v>
      </c>
      <c r="J1543" t="n">
        <v>3712</v>
      </c>
      <c r="K1543" s="27">
        <f>(H1543/D1543-1)</f>
        <v/>
      </c>
      <c r="L1543" s="27">
        <f>(I1543/D1543-1)</f>
        <v/>
      </c>
      <c r="M1543" s="27">
        <f>(J1543/D1543-1)</f>
        <v/>
      </c>
      <c r="N1543" t="n">
        <v>43.8</v>
      </c>
      <c r="O1543" s="28">
        <f>(N1543+F1543)/2</f>
        <v/>
      </c>
      <c r="P1543">
        <f>IF(O1543="計算不能","計算不能",IF(O1543&gt;=80,5,IF(O1543&gt;=60,4,IF(O1543&gt;=40,3,IF(O1543&gt;=28,2,1)))))</f>
        <v/>
      </c>
      <c r="Q1543" t="n">
        <v>546</v>
      </c>
      <c r="R1543" t="n">
        <v>0</v>
      </c>
      <c r="S1543" s="27">
        <f>R1543/Q1543</f>
        <v/>
      </c>
      <c r="T1543" t="inlineStr">
        <is>
          <t>玄海町は2045年までに人口が約28.7%減と明確な減少トレンド。高齢化の進行と世帯数の縮小により、中長期では賃貸需要の構造的縮小に警戒が必要。</t>
        </is>
      </c>
      <c r="U1543" t="inlineStr">
        <is>
          <t>玄海町は人口密度128人/km²と過疎的水準で、民間賃貸の新規需要は薄い。実需に裏付けられた格安戸建ての指値取得のみが現実的。 借家の空室率は約0%と需給は比較的引き締まっている。</t>
        </is>
      </c>
      <c r="V1543" t="inlineStr">
        <is>
          <t>玄海町（佐賀県）：筑後川・六角川の氾濫と低平地の内水、有明海の高潮、玄界灘の津波に留意。</t>
        </is>
      </c>
    </row>
    <row r="1544">
      <c r="A1544" t="inlineStr">
        <is>
          <t>佐賀県</t>
        </is>
      </c>
      <c r="B1544" t="inlineStr">
        <is>
          <t>有田町</t>
        </is>
      </c>
      <c r="C1544" t="n">
        <v>7270</v>
      </c>
      <c r="D1544" t="n">
        <v>17905</v>
      </c>
      <c r="E1544" s="6" t="n">
        <v>269.3</v>
      </c>
      <c r="F1544" s="7" t="n">
        <v>33.5</v>
      </c>
      <c r="G1544" t="n">
        <v>19010</v>
      </c>
      <c r="H1544" t="n">
        <v>17905</v>
      </c>
      <c r="I1544" t="n">
        <v>16691</v>
      </c>
      <c r="J1544" t="n">
        <v>13132</v>
      </c>
      <c r="K1544" s="27">
        <f>(H1544/D1544-1)</f>
        <v/>
      </c>
      <c r="L1544" s="27">
        <f>(I1544/D1544-1)</f>
        <v/>
      </c>
      <c r="M1544" s="27">
        <f>(J1544/D1544-1)</f>
        <v/>
      </c>
      <c r="N1544" t="n">
        <v>46.4</v>
      </c>
      <c r="O1544" s="28">
        <f>(N1544+F1544)/2</f>
        <v/>
      </c>
      <c r="P1544">
        <f>IF(O1544="計算不能","計算不能",IF(O1544&gt;=80,5,IF(O1544&gt;=60,4,IF(O1544&gt;=40,3,IF(O1544&gt;=28,2,1)))))</f>
        <v/>
      </c>
      <c r="Q1544" t="n">
        <v>2100</v>
      </c>
      <c r="R1544" t="n">
        <v>140</v>
      </c>
      <c r="S1544" s="27">
        <f>R1544/Q1544</f>
        <v/>
      </c>
      <c r="T1544" t="inlineStr">
        <is>
          <t>有田町は2045年までに人口が約26.7%減と明確な減少トレンド。高齢化の進行と世帯数の縮小により、中長期では賃貸需要の構造的縮小に警戒が必要。</t>
        </is>
      </c>
      <c r="U1544" t="inlineStr">
        <is>
          <t>有田町は人口密度269人/km²と低密度で、賃貸需要は限定的。持ち家比率が高く、駐車場完備の戸建て賃貸が有利。 借家の空室率は約7%と需給は比較的引き締まっている。</t>
        </is>
      </c>
      <c r="V1544" t="inlineStr">
        <is>
          <t>有田町（佐賀県）：筑後川・六角川の氾濫と低平地の内水、有明海の高潮、玄界灘の津波に留意。</t>
        </is>
      </c>
    </row>
    <row r="1545">
      <c r="A1545" t="inlineStr">
        <is>
          <t>佐賀県</t>
        </is>
      </c>
      <c r="B1545" t="inlineStr">
        <is>
          <t>大町町</t>
        </is>
      </c>
      <c r="C1545" t="n">
        <v>2654</v>
      </c>
      <c r="D1545" t="n">
        <v>5810</v>
      </c>
      <c r="E1545" s="6" t="n">
        <v>499.2</v>
      </c>
      <c r="F1545" s="7" t="n">
        <v>45</v>
      </c>
      <c r="G1545" t="n">
        <v>6293</v>
      </c>
      <c r="H1545" t="n">
        <v>5810</v>
      </c>
      <c r="I1545" t="n">
        <v>5346</v>
      </c>
      <c r="J1545" t="n">
        <v>3996</v>
      </c>
      <c r="K1545" s="27">
        <f>(H1545/D1545-1)</f>
        <v/>
      </c>
      <c r="L1545" s="27">
        <f>(I1545/D1545-1)</f>
        <v/>
      </c>
      <c r="M1545" s="27">
        <f>(J1545/D1545-1)</f>
        <v/>
      </c>
      <c r="N1545" t="n">
        <v>42.5</v>
      </c>
      <c r="O1545" s="28">
        <f>(N1545+F1545)/2</f>
        <v/>
      </c>
      <c r="P1545">
        <f>IF(O1545="計算不能","計算不能",IF(O1545&gt;=80,5,IF(O1545&gt;=60,4,IF(O1545&gt;=40,3,IF(O1545&gt;=28,2,1)))))</f>
        <v/>
      </c>
      <c r="Q1545" t="n">
        <v>766</v>
      </c>
      <c r="R1545" t="n">
        <v>0</v>
      </c>
      <c r="S1545" s="27">
        <f>R1545/Q1545</f>
        <v/>
      </c>
      <c r="T1545" t="inlineStr">
        <is>
          <t>大町町は2045年までに人口が約31.2%減と急激な過疎・超高齢化が進行。若年労働世代の流出と自然減が重なり、賃貸事業としての持続性は極めて限定的。</t>
        </is>
      </c>
      <c r="U1545" t="inlineStr">
        <is>
          <t>大町町は人口密度499人/km²と低密度で、賃貸需要は限定的。持ち家比率が高く、駐車場完備の戸建て賃貸が有利。 借家の空室率は約0%と需給は比較的引き締まっている。</t>
        </is>
      </c>
      <c r="V1545" t="inlineStr">
        <is>
          <t>大町町（佐賀県）：筑後川・六角川の氾濫と低平地の内水、有明海の高潮、玄界灘の津波に留意。</t>
        </is>
      </c>
    </row>
    <row r="1546">
      <c r="A1546" t="inlineStr">
        <is>
          <t>佐賀県</t>
        </is>
      </c>
      <c r="B1546" t="inlineStr">
        <is>
          <t>江北町</t>
        </is>
      </c>
      <c r="C1546" t="n">
        <v>3743</v>
      </c>
      <c r="D1546" t="n">
        <v>9451</v>
      </c>
      <c r="E1546" s="6" t="n">
        <v>382</v>
      </c>
      <c r="F1546" s="7" t="n">
        <v>39.1</v>
      </c>
      <c r="G1546" t="n">
        <v>9566</v>
      </c>
      <c r="H1546" t="n">
        <v>9451</v>
      </c>
      <c r="I1546" t="n">
        <v>9251</v>
      </c>
      <c r="J1546" t="n">
        <v>8573</v>
      </c>
      <c r="K1546" s="27">
        <f>(H1546/D1546-1)</f>
        <v/>
      </c>
      <c r="L1546" s="27">
        <f>(I1546/D1546-1)</f>
        <v/>
      </c>
      <c r="M1546" s="27">
        <f>(J1546/D1546-1)</f>
        <v/>
      </c>
      <c r="N1546" t="n">
        <v>66.5</v>
      </c>
      <c r="O1546" s="28">
        <f>(N1546+F1546)/2</f>
        <v/>
      </c>
      <c r="P1546">
        <f>IF(O1546="計算不能","計算不能",IF(O1546&gt;=80,5,IF(O1546&gt;=60,4,IF(O1546&gt;=40,3,IF(O1546&gt;=28,2,1)))))</f>
        <v/>
      </c>
      <c r="Q1546" t="n">
        <v>1081</v>
      </c>
      <c r="R1546" t="n">
        <v>0</v>
      </c>
      <c r="S1546" s="27">
        <f>R1546/Q1546</f>
        <v/>
      </c>
      <c r="T1546" t="inlineStr">
        <is>
          <t>江北町は2045年までに人口が約9.3%減と緩やかな減少局面。若年層の都市部流出と高齢化が進むが、当面の賃貸稼働は一定程度維持される見通し。</t>
        </is>
      </c>
      <c r="U1546" t="inlineStr">
        <is>
          <t>江北町は人口密度382人/km²と低密度で、賃貸需要は限定的。持ち家比率が高く、駐車場完備の戸建て賃貸が有利。 借家の空室率は約0%と需給は比較的引き締まっている。</t>
        </is>
      </c>
      <c r="V1546" t="inlineStr">
        <is>
          <t>江北町（佐賀県）：筑後川・六角川の氾濫と低平地の内水、有明海の高潮、玄界灘の津波に留意。</t>
        </is>
      </c>
    </row>
    <row r="1547">
      <c r="A1547" t="inlineStr">
        <is>
          <t>佐賀県</t>
        </is>
      </c>
      <c r="B1547" t="inlineStr">
        <is>
          <t>白石町</t>
        </is>
      </c>
      <c r="C1547" t="n">
        <v>7130</v>
      </c>
      <c r="D1547" t="n">
        <v>20356</v>
      </c>
      <c r="E1547" s="6" t="n">
        <v>203.7</v>
      </c>
      <c r="F1547" s="7" t="n">
        <v>30.2</v>
      </c>
      <c r="G1547" t="n">
        <v>22051</v>
      </c>
      <c r="H1547" t="n">
        <v>20356</v>
      </c>
      <c r="I1547" t="n">
        <v>18671</v>
      </c>
      <c r="J1547" t="n">
        <v>14043</v>
      </c>
      <c r="K1547" s="27">
        <f>(H1547/D1547-1)</f>
        <v/>
      </c>
      <c r="L1547" s="27">
        <f>(I1547/D1547-1)</f>
        <v/>
      </c>
      <c r="M1547" s="27">
        <f>(J1547/D1547-1)</f>
        <v/>
      </c>
      <c r="N1547" t="n">
        <v>42.5</v>
      </c>
      <c r="O1547" s="28">
        <f>(N1547+F1547)/2</f>
        <v/>
      </c>
      <c r="P1547">
        <f>IF(O1547="計算不能","計算不能",IF(O1547&gt;=80,5,IF(O1547&gt;=60,4,IF(O1547&gt;=40,3,IF(O1547&gt;=28,2,1)))))</f>
        <v/>
      </c>
      <c r="Q1547" t="n">
        <v>2059</v>
      </c>
      <c r="R1547" t="n">
        <v>100</v>
      </c>
      <c r="S1547" s="27">
        <f>R1547/Q1547</f>
        <v/>
      </c>
      <c r="T1547" t="inlineStr">
        <is>
          <t>白石町は2045年までに人口が約31.0%減と急激な過疎・超高齢化が進行。若年労働世代の流出と自然減が重なり、賃貸事業としての持続性は極めて限定的。</t>
        </is>
      </c>
      <c r="U1547" t="inlineStr">
        <is>
          <t>白石町は人口密度204人/km²と低密度で、賃貸需要は限定的。持ち家比率が高く、駐車場完備の戸建て賃貸が有利。 借家の空室率は約5%と需給は比較的引き締まっている。</t>
        </is>
      </c>
      <c r="V1547" t="inlineStr">
        <is>
          <t>白石町（佐賀県）：筑後川・六角川の氾濫と低平地の内水、有明海の高潮、玄界灘の津波に留意。</t>
        </is>
      </c>
    </row>
    <row r="1548">
      <c r="A1548" t="inlineStr">
        <is>
          <t>佐賀県</t>
        </is>
      </c>
      <c r="B1548" t="inlineStr">
        <is>
          <t>太良町</t>
        </is>
      </c>
      <c r="C1548" t="n">
        <v>3194</v>
      </c>
      <c r="D1548" t="n">
        <v>7337</v>
      </c>
      <c r="E1548" s="6" t="n">
        <v>96.2</v>
      </c>
      <c r="F1548" s="7" t="n">
        <v>19.6</v>
      </c>
      <c r="G1548" t="n">
        <v>8121</v>
      </c>
      <c r="H1548" t="n">
        <v>7337</v>
      </c>
      <c r="I1548" t="n">
        <v>6615</v>
      </c>
      <c r="J1548" t="n">
        <v>4634</v>
      </c>
      <c r="K1548" s="27">
        <f>(H1548/D1548-1)</f>
        <v/>
      </c>
      <c r="L1548" s="27">
        <f>(I1548/D1548-1)</f>
        <v/>
      </c>
      <c r="M1548" s="27">
        <f>(J1548/D1548-1)</f>
        <v/>
      </c>
      <c r="N1548" t="n">
        <v>38.9</v>
      </c>
      <c r="O1548" s="28">
        <f>(N1548+F1548)/2</f>
        <v/>
      </c>
      <c r="P1548">
        <f>IF(O1548="計算不能","計算不能",IF(O1548&gt;=80,5,IF(O1548&gt;=60,4,IF(O1548&gt;=40,3,IF(O1548&gt;=28,2,1)))))</f>
        <v/>
      </c>
      <c r="Q1548" t="n">
        <v>922</v>
      </c>
      <c r="R1548" t="n">
        <v>0</v>
      </c>
      <c r="S1548" s="27">
        <f>R1548/Q1548</f>
        <v/>
      </c>
      <c r="T1548" t="inlineStr">
        <is>
          <t>太良町は2045年までに人口が約36.8%減と急激な過疎・超高齢化が進行。若年労働世代の流出と自然減が重なり、賃貸事業としての持続性は極めて限定的。</t>
        </is>
      </c>
      <c r="U1548" t="inlineStr">
        <is>
          <t>太良町は人口密度96人/km²と過疎的水準で、民間賃貸の新規需要は薄い。実需に裏付けられた格安戸建ての指値取得のみが現実的。 借家の空室率は約0%と需給は比較的引き締まっている。</t>
        </is>
      </c>
      <c r="V1548" t="inlineStr">
        <is>
          <t>太良町（佐賀県）：筑後川・六角川の氾濫と低平地の内水、有明海の高潮、玄界灘の津波に留意。</t>
        </is>
      </c>
    </row>
    <row r="1549">
      <c r="A1549" t="inlineStr">
        <is>
          <t>長崎県</t>
        </is>
      </c>
      <c r="B1549" t="inlineStr">
        <is>
          <t>長崎市</t>
        </is>
      </c>
      <c r="C1549" t="n">
        <v>178790</v>
      </c>
      <c r="D1549" t="n">
        <v>381884</v>
      </c>
      <c r="E1549" s="6" t="n">
        <v>941</v>
      </c>
      <c r="F1549" s="7" t="n">
        <v>53.8</v>
      </c>
      <c r="G1549" t="n">
        <v>409118</v>
      </c>
      <c r="H1549" t="n">
        <v>381884</v>
      </c>
      <c r="I1549" t="n">
        <v>362388</v>
      </c>
      <c r="J1549" t="n">
        <v>300255</v>
      </c>
      <c r="K1549" s="27">
        <f>(H1549/D1549-1)</f>
        <v/>
      </c>
      <c r="L1549" s="27">
        <f>(I1549/D1549-1)</f>
        <v/>
      </c>
      <c r="M1549" s="27">
        <f>(J1549/D1549-1)</f>
        <v/>
      </c>
      <c r="N1549" t="n">
        <v>48.4</v>
      </c>
      <c r="O1549" s="28">
        <f>(N1549+F1549)/2</f>
        <v/>
      </c>
      <c r="P1549">
        <f>IF(O1549="計算不能","計算不能",IF(O1549&gt;=80,5,IF(O1549&gt;=60,4,IF(O1549&gt;=40,3,IF(O1549&gt;=28,2,1)))))</f>
        <v/>
      </c>
      <c r="Q1549" t="n">
        <v>57796</v>
      </c>
      <c r="R1549" t="n">
        <v>18950</v>
      </c>
      <c r="S1549" s="27">
        <f>R1549/Q1549</f>
        <v/>
      </c>
      <c r="T1549" t="inlineStr">
        <is>
          <t>長崎市は2045年までに人口が約21.4%減と明確な減少トレンド。高齢化の進行と世帯数の縮小により、中長期では賃貸需要の構造的縮小に警戒が必要。</t>
        </is>
      </c>
      <c r="U1549" t="inlineStr">
        <is>
          <t>長崎市は人口密度941人/km²で、主要道路沿いや中心市街地に一定の賃貸需要が局在。立地選別が稼働を左右する。 借家の空室率は約33%と供給過多気味で、空室長期化リスクに要警戒。</t>
        </is>
      </c>
      <c r="V1549" t="inlineStr">
        <is>
          <t>長崎市（長崎県）：急傾斜地が多く土砂災害リスクが高い。離島部の津波、雲仙の火山、高潮に注意。</t>
        </is>
      </c>
    </row>
    <row r="1550">
      <c r="A1550" t="inlineStr">
        <is>
          <t>長崎県</t>
        </is>
      </c>
      <c r="B1550" t="inlineStr">
        <is>
          <t>佐世保市</t>
        </is>
      </c>
      <c r="C1550" t="n">
        <v>101190</v>
      </c>
      <c r="D1550" t="n">
        <v>226237</v>
      </c>
      <c r="E1550" s="6" t="n">
        <v>530.9</v>
      </c>
      <c r="F1550" s="7" t="n">
        <v>45.6</v>
      </c>
      <c r="G1550" t="n">
        <v>243223</v>
      </c>
      <c r="H1550" t="n">
        <v>226237</v>
      </c>
      <c r="I1550" t="n">
        <v>214031</v>
      </c>
      <c r="J1550" t="n">
        <v>177496</v>
      </c>
      <c r="K1550" s="27">
        <f>(H1550/D1550-1)</f>
        <v/>
      </c>
      <c r="L1550" s="27">
        <f>(I1550/D1550-1)</f>
        <v/>
      </c>
      <c r="M1550" s="27">
        <f>(J1550/D1550-1)</f>
        <v/>
      </c>
      <c r="N1550" t="n">
        <v>47.5</v>
      </c>
      <c r="O1550" s="28">
        <f>(N1550+F1550)/2</f>
        <v/>
      </c>
      <c r="P1550">
        <f>IF(O1550="計算不能","計算不能",IF(O1550&gt;=80,5,IF(O1550&gt;=60,4,IF(O1550&gt;=40,3,IF(O1550&gt;=28,2,1)))))</f>
        <v/>
      </c>
      <c r="Q1550" t="n">
        <v>32711</v>
      </c>
      <c r="R1550" t="n">
        <v>8600</v>
      </c>
      <c r="S1550" s="27">
        <f>R1550/Q1550</f>
        <v/>
      </c>
      <c r="T1550" t="inlineStr">
        <is>
          <t>佐世保市は2045年までに人口が約21.5%減と明確な減少トレンド。高齢化の進行と世帯数の縮小により、中長期では賃貸需要の構造的縮小に警戒が必要。</t>
        </is>
      </c>
      <c r="U1550" t="inlineStr">
        <is>
          <t>佐世保市は人口密度531人/km²で、主要道路沿いや中心市街地に一定の賃貸需要が局在。立地選別が稼働を左右する。 借家の空室率は約26%と供給過多気味で、空室長期化リスクに要警戒。</t>
        </is>
      </c>
      <c r="V1550" t="inlineStr">
        <is>
          <t>佐世保市（長崎県）：急傾斜地が多く土砂災害リスクが高い。離島部の津波、雲仙の火山、高潮に注意。</t>
        </is>
      </c>
    </row>
    <row r="1551">
      <c r="A1551" t="inlineStr">
        <is>
          <t>長崎県</t>
        </is>
      </c>
      <c r="B1551" t="inlineStr">
        <is>
          <t>島原市</t>
        </is>
      </c>
      <c r="C1551" t="n">
        <v>16390</v>
      </c>
      <c r="D1551" t="n">
        <v>40805</v>
      </c>
      <c r="E1551" s="6" t="n">
        <v>487.5</v>
      </c>
      <c r="F1551" s="7" t="n">
        <v>44.4</v>
      </c>
      <c r="G1551" t="n">
        <v>43338</v>
      </c>
      <c r="H1551" t="n">
        <v>40805</v>
      </c>
      <c r="I1551" t="n">
        <v>38057</v>
      </c>
      <c r="J1551" t="n">
        <v>29784</v>
      </c>
      <c r="K1551" s="27">
        <f>(H1551/D1551-1)</f>
        <v/>
      </c>
      <c r="L1551" s="27">
        <f>(I1551/D1551-1)</f>
        <v/>
      </c>
      <c r="M1551" s="27">
        <f>(J1551/D1551-1)</f>
        <v/>
      </c>
      <c r="N1551" t="n">
        <v>46.2</v>
      </c>
      <c r="O1551" s="28">
        <f>(N1551+F1551)/2</f>
        <v/>
      </c>
      <c r="P1551">
        <f>IF(O1551="計算不能","計算不能",IF(O1551&gt;=80,5,IF(O1551&gt;=60,4,IF(O1551&gt;=40,3,IF(O1551&gt;=28,2,1)))))</f>
        <v/>
      </c>
      <c r="Q1551" t="n">
        <v>5298</v>
      </c>
      <c r="R1551" t="n">
        <v>1210</v>
      </c>
      <c r="S1551" s="27">
        <f>R1551/Q1551</f>
        <v/>
      </c>
      <c r="T1551" t="inlineStr">
        <is>
          <t>島原市は2045年までに人口が約27.0%減と明確な減少トレンド。高齢化の進行と世帯数の縮小により、中長期では賃貸需要の構造的縮小に警戒が必要。</t>
        </is>
      </c>
      <c r="U1551" t="inlineStr">
        <is>
          <t>島原市は人口密度488人/km²と低密度で、賃貸需要は限定的。持ち家比率が高く、駐車場完備の戸建て賃貸が有利。 借家の空室率は約23%とやや高めで、競合との差別化が必要。</t>
        </is>
      </c>
      <c r="V1551" t="inlineStr">
        <is>
          <t>島原市（長崎県）：急傾斜地が多く土砂災害リスクが高い。離島部の津波、雲仙の火山、高潮に注意。</t>
        </is>
      </c>
    </row>
    <row r="1552">
      <c r="A1552" t="inlineStr">
        <is>
          <t>長崎県</t>
        </is>
      </c>
      <c r="B1552" t="inlineStr">
        <is>
          <t>諫早市</t>
        </is>
      </c>
      <c r="C1552" t="n">
        <v>53800</v>
      </c>
      <c r="D1552" t="n">
        <v>128614</v>
      </c>
      <c r="E1552" s="6" t="n">
        <v>381.1</v>
      </c>
      <c r="F1552" s="7" t="n">
        <v>39.1</v>
      </c>
      <c r="G1552" t="n">
        <v>133852</v>
      </c>
      <c r="H1552" t="n">
        <v>128614</v>
      </c>
      <c r="I1552" t="n">
        <v>122373</v>
      </c>
      <c r="J1552" t="n">
        <v>101301</v>
      </c>
      <c r="K1552" s="27">
        <f>(H1552/D1552-1)</f>
        <v/>
      </c>
      <c r="L1552" s="27">
        <f>(I1552/D1552-1)</f>
        <v/>
      </c>
      <c r="M1552" s="27">
        <f>(J1552/D1552-1)</f>
        <v/>
      </c>
      <c r="N1552" t="n">
        <v>53.7</v>
      </c>
      <c r="O1552" s="28">
        <f>(N1552+F1552)/2</f>
        <v/>
      </c>
      <c r="P1552">
        <f>IF(O1552="計算不能","計算不能",IF(O1552&gt;=80,5,IF(O1552&gt;=60,4,IF(O1552&gt;=40,3,IF(O1552&gt;=28,2,1)))))</f>
        <v/>
      </c>
      <c r="Q1552" t="n">
        <v>17391</v>
      </c>
      <c r="R1552" t="n">
        <v>4080</v>
      </c>
      <c r="S1552" s="27">
        <f>R1552/Q1552</f>
        <v/>
      </c>
      <c r="T1552" t="inlineStr">
        <is>
          <t>諫早市は2045年までに人口が約21.2%減と明確な減少トレンド。高齢化の進行と世帯数の縮小により、中長期では賃貸需要の構造的縮小に警戒が必要。</t>
        </is>
      </c>
      <c r="U1552" t="inlineStr">
        <is>
          <t>諫早市は人口密度381人/km²と低密度で、賃貸需要は限定的。持ち家比率が高く、駐車場完備の戸建て賃貸が有利。 借家の空室率は約23%とやや高めで、競合との差別化が必要。</t>
        </is>
      </c>
      <c r="V1552" t="inlineStr">
        <is>
          <t>諫早市（長崎県）：急傾斜地が多く土砂災害リスクが高い。離島部の津波、雲仙の火山、高潮に注意。</t>
        </is>
      </c>
    </row>
    <row r="1553">
      <c r="A1553" t="inlineStr">
        <is>
          <t>長崎県</t>
        </is>
      </c>
      <c r="B1553" t="inlineStr">
        <is>
          <t>大村市</t>
        </is>
      </c>
      <c r="C1553" t="n">
        <v>40580</v>
      </c>
      <c r="D1553" t="n">
        <v>95852</v>
      </c>
      <c r="E1553" s="6" t="n">
        <v>769.4</v>
      </c>
      <c r="F1553" s="7" t="n">
        <v>50.4</v>
      </c>
      <c r="G1553" t="n">
        <v>95397</v>
      </c>
      <c r="H1553" t="n">
        <v>95852</v>
      </c>
      <c r="I1553" t="n">
        <v>94602</v>
      </c>
      <c r="J1553" t="n">
        <v>87977</v>
      </c>
      <c r="K1553" s="27">
        <f>(H1553/D1553-1)</f>
        <v/>
      </c>
      <c r="L1553" s="27">
        <f>(I1553/D1553-1)</f>
        <v/>
      </c>
      <c r="M1553" s="27">
        <f>(J1553/D1553-1)</f>
        <v/>
      </c>
      <c r="N1553" t="n">
        <v>70.90000000000001</v>
      </c>
      <c r="O1553" s="28">
        <f>(N1553+F1553)/2</f>
        <v/>
      </c>
      <c r="P1553">
        <f>IF(O1553="計算不能","計算不能",IF(O1553&gt;=80,5,IF(O1553&gt;=60,4,IF(O1553&gt;=40,3,IF(O1553&gt;=28,2,1)))))</f>
        <v/>
      </c>
      <c r="Q1553" t="n">
        <v>13118</v>
      </c>
      <c r="R1553" t="n">
        <v>2000</v>
      </c>
      <c r="S1553" s="27">
        <f>R1553/Q1553</f>
        <v/>
      </c>
      <c r="T1553" t="inlineStr">
        <is>
          <t>大村市は2045年までに人口が約8.2%減と緩やかな減少局面。若年層の都市部流出と高齢化が進むが、当面の賃貸稼働は一定程度維持される見通し。</t>
        </is>
      </c>
      <c r="U1553" t="inlineStr">
        <is>
          <t>大村市は人口密度769人/km²で、主要道路沿いや中心市街地に一定の賃貸需要が局在。立地選別が稼働を左右する。 借家の空室率は約15%と需給は比較的引き締まっている。</t>
        </is>
      </c>
      <c r="V1553" t="inlineStr">
        <is>
          <t>大村市（長崎県）：急傾斜地が多く土砂災害リスクが高い。離島部の津波、雲仙の火山、高潮に注意。</t>
        </is>
      </c>
    </row>
    <row r="1554">
      <c r="A1554" t="inlineStr">
        <is>
          <t>長崎県</t>
        </is>
      </c>
      <c r="B1554" t="inlineStr">
        <is>
          <t>平戸市</t>
        </is>
      </c>
      <c r="C1554" t="n">
        <v>11460</v>
      </c>
      <c r="D1554" t="n">
        <v>26755</v>
      </c>
      <c r="E1554" s="6" t="n">
        <v>112.3</v>
      </c>
      <c r="F1554" s="7" t="n">
        <v>21.2</v>
      </c>
      <c r="G1554" t="n">
        <v>29365</v>
      </c>
      <c r="H1554" t="n">
        <v>26755</v>
      </c>
      <c r="I1554" t="n">
        <v>24083</v>
      </c>
      <c r="J1554" t="n">
        <v>16648</v>
      </c>
      <c r="K1554" s="27">
        <f>(H1554/D1554-1)</f>
        <v/>
      </c>
      <c r="L1554" s="27">
        <f>(I1554/D1554-1)</f>
        <v/>
      </c>
      <c r="M1554" s="27">
        <f>(J1554/D1554-1)</f>
        <v/>
      </c>
      <c r="N1554" t="n">
        <v>39.3</v>
      </c>
      <c r="O1554" s="28">
        <f>(N1554+F1554)/2</f>
        <v/>
      </c>
      <c r="P1554">
        <f>IF(O1554="計算不能","計算不能",IF(O1554&gt;=80,5,IF(O1554&gt;=60,4,IF(O1554&gt;=40,3,IF(O1554&gt;=28,2,1)))))</f>
        <v/>
      </c>
      <c r="Q1554" t="n">
        <v>3704</v>
      </c>
      <c r="R1554" t="n">
        <v>160</v>
      </c>
      <c r="S1554" s="27">
        <f>R1554/Q1554</f>
        <v/>
      </c>
      <c r="T1554" t="inlineStr">
        <is>
          <t>平戸市は2045年までに人口が約37.8%減と急激な過疎・超高齢化が進行。若年労働世代の流出と自然減が重なり、賃貸事業としての持続性は極めて限定的。</t>
        </is>
      </c>
      <c r="U1554" t="inlineStr">
        <is>
          <t>平戸市は人口密度112人/km²と過疎的水準で、民間賃貸の新規需要は薄い。実需に裏付けられた格安戸建ての指値取得のみが現実的。 借家の空室率は約4%と需給は比較的引き締まっている。</t>
        </is>
      </c>
      <c r="V1554" t="inlineStr">
        <is>
          <t>平戸市（長崎県）：急傾斜地が多く土砂災害リスクが高い。離島部の津波、雲仙の火山、高潮に注意。</t>
        </is>
      </c>
    </row>
    <row r="1555">
      <c r="A1555" t="inlineStr">
        <is>
          <t>長崎県</t>
        </is>
      </c>
      <c r="B1555" t="inlineStr">
        <is>
          <t>松浦市</t>
        </is>
      </c>
      <c r="C1555" t="n">
        <v>8440</v>
      </c>
      <c r="D1555" t="n">
        <v>19091</v>
      </c>
      <c r="E1555" s="6" t="n">
        <v>148</v>
      </c>
      <c r="F1555" s="7" t="n">
        <v>24.8</v>
      </c>
      <c r="G1555" t="n">
        <v>21271</v>
      </c>
      <c r="H1555" t="n">
        <v>19091</v>
      </c>
      <c r="I1555" t="n">
        <v>17275</v>
      </c>
      <c r="J1555" t="n">
        <v>12370</v>
      </c>
      <c r="K1555" s="27">
        <f>(H1555/D1555-1)</f>
        <v/>
      </c>
      <c r="L1555" s="27">
        <f>(I1555/D1555-1)</f>
        <v/>
      </c>
      <c r="M1555" s="27">
        <f>(J1555/D1555-1)</f>
        <v/>
      </c>
      <c r="N1555" t="n">
        <v>38.9</v>
      </c>
      <c r="O1555" s="28">
        <f>(N1555+F1555)/2</f>
        <v/>
      </c>
      <c r="P1555">
        <f>IF(O1555="計算不能","計算不能",IF(O1555&gt;=80,5,IF(O1555&gt;=60,4,IF(O1555&gt;=40,3,IF(O1555&gt;=28,2,1)))))</f>
        <v/>
      </c>
      <c r="Q1555" t="n">
        <v>2728</v>
      </c>
      <c r="R1555" t="n">
        <v>710</v>
      </c>
      <c r="S1555" s="27">
        <f>R1555/Q1555</f>
        <v/>
      </c>
      <c r="T1555" t="inlineStr">
        <is>
          <t>松浦市は2045年までに人口が約35.2%減と急激な過疎・超高齢化が進行。若年労働世代の流出と自然減が重なり、賃貸事業としての持続性は極めて限定的。</t>
        </is>
      </c>
      <c r="U1555" t="inlineStr">
        <is>
          <t>松浦市は人口密度148人/km²と過疎的水準で、民間賃貸の新規需要は薄い。実需に裏付けられた格安戸建ての指値取得のみが現実的。 借家の空室率は約26%と供給過多気味で、空室長期化リスクに要警戒。</t>
        </is>
      </c>
      <c r="V1555" t="inlineStr">
        <is>
          <t>松浦市（長崎県）：急傾斜地が多く土砂災害リスクが高い。離島部の津波、雲仙の火山、高潮に注意。</t>
        </is>
      </c>
    </row>
    <row r="1556">
      <c r="A1556" t="inlineStr">
        <is>
          <t>長崎県</t>
        </is>
      </c>
      <c r="B1556" t="inlineStr">
        <is>
          <t>対馬市</t>
        </is>
      </c>
      <c r="C1556" t="n">
        <v>11770</v>
      </c>
      <c r="D1556" t="n">
        <v>25313</v>
      </c>
      <c r="E1556" s="6" t="n">
        <v>35.8</v>
      </c>
      <c r="F1556" s="7" t="n">
        <v>13.6</v>
      </c>
      <c r="G1556" t="n">
        <v>28502</v>
      </c>
      <c r="H1556" t="n">
        <v>25313</v>
      </c>
      <c r="I1556" t="n">
        <v>22565</v>
      </c>
      <c r="J1556" t="n">
        <v>15434</v>
      </c>
      <c r="K1556" s="27">
        <f>(H1556/D1556-1)</f>
        <v/>
      </c>
      <c r="L1556" s="27">
        <f>(I1556/D1556-1)</f>
        <v/>
      </c>
      <c r="M1556" s="27">
        <f>(J1556/D1556-1)</f>
        <v/>
      </c>
      <c r="N1556" t="n">
        <v>36.8</v>
      </c>
      <c r="O1556" s="28">
        <f>(N1556+F1556)/2</f>
        <v/>
      </c>
      <c r="P1556">
        <f>IF(O1556="計算不能","計算不能",IF(O1556&gt;=80,5,IF(O1556&gt;=60,4,IF(O1556&gt;=40,3,IF(O1556&gt;=28,2,1)))))</f>
        <v/>
      </c>
      <c r="Q1556" t="n">
        <v>3804</v>
      </c>
      <c r="R1556" t="n">
        <v>770</v>
      </c>
      <c r="S1556" s="27">
        <f>R1556/Q1556</f>
        <v/>
      </c>
      <c r="T1556" t="inlineStr">
        <is>
          <t>対馬市は2045年までに人口が約39.0%減と急激な過疎・超高齢化が進行。若年労働世代の流出と自然減が重なり、賃貸事業としての持続性は極めて限定的。</t>
        </is>
      </c>
      <c r="U1556" t="inlineStr">
        <is>
          <t>対馬市は人口密度36人/km²と過疎的水準で、民間賃貸の新規需要は薄い。実需に裏付けられた格安戸建ての指値取得のみが現実的。 借家の空室率は約20%とやや高めで、競合との差別化が必要。</t>
        </is>
      </c>
      <c r="V1556" t="inlineStr">
        <is>
          <t>対馬市（長崎県）：急傾斜地が多く土砂災害リスクが高い。離島部の津波、雲仙の火山、高潮に注意。</t>
        </is>
      </c>
    </row>
    <row r="1557">
      <c r="A1557" t="inlineStr">
        <is>
          <t>長崎県</t>
        </is>
      </c>
      <c r="B1557" t="inlineStr">
        <is>
          <t>壱岐市</t>
        </is>
      </c>
      <c r="C1557" t="n">
        <v>9500</v>
      </c>
      <c r="D1557" t="n">
        <v>22451</v>
      </c>
      <c r="E1557" s="6" t="n">
        <v>160.4</v>
      </c>
      <c r="F1557" s="7" t="n">
        <v>26</v>
      </c>
      <c r="G1557" t="n">
        <v>24948</v>
      </c>
      <c r="H1557" t="n">
        <v>22451</v>
      </c>
      <c r="I1557" t="n">
        <v>20311</v>
      </c>
      <c r="J1557" t="n">
        <v>14828</v>
      </c>
      <c r="K1557" s="27">
        <f>(H1557/D1557-1)</f>
        <v/>
      </c>
      <c r="L1557" s="27">
        <f>(I1557/D1557-1)</f>
        <v/>
      </c>
      <c r="M1557" s="27">
        <f>(J1557/D1557-1)</f>
        <v/>
      </c>
      <c r="N1557" t="n">
        <v>39.4</v>
      </c>
      <c r="O1557" s="28">
        <f>(N1557+F1557)/2</f>
        <v/>
      </c>
      <c r="P1557">
        <f>IF(O1557="計算不能","計算不能",IF(O1557&gt;=80,5,IF(O1557&gt;=60,4,IF(O1557&gt;=40,3,IF(O1557&gt;=28,2,1)))))</f>
        <v/>
      </c>
      <c r="Q1557" t="n">
        <v>3071</v>
      </c>
      <c r="R1557" t="n">
        <v>270</v>
      </c>
      <c r="S1557" s="27">
        <f>R1557/Q1557</f>
        <v/>
      </c>
      <c r="T1557" t="inlineStr">
        <is>
          <t>壱岐市は2045年までに人口が約34.0%減と急激な過疎・超高齢化が進行。若年労働世代の流出と自然減が重なり、賃貸事業としての持続性は極めて限定的。</t>
        </is>
      </c>
      <c r="U1557" t="inlineStr">
        <is>
          <t>壱岐市は人口密度160人/km²と過疎的水準で、民間賃貸の新規需要は薄い。実需に裏付けられた格安戸建ての指値取得のみが現実的。 借家の空室率は約9%と需給は比較的引き締まっている。</t>
        </is>
      </c>
      <c r="V1557" t="inlineStr">
        <is>
          <t>壱岐市（長崎県）：急傾斜地が多く土砂災害リスクが高い。離島部の津波、雲仙の火山、高潮に注意。</t>
        </is>
      </c>
    </row>
    <row r="1558">
      <c r="A1558" t="inlineStr">
        <is>
          <t>長崎県</t>
        </is>
      </c>
      <c r="B1558" t="inlineStr">
        <is>
          <t>五島市</t>
        </is>
      </c>
      <c r="C1558" t="n">
        <v>16370</v>
      </c>
      <c r="D1558" t="n">
        <v>31415</v>
      </c>
      <c r="E1558" s="6" t="n">
        <v>74.90000000000001</v>
      </c>
      <c r="F1558" s="7" t="n">
        <v>17.5</v>
      </c>
      <c r="G1558" t="n">
        <v>34391</v>
      </c>
      <c r="H1558" t="n">
        <v>31415</v>
      </c>
      <c r="I1558" t="n">
        <v>28487</v>
      </c>
      <c r="J1558" t="n">
        <v>20191</v>
      </c>
      <c r="K1558" s="27">
        <f>(H1558/D1558-1)</f>
        <v/>
      </c>
      <c r="L1558" s="27">
        <f>(I1558/D1558-1)</f>
        <v/>
      </c>
      <c r="M1558" s="27">
        <f>(J1558/D1558-1)</f>
        <v/>
      </c>
      <c r="N1558" t="n">
        <v>40.2</v>
      </c>
      <c r="O1558" s="28">
        <f>(N1558+F1558)/2</f>
        <v/>
      </c>
      <c r="P1558">
        <f>IF(O1558="計算不能","計算不能",IF(O1558&gt;=80,5,IF(O1558&gt;=60,4,IF(O1558&gt;=40,3,IF(O1558&gt;=28,2,1)))))</f>
        <v/>
      </c>
      <c r="Q1558" t="n">
        <v>5291</v>
      </c>
      <c r="R1558" t="n">
        <v>1010</v>
      </c>
      <c r="S1558" s="27">
        <f>R1558/Q1558</f>
        <v/>
      </c>
      <c r="T1558" t="inlineStr">
        <is>
          <t>五島市は2045年までに人口が約35.7%減と急激な過疎・超高齢化が進行。若年労働世代の流出と自然減が重なり、賃貸事業としての持続性は極めて限定的。</t>
        </is>
      </c>
      <c r="U1558" t="inlineStr">
        <is>
          <t>五島市は人口密度75人/km²と過疎的水準で、民間賃貸の新規需要は薄い。実需に裏付けられた格安戸建ての指値取得のみが現実的。 借家の空室率は約19%とやや高めで、競合との差別化が必要。</t>
        </is>
      </c>
      <c r="V1558" t="inlineStr">
        <is>
          <t>五島市（長崎県）：急傾斜地が多く土砂災害リスクが高い。離島部の津波、雲仙の火山、高潮に注意。</t>
        </is>
      </c>
    </row>
    <row r="1559">
      <c r="A1559" t="inlineStr">
        <is>
          <t>長崎県</t>
        </is>
      </c>
      <c r="B1559" t="inlineStr">
        <is>
          <t>西海市</t>
        </is>
      </c>
      <c r="C1559" t="n">
        <v>9720</v>
      </c>
      <c r="D1559" t="n">
        <v>23248</v>
      </c>
      <c r="E1559" s="6" t="n">
        <v>97</v>
      </c>
      <c r="F1559" s="7" t="n">
        <v>19.7</v>
      </c>
      <c r="G1559" t="n">
        <v>26275</v>
      </c>
      <c r="H1559" t="n">
        <v>23248</v>
      </c>
      <c r="I1559" t="n">
        <v>20934</v>
      </c>
      <c r="J1559" t="n">
        <v>14666</v>
      </c>
      <c r="K1559" s="27">
        <f>(H1559/D1559-1)</f>
        <v/>
      </c>
      <c r="L1559" s="27">
        <f>(I1559/D1559-1)</f>
        <v/>
      </c>
      <c r="M1559" s="27">
        <f>(J1559/D1559-1)</f>
        <v/>
      </c>
      <c r="N1559" t="n">
        <v>37.2</v>
      </c>
      <c r="O1559" s="28">
        <f>(N1559+F1559)/2</f>
        <v/>
      </c>
      <c r="P1559">
        <f>IF(O1559="計算不能","計算不能",IF(O1559&gt;=80,5,IF(O1559&gt;=60,4,IF(O1559&gt;=40,3,IF(O1559&gt;=28,2,1)))))</f>
        <v/>
      </c>
      <c r="Q1559" t="n">
        <v>3142</v>
      </c>
      <c r="R1559" t="n">
        <v>760</v>
      </c>
      <c r="S1559" s="27">
        <f>R1559/Q1559</f>
        <v/>
      </c>
      <c r="T1559" t="inlineStr">
        <is>
          <t>西海市は2045年までに人口が約36.9%減と急激な過疎・超高齢化が進行。若年労働世代の流出と自然減が重なり、賃貸事業としての持続性は極めて限定的。</t>
        </is>
      </c>
      <c r="U1559" t="inlineStr">
        <is>
          <t>西海市は人口密度97人/km²と過疎的水準で、民間賃貸の新規需要は薄い。実需に裏付けられた格安戸建ての指値取得のみが現実的。 借家の空室率は約24%とやや高めで、競合との差別化が必要。</t>
        </is>
      </c>
      <c r="V1559" t="inlineStr">
        <is>
          <t>西海市（長崎県）：急傾斜地が多く土砂災害リスクが高い。離島部の津波、雲仙の火山、高潮に注意。</t>
        </is>
      </c>
    </row>
    <row r="1560">
      <c r="A1560" t="inlineStr">
        <is>
          <t>長崎県</t>
        </is>
      </c>
      <c r="B1560" t="inlineStr">
        <is>
          <t>雲仙市</t>
        </is>
      </c>
      <c r="C1560" t="n">
        <v>15440</v>
      </c>
      <c r="D1560" t="n">
        <v>38135</v>
      </c>
      <c r="E1560" s="6" t="n">
        <v>178.4</v>
      </c>
      <c r="F1560" s="7" t="n">
        <v>27.8</v>
      </c>
      <c r="G1560" t="n">
        <v>41096</v>
      </c>
      <c r="H1560" t="n">
        <v>38135</v>
      </c>
      <c r="I1560" t="n">
        <v>35121</v>
      </c>
      <c r="J1560" t="n">
        <v>26447</v>
      </c>
      <c r="K1560" s="27">
        <f>(H1560/D1560-1)</f>
        <v/>
      </c>
      <c r="L1560" s="27">
        <f>(I1560/D1560-1)</f>
        <v/>
      </c>
      <c r="M1560" s="27">
        <f>(J1560/D1560-1)</f>
        <v/>
      </c>
      <c r="N1560" t="n">
        <v>43.1</v>
      </c>
      <c r="O1560" s="28">
        <f>(N1560+F1560)/2</f>
        <v/>
      </c>
      <c r="P1560">
        <f>IF(O1560="計算不能","計算不能",IF(O1560&gt;=80,5,IF(O1560&gt;=60,4,IF(O1560&gt;=40,3,IF(O1560&gt;=28,2,1)))))</f>
        <v/>
      </c>
      <c r="Q1560" t="n">
        <v>4991</v>
      </c>
      <c r="R1560" t="n">
        <v>310</v>
      </c>
      <c r="S1560" s="27">
        <f>R1560/Q1560</f>
        <v/>
      </c>
      <c r="T1560" t="inlineStr">
        <is>
          <t>雲仙市は2045年までに人口が約30.6%減と急激な過疎・超高齢化が進行。若年労働世代の流出と自然減が重なり、賃貸事業としての持続性は極めて限定的。</t>
        </is>
      </c>
      <c r="U1560" t="inlineStr">
        <is>
          <t>雲仙市は人口密度178人/km²と過疎的水準で、民間賃貸の新規需要は薄い。実需に裏付けられた格安戸建ての指値取得のみが現実的。 借家の空室率は約6%と需給は比較的引き締まっている。</t>
        </is>
      </c>
      <c r="V1560" t="inlineStr">
        <is>
          <t>雲仙市（長崎県）：急傾斜地が多く土砂災害リスクが高い。離島部の津波、雲仙の火山、高潮に注意。</t>
        </is>
      </c>
    </row>
    <row r="1561">
      <c r="A1561" t="inlineStr">
        <is>
          <t>長崎県</t>
        </is>
      </c>
      <c r="B1561" t="inlineStr">
        <is>
          <t>南島原市</t>
        </is>
      </c>
      <c r="C1561" t="n">
        <v>15050</v>
      </c>
      <c r="D1561" t="n">
        <v>37903</v>
      </c>
      <c r="E1561" s="6" t="n">
        <v>219.5</v>
      </c>
      <c r="F1561" s="7" t="n">
        <v>31</v>
      </c>
      <c r="G1561" t="n">
        <v>42330</v>
      </c>
      <c r="H1561" t="n">
        <v>37903</v>
      </c>
      <c r="I1561" t="n">
        <v>34149</v>
      </c>
      <c r="J1561" t="n">
        <v>23737</v>
      </c>
      <c r="K1561" s="27">
        <f>(H1561/D1561-1)</f>
        <v/>
      </c>
      <c r="L1561" s="27">
        <f>(I1561/D1561-1)</f>
        <v/>
      </c>
      <c r="M1561" s="27">
        <f>(J1561/D1561-1)</f>
        <v/>
      </c>
      <c r="N1561" t="n">
        <v>38.1</v>
      </c>
      <c r="O1561" s="28">
        <f>(N1561+F1561)/2</f>
        <v/>
      </c>
      <c r="P1561">
        <f>IF(O1561="計算不能","計算不能",IF(O1561&gt;=80,5,IF(O1561&gt;=60,4,IF(O1561&gt;=40,3,IF(O1561&gt;=28,2,1)))))</f>
        <v/>
      </c>
      <c r="Q1561" t="n">
        <v>4865</v>
      </c>
      <c r="R1561" t="n">
        <v>460</v>
      </c>
      <c r="S1561" s="27">
        <f>R1561/Q1561</f>
        <v/>
      </c>
      <c r="T1561" t="inlineStr">
        <is>
          <t>南島原市は2045年までに人口が約37.4%減と急激な過疎・超高齢化が進行。若年労働世代の流出と自然減が重なり、賃貸事業としての持続性は極めて限定的。</t>
        </is>
      </c>
      <c r="U1561" t="inlineStr">
        <is>
          <t>南島原市は人口密度220人/km²と低密度で、賃貸需要は限定的。持ち家比率が高く、駐車場完備の戸建て賃貸が有利。 借家の空室率は約9%と需給は比較的引き締まっている。</t>
        </is>
      </c>
      <c r="V1561" t="inlineStr">
        <is>
          <t>南島原市（長崎県）：急傾斜地が多く土砂災害リスクが高い。離島部の津波、雲仙の火山、高潮に注意。</t>
        </is>
      </c>
    </row>
    <row r="1562">
      <c r="A1562" t="inlineStr">
        <is>
          <t>長崎県</t>
        </is>
      </c>
      <c r="B1562" t="inlineStr">
        <is>
          <t>長与町</t>
        </is>
      </c>
      <c r="C1562" t="n">
        <v>15560</v>
      </c>
      <c r="D1562" t="n">
        <v>39161</v>
      </c>
      <c r="E1562" s="6" t="n">
        <v>1348.2</v>
      </c>
      <c r="F1562" s="7" t="n">
        <v>62</v>
      </c>
      <c r="G1562" t="n">
        <v>40780</v>
      </c>
      <c r="H1562" t="n">
        <v>39161</v>
      </c>
      <c r="I1562" t="n">
        <v>37049</v>
      </c>
      <c r="J1562" t="n">
        <v>29794</v>
      </c>
      <c r="K1562" s="27">
        <f>(H1562/D1562-1)</f>
        <v/>
      </c>
      <c r="L1562" s="27">
        <f>(I1562/D1562-1)</f>
        <v/>
      </c>
      <c r="M1562" s="27">
        <f>(J1562/D1562-1)</f>
        <v/>
      </c>
      <c r="N1562" t="n">
        <v>51.9</v>
      </c>
      <c r="O1562" s="28">
        <f>(N1562+F1562)/2</f>
        <v/>
      </c>
      <c r="P1562">
        <f>IF(O1562="計算不能","計算不能",IF(O1562&gt;=80,5,IF(O1562&gt;=60,4,IF(O1562&gt;=40,3,IF(O1562&gt;=28,2,1)))))</f>
        <v/>
      </c>
      <c r="Q1562" t="n">
        <v>5030</v>
      </c>
      <c r="R1562" t="n">
        <v>650</v>
      </c>
      <c r="S1562" s="27">
        <f>R1562/Q1562</f>
        <v/>
      </c>
      <c r="T1562" t="inlineStr">
        <is>
          <t>長与町は2045年までに人口が約23.9%減と明確な減少トレンド。高齢化の進行と世帯数の縮小により、中長期では賃貸需要の構造的縮小に警戒が必要。</t>
        </is>
      </c>
      <c r="U1562" t="inlineStr">
        <is>
          <t>長与町は人口密度1,348人/km²で、主要道路沿いや中心市街地に一定の賃貸需要が局在。立地選別が稼働を左右する。 借家の空室率は約13%と需給は比較的引き締まっている。</t>
        </is>
      </c>
      <c r="V1562" t="inlineStr">
        <is>
          <t>長与町（長崎県）：急傾斜地が多く土砂災害リスクが高い。離島部の津波、雲仙の火山、高潮に注意。</t>
        </is>
      </c>
    </row>
    <row r="1563">
      <c r="A1563" t="inlineStr">
        <is>
          <t>長崎県</t>
        </is>
      </c>
      <c r="B1563" t="inlineStr">
        <is>
          <t>時津町</t>
        </is>
      </c>
      <c r="C1563" t="n">
        <v>11780</v>
      </c>
      <c r="D1563" t="n">
        <v>28580</v>
      </c>
      <c r="E1563" s="6" t="n">
        <v>1383.3</v>
      </c>
      <c r="F1563" s="7" t="n">
        <v>62.7</v>
      </c>
      <c r="G1563" t="n">
        <v>29339</v>
      </c>
      <c r="H1563" t="n">
        <v>28580</v>
      </c>
      <c r="I1563" t="n">
        <v>27352</v>
      </c>
      <c r="J1563" t="n">
        <v>23044</v>
      </c>
      <c r="K1563" s="27">
        <f>(H1563/D1563-1)</f>
        <v/>
      </c>
      <c r="L1563" s="27">
        <f>(I1563/D1563-1)</f>
        <v/>
      </c>
      <c r="M1563" s="27">
        <f>(J1563/D1563-1)</f>
        <v/>
      </c>
      <c r="N1563" t="n">
        <v>57.5</v>
      </c>
      <c r="O1563" s="28">
        <f>(N1563+F1563)/2</f>
        <v/>
      </c>
      <c r="P1563">
        <f>IF(O1563="計算不能","計算不能",IF(O1563&gt;=80,5,IF(O1563&gt;=60,4,IF(O1563&gt;=40,3,IF(O1563&gt;=28,2,1)))))</f>
        <v/>
      </c>
      <c r="Q1563" t="n">
        <v>3808</v>
      </c>
      <c r="R1563" t="n">
        <v>400</v>
      </c>
      <c r="S1563" s="27">
        <f>R1563/Q1563</f>
        <v/>
      </c>
      <c r="T1563" t="inlineStr">
        <is>
          <t>時津町は2045年までに人口が約19.4%減と明確な減少トレンド。高齢化の進行と世帯数の縮小により、中長期では賃貸需要の構造的縮小に警戒が必要。</t>
        </is>
      </c>
      <c r="U1563" t="inlineStr">
        <is>
          <t>時津町は人口密度1,383人/km²で、主要道路沿いや中心市街地に一定の賃貸需要が局在。立地選別が稼働を左右する。 借家の空室率は約11%と需給は比較的引き締まっている。</t>
        </is>
      </c>
      <c r="V1563" t="inlineStr">
        <is>
          <t>時津町（長崎県）：急傾斜地が多く土砂災害リスクが高い。離島部の津波、雲仙の火山、高潮に注意。</t>
        </is>
      </c>
    </row>
    <row r="1564">
      <c r="A1564" t="inlineStr">
        <is>
          <t>長崎県</t>
        </is>
      </c>
      <c r="B1564" t="inlineStr">
        <is>
          <t>東彼杵町</t>
        </is>
      </c>
      <c r="C1564" t="n">
        <v>3207</v>
      </c>
      <c r="D1564" t="n">
        <v>7108</v>
      </c>
      <c r="E1564" s="6" t="n">
        <v>95.90000000000001</v>
      </c>
      <c r="F1564" s="7" t="n">
        <v>19.6</v>
      </c>
      <c r="G1564" t="n">
        <v>7721</v>
      </c>
      <c r="H1564" t="n">
        <v>7108</v>
      </c>
      <c r="I1564" t="n">
        <v>6467</v>
      </c>
      <c r="J1564" t="n">
        <v>4639</v>
      </c>
      <c r="K1564" s="27">
        <f>(H1564/D1564-1)</f>
        <v/>
      </c>
      <c r="L1564" s="27">
        <f>(I1564/D1564-1)</f>
        <v/>
      </c>
      <c r="M1564" s="27">
        <f>(J1564/D1564-1)</f>
        <v/>
      </c>
      <c r="N1564" t="n">
        <v>41.2</v>
      </c>
      <c r="O1564" s="28">
        <f>(N1564+F1564)/2</f>
        <v/>
      </c>
      <c r="P1564">
        <f>IF(O1564="計算不能","計算不能",IF(O1564&gt;=80,5,IF(O1564&gt;=60,4,IF(O1564&gt;=40,3,IF(O1564&gt;=28,2,1)))))</f>
        <v/>
      </c>
      <c r="Q1564" t="n">
        <v>1036</v>
      </c>
      <c r="R1564" t="n">
        <v>0</v>
      </c>
      <c r="S1564" s="27">
        <f>R1564/Q1564</f>
        <v/>
      </c>
      <c r="T1564" t="inlineStr">
        <is>
          <t>東彼杵町は2045年までに人口が約34.7%減と急激な過疎・超高齢化が進行。若年労働世代の流出と自然減が重なり、賃貸事業としての持続性は極めて限定的。</t>
        </is>
      </c>
      <c r="U1564" t="inlineStr">
        <is>
          <t>東彼杵町は人口密度96人/km²と過疎的水準で、民間賃貸の新規需要は薄い。実需に裏付けられた格安戸建ての指値取得のみが現実的。 借家の空室率は約0%と需給は比較的引き締まっている。</t>
        </is>
      </c>
      <c r="V1564" t="inlineStr">
        <is>
          <t>東彼杵町（長崎県）：急傾斜地が多く土砂災害リスクが高い。離島部の津波、雲仙の火山、高潮に注意。</t>
        </is>
      </c>
    </row>
    <row r="1565">
      <c r="A1565" t="inlineStr">
        <is>
          <t>長崎県</t>
        </is>
      </c>
      <c r="B1565" t="inlineStr">
        <is>
          <t>川棚町</t>
        </is>
      </c>
      <c r="C1565" t="n">
        <v>5704</v>
      </c>
      <c r="D1565" t="n">
        <v>12490</v>
      </c>
      <c r="E1565" s="6" t="n">
        <v>330.9</v>
      </c>
      <c r="F1565" s="7" t="n">
        <v>36.5</v>
      </c>
      <c r="G1565" t="n">
        <v>13377</v>
      </c>
      <c r="H1565" t="n">
        <v>12490</v>
      </c>
      <c r="I1565" t="n">
        <v>11636</v>
      </c>
      <c r="J1565" t="n">
        <v>9055</v>
      </c>
      <c r="K1565" s="27">
        <f>(H1565/D1565-1)</f>
        <v/>
      </c>
      <c r="L1565" s="27">
        <f>(I1565/D1565-1)</f>
        <v/>
      </c>
      <c r="M1565" s="27">
        <f>(J1565/D1565-1)</f>
        <v/>
      </c>
      <c r="N1565" t="n">
        <v>44.7</v>
      </c>
      <c r="O1565" s="28">
        <f>(N1565+F1565)/2</f>
        <v/>
      </c>
      <c r="P1565">
        <f>IF(O1565="計算不能","計算不能",IF(O1565&gt;=80,5,IF(O1565&gt;=60,4,IF(O1565&gt;=40,3,IF(O1565&gt;=28,2,1)))))</f>
        <v/>
      </c>
      <c r="Q1565" t="n">
        <v>1843</v>
      </c>
      <c r="R1565" t="n">
        <v>0</v>
      </c>
      <c r="S1565" s="27">
        <f>R1565/Q1565</f>
        <v/>
      </c>
      <c r="T1565" t="inlineStr">
        <is>
          <t>川棚町は2045年までに人口が約27.5%減と明確な減少トレンド。高齢化の進行と世帯数の縮小により、中長期では賃貸需要の構造的縮小に警戒が必要。</t>
        </is>
      </c>
      <c r="U1565" t="inlineStr">
        <is>
          <t>川棚町は人口密度331人/km²と低密度で、賃貸需要は限定的。持ち家比率が高く、駐車場完備の戸建て賃貸が有利。 借家の空室率は約0%と需給は比較的引き締まっている。</t>
        </is>
      </c>
      <c r="V1565" t="inlineStr">
        <is>
          <t>川棚町（長崎県）：急傾斜地が多く土砂災害リスクが高い。離島部の津波、雲仙の火山、高潮に注意。</t>
        </is>
      </c>
    </row>
    <row r="1566">
      <c r="A1566" t="inlineStr">
        <is>
          <t>長崎県</t>
        </is>
      </c>
      <c r="B1566" t="inlineStr">
        <is>
          <t>波佐見町</t>
        </is>
      </c>
      <c r="C1566" t="n">
        <v>5527</v>
      </c>
      <c r="D1566" t="n">
        <v>13696</v>
      </c>
      <c r="E1566" s="6" t="n">
        <v>244.9</v>
      </c>
      <c r="F1566" s="7" t="n">
        <v>32.2</v>
      </c>
      <c r="G1566" t="n">
        <v>14291</v>
      </c>
      <c r="H1566" t="n">
        <v>13696</v>
      </c>
      <c r="I1566" t="n">
        <v>12995</v>
      </c>
      <c r="J1566" t="n">
        <v>10712</v>
      </c>
      <c r="K1566" s="27">
        <f>(H1566/D1566-1)</f>
        <v/>
      </c>
      <c r="L1566" s="27">
        <f>(I1566/D1566-1)</f>
        <v/>
      </c>
      <c r="M1566" s="27">
        <f>(J1566/D1566-1)</f>
        <v/>
      </c>
      <c r="N1566" t="n">
        <v>52.8</v>
      </c>
      <c r="O1566" s="28">
        <f>(N1566+F1566)/2</f>
        <v/>
      </c>
      <c r="P1566">
        <f>IF(O1566="計算不能","計算不能",IF(O1566&gt;=80,5,IF(O1566&gt;=60,4,IF(O1566&gt;=40,3,IF(O1566&gt;=28,2,1)))))</f>
        <v/>
      </c>
      <c r="Q1566" t="n">
        <v>1786</v>
      </c>
      <c r="R1566" t="n">
        <v>0</v>
      </c>
      <c r="S1566" s="27">
        <f>R1566/Q1566</f>
        <v/>
      </c>
      <c r="T1566" t="inlineStr">
        <is>
          <t>波佐見町は2045年までに人口が約21.8%減と明確な減少トレンド。高齢化の進行と世帯数の縮小により、中長期では賃貸需要の構造的縮小に警戒が必要。</t>
        </is>
      </c>
      <c r="U1566" t="inlineStr">
        <is>
          <t>波佐見町は人口密度245人/km²と低密度で、賃貸需要は限定的。持ち家比率が高く、駐車場完備の戸建て賃貸が有利。 借家の空室率は約0%と需給は比較的引き締まっている。</t>
        </is>
      </c>
      <c r="V1566" t="inlineStr">
        <is>
          <t>波佐見町（長崎県）：急傾斜地が多く土砂災害リスクが高い。離島部の津波、雲仙の火山、高潮に注意。</t>
        </is>
      </c>
    </row>
    <row r="1567">
      <c r="A1567" t="inlineStr">
        <is>
          <t>長崎県</t>
        </is>
      </c>
      <c r="B1567" t="inlineStr">
        <is>
          <t>小値賀町</t>
        </is>
      </c>
      <c r="C1567" t="n">
        <v>1179</v>
      </c>
      <c r="D1567" t="n">
        <v>1993</v>
      </c>
      <c r="E1567" s="6" t="n">
        <v>79.09999999999999</v>
      </c>
      <c r="F1567" s="7" t="n">
        <v>17.9</v>
      </c>
      <c r="G1567" t="n">
        <v>2288</v>
      </c>
      <c r="H1567" t="n">
        <v>1993</v>
      </c>
      <c r="I1567" t="n">
        <v>1732</v>
      </c>
      <c r="J1567" t="n">
        <v>1117</v>
      </c>
      <c r="K1567" s="27">
        <f>(H1567/D1567-1)</f>
        <v/>
      </c>
      <c r="L1567" s="27">
        <f>(I1567/D1567-1)</f>
        <v/>
      </c>
      <c r="M1567" s="27">
        <f>(J1567/D1567-1)</f>
        <v/>
      </c>
      <c r="N1567" t="n">
        <v>33.5</v>
      </c>
      <c r="O1567" s="28">
        <f>(N1567+F1567)/2</f>
        <v/>
      </c>
      <c r="P1567">
        <f>IF(O1567="計算不能","計算不能",IF(O1567&gt;=80,5,IF(O1567&gt;=60,4,IF(O1567&gt;=40,3,IF(O1567&gt;=28,2,1)))))</f>
        <v/>
      </c>
      <c r="Q1567" t="n">
        <v>381</v>
      </c>
      <c r="R1567" t="n">
        <v>0</v>
      </c>
      <c r="S1567" s="27">
        <f>R1567/Q1567</f>
        <v/>
      </c>
      <c r="T1567" t="inlineStr">
        <is>
          <t>小値賀町は2045年までに人口が約44.0%減と急激な過疎・超高齢化が進行。若年労働世代の流出と自然減が重なり、賃貸事業としての持続性は極めて限定的。</t>
        </is>
      </c>
      <c r="U1567" t="inlineStr">
        <is>
          <t>小値賀町は人口密度79人/km²と過疎的水準で、民間賃貸の新規需要は薄い。実需に裏付けられた格安戸建ての指値取得のみが現実的。 借家の空室率は約0%と需給は比較的引き締まっている。</t>
        </is>
      </c>
      <c r="V1567" t="inlineStr">
        <is>
          <t>小値賀町（長崎県）：急傾斜地が多く土砂災害リスクが高い。離島部の津波、雲仙の火山、高潮に注意。</t>
        </is>
      </c>
    </row>
    <row r="1568">
      <c r="A1568" t="inlineStr">
        <is>
          <t>長崎県</t>
        </is>
      </c>
      <c r="B1568" t="inlineStr">
        <is>
          <t>佐々町</t>
        </is>
      </c>
      <c r="C1568" t="n">
        <v>6235</v>
      </c>
      <c r="D1568" t="n">
        <v>13925</v>
      </c>
      <c r="E1568" s="6" t="n">
        <v>425</v>
      </c>
      <c r="F1568" s="7" t="n">
        <v>41.2</v>
      </c>
      <c r="G1568" t="n">
        <v>13912</v>
      </c>
      <c r="H1568" t="n">
        <v>13925</v>
      </c>
      <c r="I1568" t="n">
        <v>13400</v>
      </c>
      <c r="J1568" t="n">
        <v>11599</v>
      </c>
      <c r="K1568" s="27">
        <f>(H1568/D1568-1)</f>
        <v/>
      </c>
      <c r="L1568" s="27">
        <f>(I1568/D1568-1)</f>
        <v/>
      </c>
      <c r="M1568" s="27">
        <f>(J1568/D1568-1)</f>
        <v/>
      </c>
      <c r="N1568" t="n">
        <v>64.2</v>
      </c>
      <c r="O1568" s="28">
        <f>(N1568+F1568)/2</f>
        <v/>
      </c>
      <c r="P1568">
        <f>IF(O1568="計算不能","計算不能",IF(O1568&gt;=80,5,IF(O1568&gt;=60,4,IF(O1568&gt;=40,3,IF(O1568&gt;=28,2,1)))))</f>
        <v/>
      </c>
      <c r="Q1568" t="n">
        <v>2015</v>
      </c>
      <c r="R1568" t="n">
        <v>0</v>
      </c>
      <c r="S1568" s="27">
        <f>R1568/Q1568</f>
        <v/>
      </c>
      <c r="T1568" t="inlineStr">
        <is>
          <t>佐々町は2045年までに人口が約16.7%減と明確な減少トレンド。高齢化の進行と世帯数の縮小により、中長期では賃貸需要の構造的縮小に警戒が必要。</t>
        </is>
      </c>
      <c r="U1568" t="inlineStr">
        <is>
          <t>佐々町は人口密度425人/km²と低密度で、賃貸需要は限定的。持ち家比率が高く、駐車場完備の戸建て賃貸が有利。 借家の空室率は約0%と需給は比較的引き締まっている。</t>
        </is>
      </c>
      <c r="V1568" t="inlineStr">
        <is>
          <t>佐々町（長崎県）：急傾斜地が多く土砂災害リスクが高い。離島部の津波、雲仙の火山、高潮に注意。</t>
        </is>
      </c>
    </row>
    <row r="1569">
      <c r="A1569" t="inlineStr">
        <is>
          <t>長崎県</t>
        </is>
      </c>
      <c r="B1569" t="inlineStr">
        <is>
          <t>新上五島町</t>
        </is>
      </c>
      <c r="C1569" t="n">
        <v>7680</v>
      </c>
      <c r="D1569" t="n">
        <v>15504</v>
      </c>
      <c r="E1569" s="6" t="n">
        <v>72.5</v>
      </c>
      <c r="F1569" s="7" t="n">
        <v>17.2</v>
      </c>
      <c r="G1569" t="n">
        <v>17503</v>
      </c>
      <c r="H1569" t="n">
        <v>15504</v>
      </c>
      <c r="I1569" t="n">
        <v>13616</v>
      </c>
      <c r="J1569" t="n">
        <v>8485</v>
      </c>
      <c r="K1569" s="27">
        <f>(H1569/D1569-1)</f>
        <v/>
      </c>
      <c r="L1569" s="27">
        <f>(I1569/D1569-1)</f>
        <v/>
      </c>
      <c r="M1569" s="27">
        <f>(J1569/D1569-1)</f>
        <v/>
      </c>
      <c r="N1569" t="n">
        <v>34.8</v>
      </c>
      <c r="O1569" s="28">
        <f>(N1569+F1569)/2</f>
        <v/>
      </c>
      <c r="P1569">
        <f>IF(O1569="計算不能","計算不能",IF(O1569&gt;=80,5,IF(O1569&gt;=60,4,IF(O1569&gt;=40,3,IF(O1569&gt;=28,2,1)))))</f>
        <v/>
      </c>
      <c r="Q1569" t="n">
        <v>2482</v>
      </c>
      <c r="R1569" t="n">
        <v>490</v>
      </c>
      <c r="S1569" s="27">
        <f>R1569/Q1569</f>
        <v/>
      </c>
      <c r="T1569" t="inlineStr">
        <is>
          <t>新上五島町は2045年までに人口が約45.3%減と急激な過疎・超高齢化が進行。若年労働世代の流出と自然減が重なり、賃貸事業としての持続性は極めて限定的。</t>
        </is>
      </c>
      <c r="U1569" t="inlineStr">
        <is>
          <t>新上五島町は人口密度72人/km²と過疎的水準で、民間賃貸の新規需要は薄い。実需に裏付けられた格安戸建ての指値取得のみが現実的。 借家の空室率は約20%とやや高めで、競合との差別化が必要。</t>
        </is>
      </c>
      <c r="V1569" t="inlineStr">
        <is>
          <t>新上五島町（長崎県）：急傾斜地が多く土砂災害リスクが高い。離島部の津波、雲仙の火山、高潮に注意。</t>
        </is>
      </c>
    </row>
    <row r="1570">
      <c r="A1570" t="inlineStr">
        <is>
          <t>熊本県</t>
        </is>
      </c>
      <c r="B1570" t="inlineStr">
        <is>
          <t>熊本市</t>
        </is>
      </c>
      <c r="C1570" t="n">
        <v>334600</v>
      </c>
      <c r="D1570" t="n">
        <v>732384</v>
      </c>
      <c r="E1570" s="6" t="n">
        <v>1871.9</v>
      </c>
      <c r="F1570" s="7" t="n">
        <v>68.7</v>
      </c>
      <c r="G1570" t="n">
        <v>738865</v>
      </c>
      <c r="H1570" t="n">
        <v>732384</v>
      </c>
      <c r="I1570" t="n">
        <v>720627</v>
      </c>
      <c r="J1570" t="n">
        <v>669499</v>
      </c>
      <c r="K1570" s="27">
        <f>(H1570/D1570-1)</f>
        <v/>
      </c>
      <c r="L1570" s="27">
        <f>(I1570/D1570-1)</f>
        <v/>
      </c>
      <c r="M1570" s="27">
        <f>(J1570/D1570-1)</f>
        <v/>
      </c>
      <c r="N1570" t="n">
        <v>67.90000000000001</v>
      </c>
      <c r="O1570" s="28">
        <f>(N1570+F1570)/2</f>
        <v/>
      </c>
      <c r="P1570">
        <f>IF(O1570="計算不能","計算不能",IF(O1570&gt;=80,5,IF(O1570&gt;=60,4,IF(O1570&gt;=40,3,IF(O1570&gt;=28,2,1)))))</f>
        <v/>
      </c>
      <c r="Q1570" t="n">
        <v>147500</v>
      </c>
      <c r="R1570" t="n">
        <v>32800</v>
      </c>
      <c r="S1570" s="27">
        <f>R1570/Q1570</f>
        <v/>
      </c>
      <c r="T1570" t="inlineStr">
        <is>
          <t>熊本市は2045年までに人口が約8.6%減と緩やかな減少局面。若年層の都市部流出と高齢化が進むが、当面の賃貸稼働は一定程度維持される見通し。</t>
        </is>
      </c>
      <c r="U1570" t="inlineStr">
        <is>
          <t>熊本市は人口密度1,872人/km²の都市部で、駅周辺や生活利便施設沿いに安定した賃貸需要がある。適切な家賃設定で高稼働を期待できる。 借家の空室率は約22%とやや高めで、競合との差別化が必要。</t>
        </is>
      </c>
      <c r="V1570" t="inlineStr">
        <is>
          <t>熊本市（熊本県）：白川・球磨川の氾濫（球磨川豪雨の被災記憶）、阿蘇の火山、熊本地震型の活断層に最大級の留意。</t>
        </is>
      </c>
    </row>
    <row r="1571">
      <c r="A1571" t="inlineStr">
        <is>
          <t>熊本県</t>
        </is>
      </c>
      <c r="B1571" t="inlineStr">
        <is>
          <t>八代市</t>
        </is>
      </c>
      <c r="C1571" t="n">
        <v>48710</v>
      </c>
      <c r="D1571" t="n">
        <v>117245</v>
      </c>
      <c r="E1571" s="6" t="n">
        <v>169.5</v>
      </c>
      <c r="F1571" s="7" t="n">
        <v>26.9</v>
      </c>
      <c r="G1571" t="n">
        <v>123067</v>
      </c>
      <c r="H1571" t="n">
        <v>117245</v>
      </c>
      <c r="I1571" t="n">
        <v>111165</v>
      </c>
      <c r="J1571" t="n">
        <v>92810</v>
      </c>
      <c r="K1571" s="27">
        <f>(H1571/D1571-1)</f>
        <v/>
      </c>
      <c r="L1571" s="27">
        <f>(I1571/D1571-1)</f>
        <v/>
      </c>
      <c r="M1571" s="27">
        <f>(J1571/D1571-1)</f>
        <v/>
      </c>
      <c r="N1571" t="n">
        <v>52.2</v>
      </c>
      <c r="O1571" s="28">
        <f>(N1571+F1571)/2</f>
        <v/>
      </c>
      <c r="P1571">
        <f>IF(O1571="計算不能","計算不能",IF(O1571&gt;=80,5,IF(O1571&gt;=60,4,IF(O1571&gt;=40,3,IF(O1571&gt;=28,2,1)))))</f>
        <v/>
      </c>
      <c r="Q1571" t="n">
        <v>16112</v>
      </c>
      <c r="R1571" t="n">
        <v>3600</v>
      </c>
      <c r="S1571" s="27">
        <f>R1571/Q1571</f>
        <v/>
      </c>
      <c r="T1571" t="inlineStr">
        <is>
          <t>八代市は2045年までに人口が約20.8%減と明確な減少トレンド。高齢化の進行と世帯数の縮小により、中長期では賃貸需要の構造的縮小に警戒が必要。</t>
        </is>
      </c>
      <c r="U1571" t="inlineStr">
        <is>
          <t>八代市は人口密度170人/km²と過疎的水準で、民間賃貸の新規需要は薄い。実需に裏付けられた格安戸建ての指値取得のみが現実的。 借家の空室率は約22%とやや高めで、競合との差別化が必要。</t>
        </is>
      </c>
      <c r="V1571" t="inlineStr">
        <is>
          <t>八代市（熊本県）：白川・球磨川の氾濫（球磨川豪雨の被災記憶）、阿蘇の火山、熊本地震型の活断層に最大級の留意。</t>
        </is>
      </c>
    </row>
    <row r="1572">
      <c r="A1572" t="inlineStr">
        <is>
          <t>熊本県</t>
        </is>
      </c>
      <c r="B1572" t="inlineStr">
        <is>
          <t>人吉市</t>
        </is>
      </c>
      <c r="C1572" t="n">
        <v>13050</v>
      </c>
      <c r="D1572" t="n">
        <v>28976</v>
      </c>
      <c r="E1572" s="6" t="n">
        <v>136.8</v>
      </c>
      <c r="F1572" s="7" t="n">
        <v>23.7</v>
      </c>
      <c r="G1572" t="n">
        <v>31108</v>
      </c>
      <c r="H1572" t="n">
        <v>28976</v>
      </c>
      <c r="I1572" t="n">
        <v>26887</v>
      </c>
      <c r="J1572" t="n">
        <v>21070</v>
      </c>
      <c r="K1572" s="27">
        <f>(H1572/D1572-1)</f>
        <v/>
      </c>
      <c r="L1572" s="27">
        <f>(I1572/D1572-1)</f>
        <v/>
      </c>
      <c r="M1572" s="27">
        <f>(J1572/D1572-1)</f>
        <v/>
      </c>
      <c r="N1572" t="n">
        <v>44.4</v>
      </c>
      <c r="O1572" s="28">
        <f>(N1572+F1572)/2</f>
        <v/>
      </c>
      <c r="P1572">
        <f>IF(O1572="計算不能","計算不能",IF(O1572&gt;=80,5,IF(O1572&gt;=60,4,IF(O1572&gt;=40,3,IF(O1572&gt;=28,2,1)))))</f>
        <v/>
      </c>
      <c r="Q1572" t="n">
        <v>4316</v>
      </c>
      <c r="R1572" t="n">
        <v>1230</v>
      </c>
      <c r="S1572" s="27">
        <f>R1572/Q1572</f>
        <v/>
      </c>
      <c r="T1572" t="inlineStr">
        <is>
          <t>人吉市は2045年までに人口が約27.3%減と明確な減少トレンド。高齢化の進行と世帯数の縮小により、中長期では賃貸需要の構造的縮小に警戒が必要。</t>
        </is>
      </c>
      <c r="U1572" t="inlineStr">
        <is>
          <t>人吉市は人口密度137人/km²と過疎的水準で、民間賃貸の新規需要は薄い。実需に裏付けられた格安戸建ての指値取得のみが現実的。 借家の空室率は約28%と供給過多気味で、空室長期化リスクに要警戒。</t>
        </is>
      </c>
      <c r="V1572" t="inlineStr">
        <is>
          <t>人吉市（熊本県）：白川・球磨川の氾濫（球磨川豪雨の被災記憶）、阿蘇の火山、熊本地震型の活断層に最大級の留意。</t>
        </is>
      </c>
    </row>
    <row r="1573">
      <c r="A1573" t="inlineStr">
        <is>
          <t>熊本県</t>
        </is>
      </c>
      <c r="B1573" t="inlineStr">
        <is>
          <t>荒尾市</t>
        </is>
      </c>
      <c r="C1573" t="n">
        <v>20500</v>
      </c>
      <c r="D1573" t="n">
        <v>47435</v>
      </c>
      <c r="E1573" s="6" t="n">
        <v>825.3</v>
      </c>
      <c r="F1573" s="7" t="n">
        <v>51.5</v>
      </c>
      <c r="G1573" t="n">
        <v>50832</v>
      </c>
      <c r="H1573" t="n">
        <v>47435</v>
      </c>
      <c r="I1573" t="n">
        <v>44972</v>
      </c>
      <c r="J1573" t="n">
        <v>37638</v>
      </c>
      <c r="K1573" s="27">
        <f>(H1573/D1573-1)</f>
        <v/>
      </c>
      <c r="L1573" s="27">
        <f>(I1573/D1573-1)</f>
        <v/>
      </c>
      <c r="M1573" s="27">
        <f>(J1573/D1573-1)</f>
        <v/>
      </c>
      <c r="N1573" t="n">
        <v>48.6</v>
      </c>
      <c r="O1573" s="28">
        <f>(N1573+F1573)/2</f>
        <v/>
      </c>
      <c r="P1573">
        <f>IF(O1573="計算不能","計算不能",IF(O1573&gt;=80,5,IF(O1573&gt;=60,4,IF(O1573&gt;=40,3,IF(O1573&gt;=28,2,1)))))</f>
        <v/>
      </c>
      <c r="Q1573" t="n">
        <v>6780</v>
      </c>
      <c r="R1573" t="n">
        <v>1460</v>
      </c>
      <c r="S1573" s="27">
        <f>R1573/Q1573</f>
        <v/>
      </c>
      <c r="T1573" t="inlineStr">
        <is>
          <t>荒尾市は2045年までに人口が約20.7%減と明確な減少トレンド。高齢化の進行と世帯数の縮小により、中長期では賃貸需要の構造的縮小に警戒が必要。</t>
        </is>
      </c>
      <c r="U1573" t="inlineStr">
        <is>
          <t>荒尾市は人口密度825人/km²で、主要道路沿いや中心市街地に一定の賃貸需要が局在。立地選別が稼働を左右する。 借家の空室率は約22%とやや高めで、競合との差別化が必要。</t>
        </is>
      </c>
      <c r="V1573" t="inlineStr">
        <is>
          <t>荒尾市（熊本県）：白川・球磨川の氾濫（球磨川豪雨の被災記憶）、阿蘇の火山、熊本地震型の活断層に最大級の留意。</t>
        </is>
      </c>
    </row>
    <row r="1574">
      <c r="A1574" t="inlineStr">
        <is>
          <t>熊本県</t>
        </is>
      </c>
      <c r="B1574" t="inlineStr">
        <is>
          <t>水俣市</t>
        </is>
      </c>
      <c r="C1574" t="n">
        <v>9430</v>
      </c>
      <c r="D1574" t="n">
        <v>21298</v>
      </c>
      <c r="E1574" s="6" t="n">
        <v>127.4</v>
      </c>
      <c r="F1574" s="7" t="n">
        <v>22.7</v>
      </c>
      <c r="G1574" t="n">
        <v>23557</v>
      </c>
      <c r="H1574" t="n">
        <v>21298</v>
      </c>
      <c r="I1574" t="n">
        <v>19372</v>
      </c>
      <c r="J1574" t="n">
        <v>14207</v>
      </c>
      <c r="K1574" s="27">
        <f>(H1574/D1574-1)</f>
        <v/>
      </c>
      <c r="L1574" s="27">
        <f>(I1574/D1574-1)</f>
        <v/>
      </c>
      <c r="M1574" s="27">
        <f>(J1574/D1574-1)</f>
        <v/>
      </c>
      <c r="N1574" t="n">
        <v>40</v>
      </c>
      <c r="O1574" s="28">
        <f>(N1574+F1574)/2</f>
        <v/>
      </c>
      <c r="P1574">
        <f>IF(O1574="計算不能","計算不能",IF(O1574&gt;=80,5,IF(O1574&gt;=60,4,IF(O1574&gt;=40,3,IF(O1574&gt;=28,2,1)))))</f>
        <v/>
      </c>
      <c r="Q1574" t="n">
        <v>3119</v>
      </c>
      <c r="R1574" t="n">
        <v>670</v>
      </c>
      <c r="S1574" s="27">
        <f>R1574/Q1574</f>
        <v/>
      </c>
      <c r="T1574" t="inlineStr">
        <is>
          <t>水俣市は2045年までに人口が約33.3%減と急激な過疎・超高齢化が進行。若年労働世代の流出と自然減が重なり、賃貸事業としての持続性は極めて限定的。</t>
        </is>
      </c>
      <c r="U1574" t="inlineStr">
        <is>
          <t>水俣市は人口密度127人/km²と過疎的水準で、民間賃貸の新規需要は薄い。実需に裏付けられた格安戸建ての指値取得のみが現実的。 借家の空室率は約21%とやや高めで、競合との差別化が必要。</t>
        </is>
      </c>
      <c r="V1574" t="inlineStr">
        <is>
          <t>水俣市（熊本県）：白川・球磨川の氾濫（球磨川豪雨の被災記憶）、阿蘇の火山、熊本地震型の活断層に最大級の留意。</t>
        </is>
      </c>
    </row>
    <row r="1575">
      <c r="A1575" t="inlineStr">
        <is>
          <t>熊本県</t>
        </is>
      </c>
      <c r="B1575" t="inlineStr">
        <is>
          <t>玉名市</t>
        </is>
      </c>
      <c r="C1575" t="n">
        <v>25590</v>
      </c>
      <c r="D1575" t="n">
        <v>61365</v>
      </c>
      <c r="E1575" s="6" t="n">
        <v>397.6</v>
      </c>
      <c r="F1575" s="7" t="n">
        <v>39.9</v>
      </c>
      <c r="G1575" t="n">
        <v>64292</v>
      </c>
      <c r="H1575" t="n">
        <v>61365</v>
      </c>
      <c r="I1575" t="n">
        <v>58160</v>
      </c>
      <c r="J1575" t="n">
        <v>48643</v>
      </c>
      <c r="K1575" s="27">
        <f>(H1575/D1575-1)</f>
        <v/>
      </c>
      <c r="L1575" s="27">
        <f>(I1575/D1575-1)</f>
        <v/>
      </c>
      <c r="M1575" s="27">
        <f>(J1575/D1575-1)</f>
        <v/>
      </c>
      <c r="N1575" t="n">
        <v>52.5</v>
      </c>
      <c r="O1575" s="28">
        <f>(N1575+F1575)/2</f>
        <v/>
      </c>
      <c r="P1575">
        <f>IF(O1575="計算不能","計算不能",IF(O1575&gt;=80,5,IF(O1575&gt;=60,4,IF(O1575&gt;=40,3,IF(O1575&gt;=28,2,1)))))</f>
        <v/>
      </c>
      <c r="Q1575" t="n">
        <v>8464</v>
      </c>
      <c r="R1575" t="n">
        <v>2160</v>
      </c>
      <c r="S1575" s="27">
        <f>R1575/Q1575</f>
        <v/>
      </c>
      <c r="T1575" t="inlineStr">
        <is>
          <t>玉名市は2045年までに人口が約20.7%減と明確な減少トレンド。高齢化の進行と世帯数の縮小により、中長期では賃貸需要の構造的縮小に警戒が必要。</t>
        </is>
      </c>
      <c r="U1575" t="inlineStr">
        <is>
          <t>玉名市は人口密度398人/km²と低密度で、賃貸需要は限定的。持ち家比率が高く、駐車場完備の戸建て賃貸が有利。 借家の空室率は約26%と供給過多気味で、空室長期化リスクに要警戒。</t>
        </is>
      </c>
      <c r="V1575" t="inlineStr">
        <is>
          <t>玉名市（熊本県）：白川・球磨川の氾濫（球磨川豪雨の被災記憶）、阿蘇の火山、熊本地震型の活断層に最大級の留意。</t>
        </is>
      </c>
    </row>
    <row r="1576">
      <c r="A1576" t="inlineStr">
        <is>
          <t>熊本県</t>
        </is>
      </c>
      <c r="B1576" t="inlineStr">
        <is>
          <t>山鹿市</t>
        </is>
      </c>
      <c r="C1576" t="n">
        <v>19530</v>
      </c>
      <c r="D1576" t="n">
        <v>45199</v>
      </c>
      <c r="E1576" s="6" t="n">
        <v>152</v>
      </c>
      <c r="F1576" s="7" t="n">
        <v>25.2</v>
      </c>
      <c r="G1576" t="n">
        <v>49025</v>
      </c>
      <c r="H1576" t="n">
        <v>45199</v>
      </c>
      <c r="I1576" t="n">
        <v>42061</v>
      </c>
      <c r="J1576" t="n">
        <v>32984</v>
      </c>
      <c r="K1576" s="27">
        <f>(H1576/D1576-1)</f>
        <v/>
      </c>
      <c r="L1576" s="27">
        <f>(I1576/D1576-1)</f>
        <v/>
      </c>
      <c r="M1576" s="27">
        <f>(J1576/D1576-1)</f>
        <v/>
      </c>
      <c r="N1576" t="n">
        <v>43.7</v>
      </c>
      <c r="O1576" s="28">
        <f>(N1576+F1576)/2</f>
        <v/>
      </c>
      <c r="P1576">
        <f>IF(O1576="計算不能","計算不能",IF(O1576&gt;=80,5,IF(O1576&gt;=60,4,IF(O1576&gt;=40,3,IF(O1576&gt;=28,2,1)))))</f>
        <v/>
      </c>
      <c r="Q1576" t="n">
        <v>6460</v>
      </c>
      <c r="R1576" t="n">
        <v>1300</v>
      </c>
      <c r="S1576" s="27">
        <f>R1576/Q1576</f>
        <v/>
      </c>
      <c r="T1576" t="inlineStr">
        <is>
          <t>山鹿市は2045年までに人口が約27.0%減と明確な減少トレンド。高齢化の進行と世帯数の縮小により、中長期では賃貸需要の構造的縮小に警戒が必要。</t>
        </is>
      </c>
      <c r="U1576" t="inlineStr">
        <is>
          <t>山鹿市は人口密度152人/km²と過疎的水準で、民間賃貸の新規需要は薄い。実需に裏付けられた格安戸建ての指値取得のみが現実的。 借家の空室率は約20%とやや高めで、競合との差別化が必要。</t>
        </is>
      </c>
      <c r="V1576" t="inlineStr">
        <is>
          <t>山鹿市（熊本県）：白川・球磨川の氾濫（球磨川豪雨の被災記憶）、阿蘇の火山、熊本地震型の活断層に最大級の留意。</t>
        </is>
      </c>
    </row>
    <row r="1577">
      <c r="A1577" t="inlineStr">
        <is>
          <t>熊本県</t>
        </is>
      </c>
      <c r="B1577" t="inlineStr">
        <is>
          <t>菊池市</t>
        </is>
      </c>
      <c r="C1577" t="n">
        <v>18100</v>
      </c>
      <c r="D1577" t="n">
        <v>44156</v>
      </c>
      <c r="E1577" s="6" t="n">
        <v>161.7</v>
      </c>
      <c r="F1577" s="7" t="n">
        <v>26.2</v>
      </c>
      <c r="G1577" t="n">
        <v>46416</v>
      </c>
      <c r="H1577" t="n">
        <v>44156</v>
      </c>
      <c r="I1577" t="n">
        <v>41825</v>
      </c>
      <c r="J1577" t="n">
        <v>35097</v>
      </c>
      <c r="K1577" s="27">
        <f>(H1577/D1577-1)</f>
        <v/>
      </c>
      <c r="L1577" s="27">
        <f>(I1577/D1577-1)</f>
        <v/>
      </c>
      <c r="M1577" s="27">
        <f>(J1577/D1577-1)</f>
        <v/>
      </c>
      <c r="N1577" t="n">
        <v>52</v>
      </c>
      <c r="O1577" s="28">
        <f>(N1577+F1577)/2</f>
        <v/>
      </c>
      <c r="P1577">
        <f>IF(O1577="計算不能","計算不能",IF(O1577&gt;=80,5,IF(O1577&gt;=60,4,IF(O1577&gt;=40,3,IF(O1577&gt;=28,2,1)))))</f>
        <v/>
      </c>
      <c r="Q1577" t="n">
        <v>5987</v>
      </c>
      <c r="R1577" t="n">
        <v>870</v>
      </c>
      <c r="S1577" s="27">
        <f>R1577/Q1577</f>
        <v/>
      </c>
      <c r="T1577" t="inlineStr">
        <is>
          <t>菊池市は2045年までに人口が約20.5%減と明確な減少トレンド。高齢化の進行と世帯数の縮小により、中長期では賃貸需要の構造的縮小に警戒が必要。</t>
        </is>
      </c>
      <c r="U1577" t="inlineStr">
        <is>
          <t>菊池市は人口密度162人/km²と過疎的水準で、民間賃貸の新規需要は薄い。実需に裏付けられた格安戸建ての指値取得のみが現実的。 借家の空室率は約15%と需給は比較的引き締まっている。</t>
        </is>
      </c>
      <c r="V1577" t="inlineStr">
        <is>
          <t>菊池市（熊本県）：白川・球磨川の氾濫（球磨川豪雨の被災記憶）、阿蘇の火山、熊本地震型の活断層に最大級の留意。</t>
        </is>
      </c>
    </row>
    <row r="1578">
      <c r="A1578" t="inlineStr">
        <is>
          <t>熊本県</t>
        </is>
      </c>
      <c r="B1578" t="inlineStr">
        <is>
          <t>宇土市</t>
        </is>
      </c>
      <c r="C1578" t="n">
        <v>13830</v>
      </c>
      <c r="D1578" t="n">
        <v>34948</v>
      </c>
      <c r="E1578" s="6" t="n">
        <v>464.7</v>
      </c>
      <c r="F1578" s="7" t="n">
        <v>43.2</v>
      </c>
      <c r="G1578" t="n">
        <v>36122</v>
      </c>
      <c r="H1578" t="n">
        <v>34948</v>
      </c>
      <c r="I1578" t="n">
        <v>33626</v>
      </c>
      <c r="J1578" t="n">
        <v>29463</v>
      </c>
      <c r="K1578" s="27">
        <f>(H1578/D1578-1)</f>
        <v/>
      </c>
      <c r="L1578" s="27">
        <f>(I1578/D1578-1)</f>
        <v/>
      </c>
      <c r="M1578" s="27">
        <f>(J1578/D1578-1)</f>
        <v/>
      </c>
      <c r="N1578" t="n">
        <v>58.3</v>
      </c>
      <c r="O1578" s="28">
        <f>(N1578+F1578)/2</f>
        <v/>
      </c>
      <c r="P1578">
        <f>IF(O1578="計算不能","計算不能",IF(O1578&gt;=80,5,IF(O1578&gt;=60,4,IF(O1578&gt;=40,3,IF(O1578&gt;=28,2,1)))))</f>
        <v/>
      </c>
      <c r="Q1578" t="n">
        <v>4574</v>
      </c>
      <c r="R1578" t="n">
        <v>920</v>
      </c>
      <c r="S1578" s="27">
        <f>R1578/Q1578</f>
        <v/>
      </c>
      <c r="T1578" t="inlineStr">
        <is>
          <t>宇土市は2045年までに人口が約15.7%減と明確な減少トレンド。高齢化の進行と世帯数の縮小により、中長期では賃貸需要の構造的縮小に警戒が必要。</t>
        </is>
      </c>
      <c r="U1578" t="inlineStr">
        <is>
          <t>宇土市は人口密度465人/km²と低密度で、賃貸需要は限定的。持ち家比率が高く、駐車場完備の戸建て賃貸が有利。 借家の空室率は約20%とやや高めで、競合との差別化が必要。</t>
        </is>
      </c>
      <c r="V1578" t="inlineStr">
        <is>
          <t>宇土市（熊本県）：白川・球磨川の氾濫（球磨川豪雨の被災記憶）、阿蘇の火山、熊本地震型の活断層に最大級の留意。</t>
        </is>
      </c>
    </row>
    <row r="1579">
      <c r="A1579" t="inlineStr">
        <is>
          <t>熊本県</t>
        </is>
      </c>
      <c r="B1579" t="inlineStr">
        <is>
          <t>上天草市</t>
        </is>
      </c>
      <c r="C1579" t="n">
        <v>9600</v>
      </c>
      <c r="D1579" t="n">
        <v>22087</v>
      </c>
      <c r="E1579" s="6" t="n">
        <v>169</v>
      </c>
      <c r="F1579" s="7" t="n">
        <v>26.9</v>
      </c>
      <c r="G1579" t="n">
        <v>24563</v>
      </c>
      <c r="H1579" t="n">
        <v>22087</v>
      </c>
      <c r="I1579" t="n">
        <v>19780</v>
      </c>
      <c r="J1579" t="n">
        <v>13516</v>
      </c>
      <c r="K1579" s="27">
        <f>(H1579/D1579-1)</f>
        <v/>
      </c>
      <c r="L1579" s="27">
        <f>(I1579/D1579-1)</f>
        <v/>
      </c>
      <c r="M1579" s="27">
        <f>(J1579/D1579-1)</f>
        <v/>
      </c>
      <c r="N1579" t="n">
        <v>37.9</v>
      </c>
      <c r="O1579" s="28">
        <f>(N1579+F1579)/2</f>
        <v/>
      </c>
      <c r="P1579">
        <f>IF(O1579="計算不能","計算不能",IF(O1579&gt;=80,5,IF(O1579&gt;=60,4,IF(O1579&gt;=40,3,IF(O1579&gt;=28,2,1)))))</f>
        <v/>
      </c>
      <c r="Q1579" t="n">
        <v>3175</v>
      </c>
      <c r="R1579" t="n">
        <v>180</v>
      </c>
      <c r="S1579" s="27">
        <f>R1579/Q1579</f>
        <v/>
      </c>
      <c r="T1579" t="inlineStr">
        <is>
          <t>上天草市は2045年までに人口が約38.8%減と急激な過疎・超高齢化が進行。若年労働世代の流出と自然減が重なり、賃貸事業としての持続性は極めて限定的。</t>
        </is>
      </c>
      <c r="U1579" t="inlineStr">
        <is>
          <t>上天草市は人口密度169人/km²と過疎的水準で、民間賃貸の新規需要は薄い。実需に裏付けられた格安戸建ての指値取得のみが現実的。 借家の空室率は約6%と需給は比較的引き締まっている。</t>
        </is>
      </c>
      <c r="V1579" t="inlineStr">
        <is>
          <t>上天草市（熊本県）：白川・球磨川の氾濫（球磨川豪雨の被災記憶）、阿蘇の火山、熊本地震型の活断層に最大級の留意。</t>
        </is>
      </c>
    </row>
    <row r="1580">
      <c r="A1580" t="inlineStr">
        <is>
          <t>熊本県</t>
        </is>
      </c>
      <c r="B1580" t="inlineStr">
        <is>
          <t>宇城市</t>
        </is>
      </c>
      <c r="C1580" t="n">
        <v>21920</v>
      </c>
      <c r="D1580" t="n">
        <v>54396</v>
      </c>
      <c r="E1580" s="6" t="n">
        <v>289.3</v>
      </c>
      <c r="F1580" s="7" t="n">
        <v>34.5</v>
      </c>
      <c r="G1580" t="n">
        <v>57032</v>
      </c>
      <c r="H1580" t="n">
        <v>54396</v>
      </c>
      <c r="I1580" t="n">
        <v>51603</v>
      </c>
      <c r="J1580" t="n">
        <v>43152</v>
      </c>
      <c r="K1580" s="27">
        <f>(H1580/D1580-1)</f>
        <v/>
      </c>
      <c r="L1580" s="27">
        <f>(I1580/D1580-1)</f>
        <v/>
      </c>
      <c r="M1580" s="27">
        <f>(J1580/D1580-1)</f>
        <v/>
      </c>
      <c r="N1580" t="n">
        <v>52.5</v>
      </c>
      <c r="O1580" s="28">
        <f>(N1580+F1580)/2</f>
        <v/>
      </c>
      <c r="P1580">
        <f>IF(O1580="計算不能","計算不能",IF(O1580&gt;=80,5,IF(O1580&gt;=60,4,IF(O1580&gt;=40,3,IF(O1580&gt;=28,2,1)))))</f>
        <v/>
      </c>
      <c r="Q1580" t="n">
        <v>7250</v>
      </c>
      <c r="R1580" t="n">
        <v>1340</v>
      </c>
      <c r="S1580" s="27">
        <f>R1580/Q1580</f>
        <v/>
      </c>
      <c r="T1580" t="inlineStr">
        <is>
          <t>宇城市は2045年までに人口が約20.7%減と明確な減少トレンド。高齢化の進行と世帯数の縮小により、中長期では賃貸需要の構造的縮小に警戒が必要。</t>
        </is>
      </c>
      <c r="U1580" t="inlineStr">
        <is>
          <t>宇城市は人口密度289人/km²と低密度で、賃貸需要は限定的。持ち家比率が高く、駐車場完備の戸建て賃貸が有利。 借家の空室率は約18%とやや高めで、競合との差別化が必要。</t>
        </is>
      </c>
      <c r="V1580" t="inlineStr">
        <is>
          <t>宇城市（熊本県）：白川・球磨川の氾濫（球磨川豪雨の被災記憶）、阿蘇の火山、熊本地震型の活断層に最大級の留意。</t>
        </is>
      </c>
    </row>
    <row r="1581">
      <c r="A1581" t="inlineStr">
        <is>
          <t>熊本県</t>
        </is>
      </c>
      <c r="B1581" t="inlineStr">
        <is>
          <t>阿蘇市</t>
        </is>
      </c>
      <c r="C1581" t="n">
        <v>10160</v>
      </c>
      <c r="D1581" t="n">
        <v>23124</v>
      </c>
      <c r="E1581" s="6" t="n">
        <v>61</v>
      </c>
      <c r="F1581" s="7" t="n">
        <v>16.1</v>
      </c>
      <c r="G1581" t="n">
        <v>24930</v>
      </c>
      <c r="H1581" t="n">
        <v>23124</v>
      </c>
      <c r="I1581" t="n">
        <v>21403</v>
      </c>
      <c r="J1581" t="n">
        <v>16648</v>
      </c>
      <c r="K1581" s="27">
        <f>(H1581/D1581-1)</f>
        <v/>
      </c>
      <c r="L1581" s="27">
        <f>(I1581/D1581-1)</f>
        <v/>
      </c>
      <c r="M1581" s="27">
        <f>(J1581/D1581-1)</f>
        <v/>
      </c>
      <c r="N1581" t="n">
        <v>43.8</v>
      </c>
      <c r="O1581" s="28">
        <f>(N1581+F1581)/2</f>
        <v/>
      </c>
      <c r="P1581">
        <f>IF(O1581="計算不能","計算不能",IF(O1581&gt;=80,5,IF(O1581&gt;=60,4,IF(O1581&gt;=40,3,IF(O1581&gt;=28,2,1)))))</f>
        <v/>
      </c>
      <c r="Q1581" t="n">
        <v>3360</v>
      </c>
      <c r="R1581" t="n">
        <v>570</v>
      </c>
      <c r="S1581" s="27">
        <f>R1581/Q1581</f>
        <v/>
      </c>
      <c r="T1581" t="inlineStr">
        <is>
          <t>阿蘇市は2045年までに人口が約28.0%減と明確な減少トレンド。高齢化の進行と世帯数の縮小により、中長期では賃貸需要の構造的縮小に警戒が必要。</t>
        </is>
      </c>
      <c r="U1581" t="inlineStr">
        <is>
          <t>阿蘇市は人口密度61人/km²と過疎的水準で、民間賃貸の新規需要は薄い。実需に裏付けられた格安戸建ての指値取得のみが現実的。 借家の空室率は約17%と需給は比較的引き締まっている。</t>
        </is>
      </c>
      <c r="V1581" t="inlineStr">
        <is>
          <t>阿蘇市（熊本県）：白川・球磨川の氾濫（球磨川豪雨の被災記憶）、阿蘇の火山、熊本地震型の活断層に最大級の留意。</t>
        </is>
      </c>
    </row>
    <row r="1582">
      <c r="A1582" t="inlineStr">
        <is>
          <t>熊本県</t>
        </is>
      </c>
      <c r="B1582" t="inlineStr">
        <is>
          <t>天草市</t>
        </is>
      </c>
      <c r="C1582" t="n">
        <v>30200</v>
      </c>
      <c r="D1582" t="n">
        <v>68549</v>
      </c>
      <c r="E1582" s="6" t="n">
        <v>99.59999999999999</v>
      </c>
      <c r="F1582" s="7" t="n">
        <v>20</v>
      </c>
      <c r="G1582" t="n">
        <v>75783</v>
      </c>
      <c r="H1582" t="n">
        <v>68549</v>
      </c>
      <c r="I1582" t="n">
        <v>62017</v>
      </c>
      <c r="J1582" t="n">
        <v>44637</v>
      </c>
      <c r="K1582" s="27">
        <f>(H1582/D1582-1)</f>
        <v/>
      </c>
      <c r="L1582" s="27">
        <f>(I1582/D1582-1)</f>
        <v/>
      </c>
      <c r="M1582" s="27">
        <f>(J1582/D1582-1)</f>
        <v/>
      </c>
      <c r="N1582" t="n">
        <v>39.5</v>
      </c>
      <c r="O1582" s="28">
        <f>(N1582+F1582)/2</f>
        <v/>
      </c>
      <c r="P1582">
        <f>IF(O1582="計算不能","計算不能",IF(O1582&gt;=80,5,IF(O1582&gt;=60,4,IF(O1582&gt;=40,3,IF(O1582&gt;=28,2,1)))))</f>
        <v/>
      </c>
      <c r="Q1582" t="n">
        <v>9989</v>
      </c>
      <c r="R1582" t="n">
        <v>1860</v>
      </c>
      <c r="S1582" s="27">
        <f>R1582/Q1582</f>
        <v/>
      </c>
      <c r="T1582" t="inlineStr">
        <is>
          <t>天草市は2045年までに人口が約34.9%減と急激な過疎・超高齢化が進行。若年労働世代の流出と自然減が重なり、賃貸事業としての持続性は極めて限定的。</t>
        </is>
      </c>
      <c r="U1582" t="inlineStr">
        <is>
          <t>天草市は人口密度100人/km²と過疎的水準で、民間賃貸の新規需要は薄い。実需に裏付けられた格安戸建ての指値取得のみが現実的。 借家の空室率は約19%とやや高めで、競合との差別化が必要。</t>
        </is>
      </c>
      <c r="V1582" t="inlineStr">
        <is>
          <t>天草市（熊本県）：白川・球磨川の氾濫（球磨川豪雨の被災記憶）、阿蘇の火山、熊本地震型の活断層に最大級の留意。</t>
        </is>
      </c>
    </row>
    <row r="1583">
      <c r="A1583" t="inlineStr">
        <is>
          <t>熊本県</t>
        </is>
      </c>
      <c r="B1583" t="inlineStr">
        <is>
          <t>合志市</t>
        </is>
      </c>
      <c r="C1583" t="n">
        <v>23320</v>
      </c>
      <c r="D1583" t="n">
        <v>63212</v>
      </c>
      <c r="E1583" s="6" t="n">
        <v>1209.7</v>
      </c>
      <c r="F1583" s="7" t="n">
        <v>59.2</v>
      </c>
      <c r="G1583" t="n">
        <v>61772</v>
      </c>
      <c r="H1583" t="n">
        <v>63212</v>
      </c>
      <c r="I1583" t="n">
        <v>63778</v>
      </c>
      <c r="J1583" t="n">
        <v>63047</v>
      </c>
      <c r="K1583" s="27">
        <f>(H1583/D1583-1)</f>
        <v/>
      </c>
      <c r="L1583" s="27">
        <f>(I1583/D1583-1)</f>
        <v/>
      </c>
      <c r="M1583" s="27">
        <f>(J1583/D1583-1)</f>
        <v/>
      </c>
      <c r="N1583" t="n">
        <v>80.2</v>
      </c>
      <c r="O1583" s="28">
        <f>(N1583+F1583)/2</f>
        <v/>
      </c>
      <c r="P1583">
        <f>IF(O1583="計算不能","計算不能",IF(O1583&gt;=80,5,IF(O1583&gt;=60,4,IF(O1583&gt;=40,3,IF(O1583&gt;=28,2,1)))))</f>
        <v/>
      </c>
      <c r="Q1583" t="n">
        <v>7713</v>
      </c>
      <c r="R1583" t="n">
        <v>810</v>
      </c>
      <c r="S1583" s="27">
        <f>R1583/Q1583</f>
        <v/>
      </c>
      <c r="T1583" t="inlineStr">
        <is>
          <t>合志市は2045年までの人口減少率が約0.3%と全国平均より緩やかで、概ね横ばいの安定推移。生産年齢人口の維持により、賃貸需要の急減リスクは相対的に低い。</t>
        </is>
      </c>
      <c r="U1583" t="inlineStr">
        <is>
          <t>合志市は人口密度1,210人/km²で、主要道路沿いや中心市街地に一定の賃貸需要が局在。立地選別が稼働を左右する。 借家の空室率は約11%と需給は比較的引き締まっている。</t>
        </is>
      </c>
      <c r="V1583" t="inlineStr">
        <is>
          <t>合志市（熊本県）：白川・球磨川の氾濫（球磨川豪雨の被災記憶）、阿蘇の火山、熊本地震型の活断層に最大級の留意。</t>
        </is>
      </c>
    </row>
    <row r="1584">
      <c r="A1584" t="inlineStr">
        <is>
          <t>熊本県</t>
        </is>
      </c>
      <c r="B1584" t="inlineStr">
        <is>
          <t>美里町</t>
        </is>
      </c>
      <c r="C1584" t="n">
        <v>4104</v>
      </c>
      <c r="D1584" t="n">
        <v>8364</v>
      </c>
      <c r="E1584" s="6" t="n">
        <v>55.8</v>
      </c>
      <c r="F1584" s="7" t="n">
        <v>15.6</v>
      </c>
      <c r="G1584" t="n">
        <v>9392</v>
      </c>
      <c r="H1584" t="n">
        <v>8364</v>
      </c>
      <c r="I1584" t="n">
        <v>7470</v>
      </c>
      <c r="J1584" t="n">
        <v>5192</v>
      </c>
      <c r="K1584" s="27">
        <f>(H1584/D1584-1)</f>
        <v/>
      </c>
      <c r="L1584" s="27">
        <f>(I1584/D1584-1)</f>
        <v/>
      </c>
      <c r="M1584" s="27">
        <f>(J1584/D1584-1)</f>
        <v/>
      </c>
      <c r="N1584" t="n">
        <v>37.3</v>
      </c>
      <c r="O1584" s="28">
        <f>(N1584+F1584)/2</f>
        <v/>
      </c>
      <c r="P1584">
        <f>IF(O1584="計算不能","計算不能",IF(O1584&gt;=80,5,IF(O1584&gt;=60,4,IF(O1584&gt;=40,3,IF(O1584&gt;=28,2,1)))))</f>
        <v/>
      </c>
      <c r="Q1584" t="n">
        <v>1357</v>
      </c>
      <c r="R1584" t="n">
        <v>0</v>
      </c>
      <c r="S1584" s="27">
        <f>R1584/Q1584</f>
        <v/>
      </c>
      <c r="T1584" t="inlineStr">
        <is>
          <t>美里町は2045年までに人口が約37.9%減と急激な過疎・超高齢化が進行。若年労働世代の流出と自然減が重なり、賃貸事業としての持続性は極めて限定的。</t>
        </is>
      </c>
      <c r="U1584" t="inlineStr">
        <is>
          <t>美里町は人口密度56人/km²と過疎的水準で、民間賃貸の新規需要は薄い。実需に裏付けられた格安戸建ての指値取得のみが現実的。 借家の空室率は約0%と需給は比較的引き締まっている。</t>
        </is>
      </c>
      <c r="V1584" t="inlineStr">
        <is>
          <t>美里町（熊本県）：白川・球磨川の氾濫（球磨川豪雨の被災記憶）、阿蘇の火山、熊本地震型の活断層に最大級の留意。</t>
        </is>
      </c>
    </row>
    <row r="1585">
      <c r="A1585" t="inlineStr">
        <is>
          <t>熊本県</t>
        </is>
      </c>
      <c r="B1585" t="inlineStr">
        <is>
          <t>玉東町</t>
        </is>
      </c>
      <c r="C1585" t="n">
        <v>2127</v>
      </c>
      <c r="D1585" t="n">
        <v>4793</v>
      </c>
      <c r="E1585" s="6" t="n">
        <v>199.8</v>
      </c>
      <c r="F1585" s="7" t="n">
        <v>30</v>
      </c>
      <c r="G1585" t="n">
        <v>5045</v>
      </c>
      <c r="H1585" t="n">
        <v>4793</v>
      </c>
      <c r="I1585" t="n">
        <v>4503</v>
      </c>
      <c r="J1585" t="n">
        <v>3673</v>
      </c>
      <c r="K1585" s="27">
        <f>(H1585/D1585-1)</f>
        <v/>
      </c>
      <c r="L1585" s="27">
        <f>(I1585/D1585-1)</f>
        <v/>
      </c>
      <c r="M1585" s="27">
        <f>(J1585/D1585-1)</f>
        <v/>
      </c>
      <c r="N1585" t="n">
        <v>49.9</v>
      </c>
      <c r="O1585" s="28">
        <f>(N1585+F1585)/2</f>
        <v/>
      </c>
      <c r="P1585">
        <f>IF(O1585="計算不能","計算不能",IF(O1585&gt;=80,5,IF(O1585&gt;=60,4,IF(O1585&gt;=40,3,IF(O1585&gt;=28,2,1)))))</f>
        <v/>
      </c>
      <c r="Q1585" t="n">
        <v>703</v>
      </c>
      <c r="R1585" t="n">
        <v>0</v>
      </c>
      <c r="S1585" s="27">
        <f>R1585/Q1585</f>
        <v/>
      </c>
      <c r="T1585" t="inlineStr">
        <is>
          <t>玉東町は2045年までに人口が約23.4%減と明確な減少トレンド。高齢化の進行と世帯数の縮小により、中長期では賃貸需要の構造的縮小に警戒が必要。</t>
        </is>
      </c>
      <c r="U1585" t="inlineStr">
        <is>
          <t>玉東町は人口密度200人/km²と過疎的水準で、民間賃貸の新規需要は薄い。実需に裏付けられた格安戸建ての指値取得のみが現実的。 借家の空室率は約0%と需給は比較的引き締まっている。</t>
        </is>
      </c>
      <c r="V1585" t="inlineStr">
        <is>
          <t>玉東町（熊本県）：白川・球磨川の氾濫（球磨川豪雨の被災記憶）、阿蘇の火山、熊本地震型の活断層に最大級の留意。</t>
        </is>
      </c>
    </row>
    <row r="1586">
      <c r="A1586" t="inlineStr">
        <is>
          <t>熊本県</t>
        </is>
      </c>
      <c r="B1586" t="inlineStr">
        <is>
          <t>南関町</t>
        </is>
      </c>
      <c r="C1586" t="n">
        <v>4058</v>
      </c>
      <c r="D1586" t="n">
        <v>8299</v>
      </c>
      <c r="E1586" s="6" t="n">
        <v>116.3</v>
      </c>
      <c r="F1586" s="7" t="n">
        <v>21.6</v>
      </c>
      <c r="G1586" t="n">
        <v>8979</v>
      </c>
      <c r="H1586" t="n">
        <v>8299</v>
      </c>
      <c r="I1586" t="n">
        <v>7629</v>
      </c>
      <c r="J1586" t="n">
        <v>5749</v>
      </c>
      <c r="K1586" s="27">
        <f>(H1586/D1586-1)</f>
        <v/>
      </c>
      <c r="L1586" s="27">
        <f>(I1586/D1586-1)</f>
        <v/>
      </c>
      <c r="M1586" s="27">
        <f>(J1586/D1586-1)</f>
        <v/>
      </c>
      <c r="N1586" t="n">
        <v>42.7</v>
      </c>
      <c r="O1586" s="28">
        <f>(N1586+F1586)/2</f>
        <v/>
      </c>
      <c r="P1586">
        <f>IF(O1586="計算不能","計算不能",IF(O1586&gt;=80,5,IF(O1586&gt;=60,4,IF(O1586&gt;=40,3,IF(O1586&gt;=28,2,1)))))</f>
        <v/>
      </c>
      <c r="Q1586" t="n">
        <v>1342</v>
      </c>
      <c r="R1586" t="n">
        <v>0</v>
      </c>
      <c r="S1586" s="27">
        <f>R1586/Q1586</f>
        <v/>
      </c>
      <c r="T1586" t="inlineStr">
        <is>
          <t>南関町は2045年までに人口が約30.7%減と急激な過疎・超高齢化が進行。若年労働世代の流出と自然減が重なり、賃貸事業としての持続性は極めて限定的。</t>
        </is>
      </c>
      <c r="U1586" t="inlineStr">
        <is>
          <t>南関町は人口密度116人/km²と過疎的水準で、民間賃貸の新規需要は薄い。実需に裏付けられた格安戸建ての指値取得のみが現実的。 借家の空室率は約0%と需給は比較的引き締まっている。</t>
        </is>
      </c>
      <c r="V1586" t="inlineStr">
        <is>
          <t>南関町（熊本県）：白川・球磨川の氾濫（球磨川豪雨の被災記憶）、阿蘇の火山、熊本地震型の活断層に最大級の留意。</t>
        </is>
      </c>
    </row>
    <row r="1587">
      <c r="A1587" t="inlineStr">
        <is>
          <t>熊本県</t>
        </is>
      </c>
      <c r="B1587" t="inlineStr">
        <is>
          <t>長洲町</t>
        </is>
      </c>
      <c r="C1587" t="n">
        <v>6140</v>
      </c>
      <c r="D1587" t="n">
        <v>14572</v>
      </c>
      <c r="E1587" s="6" t="n">
        <v>747.5</v>
      </c>
      <c r="F1587" s="7" t="n">
        <v>50</v>
      </c>
      <c r="G1587" t="n">
        <v>15372</v>
      </c>
      <c r="H1587" t="n">
        <v>14572</v>
      </c>
      <c r="I1587" t="n">
        <v>13698</v>
      </c>
      <c r="J1587" t="n">
        <v>10923</v>
      </c>
      <c r="K1587" s="27">
        <f>(H1587/D1587-1)</f>
        <v/>
      </c>
      <c r="L1587" s="27">
        <f>(I1587/D1587-1)</f>
        <v/>
      </c>
      <c r="M1587" s="27">
        <f>(J1587/D1587-1)</f>
        <v/>
      </c>
      <c r="N1587" t="n">
        <v>48.7</v>
      </c>
      <c r="O1587" s="28">
        <f>(N1587+F1587)/2</f>
        <v/>
      </c>
      <c r="P1587">
        <f>IF(O1587="計算不能","計算不能",IF(O1587&gt;=80,5,IF(O1587&gt;=60,4,IF(O1587&gt;=40,3,IF(O1587&gt;=28,2,1)))))</f>
        <v/>
      </c>
      <c r="Q1587" t="n">
        <v>2030</v>
      </c>
      <c r="R1587" t="n">
        <v>200</v>
      </c>
      <c r="S1587" s="27">
        <f>R1587/Q1587</f>
        <v/>
      </c>
      <c r="T1587" t="inlineStr">
        <is>
          <t>長洲町は2045年までに人口が約25.0%減と明確な減少トレンド。高齢化の進行と世帯数の縮小により、中長期では賃貸需要の構造的縮小に警戒が必要。</t>
        </is>
      </c>
      <c r="U1587" t="inlineStr">
        <is>
          <t>長洲町は人口密度748人/km²で、主要道路沿いや中心市街地に一定の賃貸需要が局在。立地選別が稼働を左右する。 借家の空室率は約10%と需給は比較的引き締まっている。</t>
        </is>
      </c>
      <c r="V1587" t="inlineStr">
        <is>
          <t>長洲町（熊本県）：白川・球磨川の氾濫（球磨川豪雨の被災記憶）、阿蘇の火山、熊本地震型の活断層に最大級の留意。</t>
        </is>
      </c>
    </row>
    <row r="1588">
      <c r="A1588" t="inlineStr">
        <is>
          <t>熊本県</t>
        </is>
      </c>
      <c r="B1588" t="inlineStr">
        <is>
          <t>和水町</t>
        </is>
      </c>
      <c r="C1588" t="n">
        <v>3768</v>
      </c>
      <c r="D1588" t="n">
        <v>8535</v>
      </c>
      <c r="E1588" s="6" t="n">
        <v>85.8</v>
      </c>
      <c r="F1588" s="7" t="n">
        <v>18.6</v>
      </c>
      <c r="G1588" t="n">
        <v>9342</v>
      </c>
      <c r="H1588" t="n">
        <v>8535</v>
      </c>
      <c r="I1588" t="n">
        <v>7770</v>
      </c>
      <c r="J1588" t="n">
        <v>5701</v>
      </c>
      <c r="K1588" s="27">
        <f>(H1588/D1588-1)</f>
        <v/>
      </c>
      <c r="L1588" s="27">
        <f>(I1588/D1588-1)</f>
        <v/>
      </c>
      <c r="M1588" s="27">
        <f>(J1588/D1588-1)</f>
        <v/>
      </c>
      <c r="N1588" t="n">
        <v>40.9</v>
      </c>
      <c r="O1588" s="28">
        <f>(N1588+F1588)/2</f>
        <v/>
      </c>
      <c r="P1588">
        <f>IF(O1588="計算不能","計算不能",IF(O1588&gt;=80,5,IF(O1588&gt;=60,4,IF(O1588&gt;=40,3,IF(O1588&gt;=28,2,1)))))</f>
        <v/>
      </c>
      <c r="Q1588" t="n">
        <v>1246</v>
      </c>
      <c r="R1588" t="n">
        <v>0</v>
      </c>
      <c r="S1588" s="27">
        <f>R1588/Q1588</f>
        <v/>
      </c>
      <c r="T1588" t="inlineStr">
        <is>
          <t>和水町は2045年までに人口が約33.2%減と急激な過疎・超高齢化が進行。若年労働世代の流出と自然減が重なり、賃貸事業としての持続性は極めて限定的。</t>
        </is>
      </c>
      <c r="U1588" t="inlineStr">
        <is>
          <t>和水町は人口密度86人/km²と過疎的水準で、民間賃貸の新規需要は薄い。実需に裏付けられた格安戸建ての指値取得のみが現実的。 借家の空室率は約0%と需給は比較的引き締まっている。</t>
        </is>
      </c>
      <c r="V1588" t="inlineStr">
        <is>
          <t>和水町（熊本県）：白川・球磨川の氾濫（球磨川豪雨の被災記憶）、阿蘇の火山、熊本地震型の活断層に最大級の留意。</t>
        </is>
      </c>
    </row>
    <row r="1589">
      <c r="A1589" t="inlineStr">
        <is>
          <t>熊本県</t>
        </is>
      </c>
      <c r="B1589" t="inlineStr">
        <is>
          <t>大津町</t>
        </is>
      </c>
      <c r="C1589" t="n">
        <v>14910</v>
      </c>
      <c r="D1589" t="n">
        <v>36213</v>
      </c>
      <c r="E1589" s="6" t="n">
        <v>372.8</v>
      </c>
      <c r="F1589" s="7" t="n">
        <v>38.6</v>
      </c>
      <c r="G1589" t="n">
        <v>35187</v>
      </c>
      <c r="H1589" t="n">
        <v>36213</v>
      </c>
      <c r="I1589" t="n">
        <v>36841</v>
      </c>
      <c r="J1589" t="n">
        <v>37126</v>
      </c>
      <c r="K1589" s="27">
        <f>(H1589/D1589-1)</f>
        <v/>
      </c>
      <c r="L1589" s="27">
        <f>(I1589/D1589-1)</f>
        <v/>
      </c>
      <c r="M1589" s="27">
        <f>(J1589/D1589-1)</f>
        <v/>
      </c>
      <c r="N1589" t="n">
        <v>83.40000000000001</v>
      </c>
      <c r="O1589" s="28">
        <f>(N1589+F1589)/2</f>
        <v/>
      </c>
      <c r="P1589">
        <f>IF(O1589="計算不能","計算不能",IF(O1589&gt;=80,5,IF(O1589&gt;=60,4,IF(O1589&gt;=40,3,IF(O1589&gt;=28,2,1)))))</f>
        <v/>
      </c>
      <c r="Q1589" t="n">
        <v>4931</v>
      </c>
      <c r="R1589" t="n">
        <v>840</v>
      </c>
      <c r="S1589" s="27">
        <f>R1589/Q1589</f>
        <v/>
      </c>
      <c r="T1589" t="inlineStr">
        <is>
          <t>大津町は2045年までの人口減少率が約2.5%と全国平均より緩やかで、概ね横ばいの安定推移。生産年齢人口の維持により、賃貸需要の急減リスクは相対的に低い。</t>
        </is>
      </c>
      <c r="U1589" t="inlineStr">
        <is>
          <t>大津町は人口密度373人/km²と低密度で、賃貸需要は限定的。持ち家比率が高く、駐車場完備の戸建て賃貸が有利。 借家の空室率は約17%と需給は比較的引き締まっている。</t>
        </is>
      </c>
      <c r="V1589" t="inlineStr">
        <is>
          <t>大津町（熊本県）：白川・球磨川の氾濫（球磨川豪雨の被災記憶）、阿蘇の火山、熊本地震型の活断層に最大級の留意。</t>
        </is>
      </c>
    </row>
    <row r="1590">
      <c r="A1590" t="inlineStr">
        <is>
          <t>熊本県</t>
        </is>
      </c>
      <c r="B1590" t="inlineStr">
        <is>
          <t>菊陽町</t>
        </is>
      </c>
      <c r="C1590" t="n">
        <v>19050</v>
      </c>
      <c r="D1590" t="n">
        <v>45200</v>
      </c>
      <c r="E1590" s="6" t="n">
        <v>1189.2</v>
      </c>
      <c r="F1590" s="7" t="n">
        <v>58.8</v>
      </c>
      <c r="G1590" t="n">
        <v>43337</v>
      </c>
      <c r="H1590" t="n">
        <v>45200</v>
      </c>
      <c r="I1590" t="n">
        <v>46307</v>
      </c>
      <c r="J1590" t="n">
        <v>46936</v>
      </c>
      <c r="K1590" s="27">
        <f>(H1590/D1590-1)</f>
        <v/>
      </c>
      <c r="L1590" s="27">
        <f>(I1590/D1590-1)</f>
        <v/>
      </c>
      <c r="M1590" s="27">
        <f>(J1590/D1590-1)</f>
        <v/>
      </c>
      <c r="N1590" t="n">
        <v>87.40000000000001</v>
      </c>
      <c r="O1590" s="28">
        <f>(N1590+F1590)/2</f>
        <v/>
      </c>
      <c r="P1590">
        <f>IF(O1590="計算不能","計算不能",IF(O1590&gt;=80,5,IF(O1590&gt;=60,4,IF(O1590&gt;=40,3,IF(O1590&gt;=28,2,1)))))</f>
        <v/>
      </c>
      <c r="Q1590" t="n">
        <v>6301</v>
      </c>
      <c r="R1590" t="n">
        <v>1080</v>
      </c>
      <c r="S1590" s="27">
        <f>R1590/Q1590</f>
        <v/>
      </c>
      <c r="T1590" t="inlineStr">
        <is>
          <t>菊陽町は2025年から2045年にかけて人口が約3.8%増と全国的にも希少な人口増トレンド。都市機能の集積と職住近接需要を背景に、単身・若年ファミリー層の流入が継続し、賃貸母数の拡大が見込める。</t>
        </is>
      </c>
      <c r="U1590" t="inlineStr">
        <is>
          <t>菊陽町は人口密度1,189人/km²で、主要道路沿いや中心市街地に一定の賃貸需要が局在。立地選別が稼働を左右する。 借家の空室率は約17%と需給は比較的引き締まっている。</t>
        </is>
      </c>
      <c r="V1590" t="inlineStr">
        <is>
          <t>菊陽町（熊本県）：白川・球磨川の氾濫（球磨川豪雨の被災記憶）、阿蘇の火山、熊本地震型の活断層に最大級の留意。</t>
        </is>
      </c>
    </row>
    <row r="1591">
      <c r="A1591" t="inlineStr">
        <is>
          <t>熊本県</t>
        </is>
      </c>
      <c r="B1591" t="inlineStr">
        <is>
          <t>南小国町</t>
        </is>
      </c>
      <c r="C1591" t="n">
        <v>1880</v>
      </c>
      <c r="D1591" t="n">
        <v>3503</v>
      </c>
      <c r="E1591" s="6" t="n">
        <v>29.7</v>
      </c>
      <c r="F1591" s="7" t="n">
        <v>13</v>
      </c>
      <c r="G1591" t="n">
        <v>3750</v>
      </c>
      <c r="H1591" t="n">
        <v>3503</v>
      </c>
      <c r="I1591" t="n">
        <v>3275</v>
      </c>
      <c r="J1591" t="n">
        <v>2662</v>
      </c>
      <c r="K1591" s="27">
        <f>(H1591/D1591-1)</f>
        <v/>
      </c>
      <c r="L1591" s="27">
        <f>(I1591/D1591-1)</f>
        <v/>
      </c>
      <c r="M1591" s="27">
        <f>(J1591/D1591-1)</f>
        <v/>
      </c>
      <c r="N1591" t="n">
        <v>46.4</v>
      </c>
      <c r="O1591" s="28">
        <f>(N1591+F1591)/2</f>
        <v/>
      </c>
      <c r="P1591">
        <f>IF(O1591="計算不能","計算不能",IF(O1591&gt;=80,5,IF(O1591&gt;=60,4,IF(O1591&gt;=40,3,IF(O1591&gt;=28,2,1)))))</f>
        <v/>
      </c>
      <c r="Q1591" t="n">
        <v>621</v>
      </c>
      <c r="R1591" t="n">
        <v>0</v>
      </c>
      <c r="S1591" s="27">
        <f>R1591/Q1591</f>
        <v/>
      </c>
      <c r="T1591" t="inlineStr">
        <is>
          <t>南小国町は2045年までに人口が約24.0%減と明確な減少トレンド。高齢化の進行と世帯数の縮小により、中長期では賃貸需要の構造的縮小に警戒が必要。</t>
        </is>
      </c>
      <c r="U1591" t="inlineStr">
        <is>
          <t>南小国町は人口密度30人/km²と過疎的水準で、民間賃貸の新規需要は薄い。実需に裏付けられた格安戸建ての指値取得のみが現実的。 借家の空室率は約0%と需給は比較的引き締まっている。</t>
        </is>
      </c>
      <c r="V1591" t="inlineStr">
        <is>
          <t>南小国町（熊本県）：白川・球磨川の氾濫（球磨川豪雨の被災記憶）、阿蘇の火山、熊本地震型の活断層に最大級の留意。</t>
        </is>
      </c>
    </row>
    <row r="1592">
      <c r="A1592" t="inlineStr">
        <is>
          <t>熊本県</t>
        </is>
      </c>
      <c r="B1592" t="inlineStr">
        <is>
          <t>小国町</t>
        </is>
      </c>
      <c r="C1592" t="n">
        <v>2999</v>
      </c>
      <c r="D1592" t="n">
        <v>6007</v>
      </c>
      <c r="E1592" s="6" t="n">
        <v>42.9</v>
      </c>
      <c r="F1592" s="7" t="n">
        <v>14.3</v>
      </c>
      <c r="G1592" t="n">
        <v>6590</v>
      </c>
      <c r="H1592" t="n">
        <v>6007</v>
      </c>
      <c r="I1592" t="n">
        <v>5486</v>
      </c>
      <c r="J1592" t="n">
        <v>4009</v>
      </c>
      <c r="K1592" s="27">
        <f>(H1592/D1592-1)</f>
        <v/>
      </c>
      <c r="L1592" s="27">
        <f>(I1592/D1592-1)</f>
        <v/>
      </c>
      <c r="M1592" s="27">
        <f>(J1592/D1592-1)</f>
        <v/>
      </c>
      <c r="N1592" t="n">
        <v>40.8</v>
      </c>
      <c r="O1592" s="28">
        <f>(N1592+F1592)/2</f>
        <v/>
      </c>
      <c r="P1592">
        <f>IF(O1592="計算不能","計算不能",IF(O1592&gt;=80,5,IF(O1592&gt;=60,4,IF(O1592&gt;=40,3,IF(O1592&gt;=28,2,1)))))</f>
        <v/>
      </c>
      <c r="Q1592" t="n">
        <v>991</v>
      </c>
      <c r="R1592" t="n">
        <v>0</v>
      </c>
      <c r="S1592" s="27">
        <f>R1592/Q1592</f>
        <v/>
      </c>
      <c r="T1592" t="inlineStr">
        <is>
          <t>小国町は2045年までに人口が約33.3%減と急激な過疎・超高齢化が進行。若年労働世代の流出と自然減が重なり、賃貸事業としての持続性は極めて限定的。</t>
        </is>
      </c>
      <c r="U1592" t="inlineStr">
        <is>
          <t>小国町は人口密度43人/km²と過疎的水準で、民間賃貸の新規需要は薄い。実需に裏付けられた格安戸建ての指値取得のみが現実的。 借家の空室率は約0%と需給は比較的引き締まっている。</t>
        </is>
      </c>
      <c r="V1592" t="inlineStr">
        <is>
          <t>小国町（熊本県）：白川・球磨川の氾濫（球磨川豪雨の被災記憶）、阿蘇の火山、熊本地震型の活断層に最大級の留意。</t>
        </is>
      </c>
    </row>
    <row r="1593">
      <c r="A1593" t="inlineStr">
        <is>
          <t>熊本県</t>
        </is>
      </c>
      <c r="B1593" t="inlineStr">
        <is>
          <t>産山村</t>
        </is>
      </c>
      <c r="C1593" t="n">
        <v>659</v>
      </c>
      <c r="D1593" t="n">
        <v>1237</v>
      </c>
      <c r="E1593" s="6" t="n">
        <v>19.7</v>
      </c>
      <c r="F1593" s="7" t="n">
        <v>12</v>
      </c>
      <c r="G1593" t="n">
        <v>1382</v>
      </c>
      <c r="H1593" t="n">
        <v>1237</v>
      </c>
      <c r="I1593" t="n">
        <v>1115</v>
      </c>
      <c r="J1593" t="n">
        <v>832</v>
      </c>
      <c r="K1593" s="27">
        <f>(H1593/D1593-1)</f>
        <v/>
      </c>
      <c r="L1593" s="27">
        <f>(I1593/D1593-1)</f>
        <v/>
      </c>
      <c r="M1593" s="27">
        <f>(J1593/D1593-1)</f>
        <v/>
      </c>
      <c r="N1593" t="n">
        <v>39.1</v>
      </c>
      <c r="O1593" s="28">
        <f>(N1593+F1593)/2</f>
        <v/>
      </c>
      <c r="P1593">
        <f>IF(O1593="計算不能","計算不能",IF(O1593&gt;=80,5,IF(O1593&gt;=60,4,IF(O1593&gt;=40,3,IF(O1593&gt;=28,2,1)))))</f>
        <v/>
      </c>
      <c r="Q1593" t="n">
        <v>217</v>
      </c>
      <c r="R1593" t="n">
        <v>0</v>
      </c>
      <c r="S1593" s="27">
        <f>R1593/Q1593</f>
        <v/>
      </c>
      <c r="T1593" t="inlineStr">
        <is>
          <t>産山村は2045年までに人口が約32.7%減と急激な過疎・超高齢化が進行。若年労働世代の流出と自然減が重なり、賃貸事業としての持続性は極めて限定的。</t>
        </is>
      </c>
      <c r="U1593" t="inlineStr">
        <is>
          <t>産山村は人口密度20人/km²と過疎的水準で、民間賃貸の新規需要は薄い。実需に裏付けられた格安戸建ての指値取得のみが現実的。 借家の空室率は約0%と需給は比較的引き締まっている。</t>
        </is>
      </c>
      <c r="V1593" t="inlineStr">
        <is>
          <t>産山村（熊本県）：白川・球磨川の氾濫（球磨川豪雨の被災記憶）、阿蘇の火山、熊本地震型の活断層に最大級の留意。</t>
        </is>
      </c>
    </row>
    <row r="1594">
      <c r="A1594" t="inlineStr">
        <is>
          <t>熊本県</t>
        </is>
      </c>
      <c r="B1594" t="inlineStr">
        <is>
          <t>高森町</t>
        </is>
      </c>
      <c r="C1594" t="n">
        <v>2934</v>
      </c>
      <c r="D1594" t="n">
        <v>5333</v>
      </c>
      <c r="E1594" s="6" t="n">
        <v>30.7</v>
      </c>
      <c r="F1594" s="7" t="n">
        <v>13.1</v>
      </c>
      <c r="G1594" t="n">
        <v>5789</v>
      </c>
      <c r="H1594" t="n">
        <v>5333</v>
      </c>
      <c r="I1594" t="n">
        <v>4860</v>
      </c>
      <c r="J1594" t="n">
        <v>3555</v>
      </c>
      <c r="K1594" s="27">
        <f>(H1594/D1594-1)</f>
        <v/>
      </c>
      <c r="L1594" s="27">
        <f>(I1594/D1594-1)</f>
        <v/>
      </c>
      <c r="M1594" s="27">
        <f>(J1594/D1594-1)</f>
        <v/>
      </c>
      <c r="N1594" t="n">
        <v>41.6</v>
      </c>
      <c r="O1594" s="28">
        <f>(N1594+F1594)/2</f>
        <v/>
      </c>
      <c r="P1594">
        <f>IF(O1594="計算不能","計算不能",IF(O1594&gt;=80,5,IF(O1594&gt;=60,4,IF(O1594&gt;=40,3,IF(O1594&gt;=28,2,1)))))</f>
        <v/>
      </c>
      <c r="Q1594" t="n">
        <v>970</v>
      </c>
      <c r="R1594" t="n">
        <v>0</v>
      </c>
      <c r="S1594" s="27">
        <f>R1594/Q1594</f>
        <v/>
      </c>
      <c r="T1594" t="inlineStr">
        <is>
          <t>高森町は2045年までに人口が約33.3%減と急激な過疎・超高齢化が進行。若年労働世代の流出と自然減が重なり、賃貸事業としての持続性は極めて限定的。</t>
        </is>
      </c>
      <c r="U1594" t="inlineStr">
        <is>
          <t>高森町は人口密度31人/km²と過疎的水準で、民間賃貸の新規需要は薄い。実需に裏付けられた格安戸建ての指値取得のみが現実的。 借家の空室率は約0%と需給は比較的引き締まっている。</t>
        </is>
      </c>
      <c r="V1594" t="inlineStr">
        <is>
          <t>高森町（熊本県）：白川・球磨川の氾濫（球磨川豪雨の被災記憶）、阿蘇の火山、熊本地震型の活断層に最大級の留意。</t>
        </is>
      </c>
    </row>
    <row r="1595">
      <c r="A1595" t="inlineStr">
        <is>
          <t>熊本県</t>
        </is>
      </c>
      <c r="B1595" t="inlineStr">
        <is>
          <t>西原村</t>
        </is>
      </c>
      <c r="C1595" t="n">
        <v>3064</v>
      </c>
      <c r="D1595" t="n">
        <v>6415</v>
      </c>
      <c r="E1595" s="6" t="n">
        <v>88.7</v>
      </c>
      <c r="F1595" s="7" t="n">
        <v>18.9</v>
      </c>
      <c r="G1595" t="n">
        <v>6426</v>
      </c>
      <c r="H1595" t="n">
        <v>6415</v>
      </c>
      <c r="I1595" t="n">
        <v>6367</v>
      </c>
      <c r="J1595" t="n">
        <v>6164</v>
      </c>
      <c r="K1595" s="27">
        <f>(H1595/D1595-1)</f>
        <v/>
      </c>
      <c r="L1595" s="27">
        <f>(I1595/D1595-1)</f>
        <v/>
      </c>
      <c r="M1595" s="27">
        <f>(J1595/D1595-1)</f>
        <v/>
      </c>
      <c r="N1595" t="n">
        <v>72.2</v>
      </c>
      <c r="O1595" s="28">
        <f>(N1595+F1595)/2</f>
        <v/>
      </c>
      <c r="P1595">
        <f>IF(O1595="計算不能","計算不能",IF(O1595&gt;=80,5,IF(O1595&gt;=60,4,IF(O1595&gt;=40,3,IF(O1595&gt;=28,2,1)))))</f>
        <v/>
      </c>
      <c r="Q1595" t="n">
        <v>1013</v>
      </c>
      <c r="R1595" t="n">
        <v>0</v>
      </c>
      <c r="S1595" s="27">
        <f>R1595/Q1595</f>
        <v/>
      </c>
      <c r="T1595" t="inlineStr">
        <is>
          <t>西原村は2045年までの人口減少率が約3.9%と全国平均より緩やかで、概ね横ばいの安定推移。生産年齢人口の維持により、賃貸需要の急減リスクは相対的に低い。</t>
        </is>
      </c>
      <c r="U1595" t="inlineStr">
        <is>
          <t>西原村は人口密度89人/km²と過疎的水準で、民間賃貸の新規需要は薄い。実需に裏付けられた格安戸建ての指値取得のみが現実的。 借家の空室率は約0%と需給は比較的引き締まっている。</t>
        </is>
      </c>
      <c r="V1595" t="inlineStr">
        <is>
          <t>西原村（熊本県）：白川・球磨川の氾濫（球磨川豪雨の被災記憶）、阿蘇の火山、熊本地震型の活断層に最大級の留意。</t>
        </is>
      </c>
    </row>
    <row r="1596">
      <c r="A1596" t="inlineStr">
        <is>
          <t>熊本県</t>
        </is>
      </c>
      <c r="B1596" t="inlineStr">
        <is>
          <t>南阿蘇村</t>
        </is>
      </c>
      <c r="C1596" t="n">
        <v>4828</v>
      </c>
      <c r="D1596" t="n">
        <v>9315</v>
      </c>
      <c r="E1596" s="6" t="n">
        <v>66.8</v>
      </c>
      <c r="F1596" s="7" t="n">
        <v>16.7</v>
      </c>
      <c r="G1596" t="n">
        <v>9836</v>
      </c>
      <c r="H1596" t="n">
        <v>9315</v>
      </c>
      <c r="I1596" t="n">
        <v>9040</v>
      </c>
      <c r="J1596" t="n">
        <v>7487</v>
      </c>
      <c r="K1596" s="27">
        <f>(H1596/D1596-1)</f>
        <v/>
      </c>
      <c r="L1596" s="27">
        <f>(I1596/D1596-1)</f>
        <v/>
      </c>
      <c r="M1596" s="27">
        <f>(J1596/D1596-1)</f>
        <v/>
      </c>
      <c r="N1596" t="n">
        <v>53.2</v>
      </c>
      <c r="O1596" s="28">
        <f>(N1596+F1596)/2</f>
        <v/>
      </c>
      <c r="P1596">
        <f>IF(O1596="計算不能","計算不能",IF(O1596&gt;=80,5,IF(O1596&gt;=60,4,IF(O1596&gt;=40,3,IF(O1596&gt;=28,2,1)))))</f>
        <v/>
      </c>
      <c r="Q1596" t="n">
        <v>1596</v>
      </c>
      <c r="R1596" t="n">
        <v>0</v>
      </c>
      <c r="S1596" s="27">
        <f>R1596/Q1596</f>
        <v/>
      </c>
      <c r="T1596" t="inlineStr">
        <is>
          <t>南阿蘇村は2045年までに人口が約19.6%減と明確な減少トレンド。高齢化の進行と世帯数の縮小により、中長期では賃貸需要の構造的縮小に警戒が必要。</t>
        </is>
      </c>
      <c r="U1596" t="inlineStr">
        <is>
          <t>南阿蘇村は人口密度67人/km²と過疎的水準で、民間賃貸の新規需要は薄い。実需に裏付けられた格安戸建ての指値取得のみが現実的。 借家の空室率は約0%と需給は比較的引き締まっている。</t>
        </is>
      </c>
      <c r="V1596" t="inlineStr">
        <is>
          <t>南阿蘇村（熊本県）：白川・球磨川の氾濫（球磨川豪雨の被災記憶）、阿蘇の火山、熊本地震型の活断層に最大級の留意。</t>
        </is>
      </c>
    </row>
    <row r="1597">
      <c r="A1597" t="inlineStr">
        <is>
          <t>熊本県</t>
        </is>
      </c>
      <c r="B1597" t="inlineStr">
        <is>
          <t>御船町</t>
        </is>
      </c>
      <c r="C1597" t="n">
        <v>6580</v>
      </c>
      <c r="D1597" t="n">
        <v>16424</v>
      </c>
      <c r="E1597" s="6" t="n">
        <v>167.4</v>
      </c>
      <c r="F1597" s="7" t="n">
        <v>26.7</v>
      </c>
      <c r="G1597" t="n">
        <v>16303</v>
      </c>
      <c r="H1597" t="n">
        <v>16424</v>
      </c>
      <c r="I1597" t="n">
        <v>15883</v>
      </c>
      <c r="J1597" t="n">
        <v>14104</v>
      </c>
      <c r="K1597" s="27">
        <f>(H1597/D1597-1)</f>
        <v/>
      </c>
      <c r="L1597" s="27">
        <f>(I1597/D1597-1)</f>
        <v/>
      </c>
      <c r="M1597" s="27">
        <f>(J1597/D1597-1)</f>
        <v/>
      </c>
      <c r="N1597" t="n">
        <v>67</v>
      </c>
      <c r="O1597" s="28">
        <f>(N1597+F1597)/2</f>
        <v/>
      </c>
      <c r="P1597">
        <f>IF(O1597="計算不能","計算不能",IF(O1597&gt;=80,5,IF(O1597&gt;=60,4,IF(O1597&gt;=40,3,IF(O1597&gt;=28,2,1)))))</f>
        <v/>
      </c>
      <c r="Q1597" t="n">
        <v>2176</v>
      </c>
      <c r="R1597" t="n">
        <v>140</v>
      </c>
      <c r="S1597" s="27">
        <f>R1597/Q1597</f>
        <v/>
      </c>
      <c r="T1597" t="inlineStr">
        <is>
          <t>御船町は2045年までに人口が約14.1%減と緩やかな減少局面。若年層の都市部流出と高齢化が進むが、当面の賃貸稼働は一定程度維持される見通し。</t>
        </is>
      </c>
      <c r="U1597" t="inlineStr">
        <is>
          <t>御船町は人口密度167人/km²と過疎的水準で、民間賃貸の新規需要は薄い。実需に裏付けられた格安戸建ての指値取得のみが現実的。 借家の空室率は約6%と需給は比較的引き締まっている。</t>
        </is>
      </c>
      <c r="V1597" t="inlineStr">
        <is>
          <t>御船町（熊本県）：白川・球磨川の氾濫（球磨川豪雨の被災記憶）、阿蘇の火山、熊本地震型の活断層に最大級の留意。</t>
        </is>
      </c>
    </row>
    <row r="1598">
      <c r="A1598" t="inlineStr">
        <is>
          <t>熊本県</t>
        </is>
      </c>
      <c r="B1598" t="inlineStr">
        <is>
          <t>嘉島町</t>
        </is>
      </c>
      <c r="C1598" t="n">
        <v>4169</v>
      </c>
      <c r="D1598" t="n">
        <v>9636</v>
      </c>
      <c r="E1598" s="6" t="n">
        <v>606.8</v>
      </c>
      <c r="F1598" s="7" t="n">
        <v>47.1</v>
      </c>
      <c r="G1598" t="n">
        <v>9547</v>
      </c>
      <c r="H1598" t="n">
        <v>9636</v>
      </c>
      <c r="I1598" t="n">
        <v>9668</v>
      </c>
      <c r="J1598" t="n">
        <v>9650</v>
      </c>
      <c r="K1598" s="27">
        <f>(H1598/D1598-1)</f>
        <v/>
      </c>
      <c r="L1598" s="27">
        <f>(I1598/D1598-1)</f>
        <v/>
      </c>
      <c r="M1598" s="27">
        <f>(J1598/D1598-1)</f>
        <v/>
      </c>
      <c r="N1598" t="n">
        <v>77.2</v>
      </c>
      <c r="O1598" s="28">
        <f>(N1598+F1598)/2</f>
        <v/>
      </c>
      <c r="P1598">
        <f>IF(O1598="計算不能","計算不能",IF(O1598&gt;=80,5,IF(O1598&gt;=60,4,IF(O1598&gt;=40,3,IF(O1598&gt;=28,2,1)))))</f>
        <v/>
      </c>
      <c r="Q1598" t="n">
        <v>1379</v>
      </c>
      <c r="R1598" t="n">
        <v>0</v>
      </c>
      <c r="S1598" s="27">
        <f>R1598/Q1598</f>
        <v/>
      </c>
      <c r="T1598" t="inlineStr">
        <is>
          <t>嘉島町は2045年までの人口減少率が約0.1%と全国平均より緩やかで、概ね横ばいの安定推移。生産年齢人口の維持により、賃貸需要の急減リスクは相対的に低い。</t>
        </is>
      </c>
      <c r="U1598" t="inlineStr">
        <is>
          <t>嘉島町は人口密度607人/km²で、主要道路沿いや中心市街地に一定の賃貸需要が局在。立地選別が稼働を左右する。 借家の空室率は約0%と需給は比較的引き締まっている。</t>
        </is>
      </c>
      <c r="V1598" t="inlineStr">
        <is>
          <t>嘉島町（熊本県）：白川・球磨川の氾濫（球磨川豪雨の被災記憶）、阿蘇の火山、熊本地震型の活断層に最大級の留意。</t>
        </is>
      </c>
    </row>
    <row r="1599">
      <c r="A1599" t="inlineStr">
        <is>
          <t>熊本県</t>
        </is>
      </c>
      <c r="B1599" t="inlineStr">
        <is>
          <t>益城町</t>
        </is>
      </c>
      <c r="C1599" t="n">
        <v>12160</v>
      </c>
      <c r="D1599" t="n">
        <v>32802</v>
      </c>
      <c r="E1599" s="6" t="n">
        <v>510.7</v>
      </c>
      <c r="F1599" s="7" t="n">
        <v>45.2</v>
      </c>
      <c r="G1599" t="n">
        <v>32510</v>
      </c>
      <c r="H1599" t="n">
        <v>32802</v>
      </c>
      <c r="I1599" t="n">
        <v>32571</v>
      </c>
      <c r="J1599" t="n">
        <v>31253</v>
      </c>
      <c r="K1599" s="27">
        <f>(H1599/D1599-1)</f>
        <v/>
      </c>
      <c r="L1599" s="27">
        <f>(I1599/D1599-1)</f>
        <v/>
      </c>
      <c r="M1599" s="27">
        <f>(J1599/D1599-1)</f>
        <v/>
      </c>
      <c r="N1599" t="n">
        <v>73.90000000000001</v>
      </c>
      <c r="O1599" s="28">
        <f>(N1599+F1599)/2</f>
        <v/>
      </c>
      <c r="P1599">
        <f>IF(O1599="計算不能","計算不能",IF(O1599&gt;=80,5,IF(O1599&gt;=60,4,IF(O1599&gt;=40,3,IF(O1599&gt;=28,2,1)))))</f>
        <v/>
      </c>
      <c r="Q1599" t="n">
        <v>4022</v>
      </c>
      <c r="R1599" t="n">
        <v>270</v>
      </c>
      <c r="S1599" s="27">
        <f>R1599/Q1599</f>
        <v/>
      </c>
      <c r="T1599" t="inlineStr">
        <is>
          <t>益城町は2045年までの人口減少率が約4.7%と全国平均より緩やかで、概ね横ばいの安定推移。生産年齢人口の維持により、賃貸需要の急減リスクは相対的に低い。</t>
        </is>
      </c>
      <c r="U1599" t="inlineStr">
        <is>
          <t>益城町は人口密度511人/km²で、主要道路沿いや中心市街地に一定の賃貸需要が局在。立地選別が稼働を左右する。 借家の空室率は約7%と需給は比較的引き締まっている。</t>
        </is>
      </c>
      <c r="V1599" t="inlineStr">
        <is>
          <t>益城町（熊本県）：白川・球磨川の氾濫（球磨川豪雨の被災記憶）、阿蘇の火山、熊本地震型の活断層に最大級の留意。</t>
        </is>
      </c>
    </row>
    <row r="1600">
      <c r="A1600" t="inlineStr">
        <is>
          <t>熊本県</t>
        </is>
      </c>
      <c r="B1600" t="inlineStr">
        <is>
          <t>甲佐町</t>
        </is>
      </c>
      <c r="C1600" t="n">
        <v>4436</v>
      </c>
      <c r="D1600" t="n">
        <v>9612</v>
      </c>
      <c r="E1600" s="6" t="n">
        <v>163.1</v>
      </c>
      <c r="F1600" s="7" t="n">
        <v>26.3</v>
      </c>
      <c r="G1600" t="n">
        <v>10132</v>
      </c>
      <c r="H1600" t="n">
        <v>9612</v>
      </c>
      <c r="I1600" t="n">
        <v>9016</v>
      </c>
      <c r="J1600" t="n">
        <v>7421</v>
      </c>
      <c r="K1600" s="27">
        <f>(H1600/D1600-1)</f>
        <v/>
      </c>
      <c r="L1600" s="27">
        <f>(I1600/D1600-1)</f>
        <v/>
      </c>
      <c r="M1600" s="27">
        <f>(J1600/D1600-1)</f>
        <v/>
      </c>
      <c r="N1600" t="n">
        <v>49.8</v>
      </c>
      <c r="O1600" s="28">
        <f>(N1600+F1600)/2</f>
        <v/>
      </c>
      <c r="P1600">
        <f>IF(O1600="計算不能","計算不能",IF(O1600&gt;=80,5,IF(O1600&gt;=60,4,IF(O1600&gt;=40,3,IF(O1600&gt;=28,2,1)))))</f>
        <v/>
      </c>
      <c r="Q1600" t="n">
        <v>1467</v>
      </c>
      <c r="R1600" t="n">
        <v>0</v>
      </c>
      <c r="S1600" s="27">
        <f>R1600/Q1600</f>
        <v/>
      </c>
      <c r="T1600" t="inlineStr">
        <is>
          <t>甲佐町は2045年までに人口が約22.8%減と明確な減少トレンド。高齢化の進行と世帯数の縮小により、中長期では賃貸需要の構造的縮小に警戒が必要。</t>
        </is>
      </c>
      <c r="U1600" t="inlineStr">
        <is>
          <t>甲佐町は人口密度163人/km²と過疎的水準で、民間賃貸の新規需要は薄い。実需に裏付けられた格安戸建ての指値取得のみが現実的。 借家の空室率は約0%と需給は比較的引き締まっている。</t>
        </is>
      </c>
      <c r="V1600" t="inlineStr">
        <is>
          <t>甲佐町（熊本県）：白川・球磨川の氾濫（球磨川豪雨の被災記憶）、阿蘇の火山、熊本地震型の活断層に最大級の留意。</t>
        </is>
      </c>
    </row>
    <row r="1601">
      <c r="A1601" t="inlineStr">
        <is>
          <t>熊本県</t>
        </is>
      </c>
      <c r="B1601" t="inlineStr">
        <is>
          <t>山都町</t>
        </is>
      </c>
      <c r="C1601" t="n">
        <v>6247</v>
      </c>
      <c r="D1601" t="n">
        <v>11830</v>
      </c>
      <c r="E1601" s="6" t="n">
        <v>21.4</v>
      </c>
      <c r="F1601" s="7" t="n">
        <v>12.1</v>
      </c>
      <c r="G1601" t="n">
        <v>13503</v>
      </c>
      <c r="H1601" t="n">
        <v>11830</v>
      </c>
      <c r="I1601" t="n">
        <v>10312</v>
      </c>
      <c r="J1601" t="n">
        <v>6522</v>
      </c>
      <c r="K1601" s="27">
        <f>(H1601/D1601-1)</f>
        <v/>
      </c>
      <c r="L1601" s="27">
        <f>(I1601/D1601-1)</f>
        <v/>
      </c>
      <c r="M1601" s="27">
        <f>(J1601/D1601-1)</f>
        <v/>
      </c>
      <c r="N1601" t="n">
        <v>33.8</v>
      </c>
      <c r="O1601" s="28">
        <f>(N1601+F1601)/2</f>
        <v/>
      </c>
      <c r="P1601">
        <f>IF(O1601="計算不能","計算不能",IF(O1601&gt;=80,5,IF(O1601&gt;=60,4,IF(O1601&gt;=40,3,IF(O1601&gt;=28,2,1)))))</f>
        <v/>
      </c>
      <c r="Q1601" t="n">
        <v>2066</v>
      </c>
      <c r="R1601" t="n">
        <v>0</v>
      </c>
      <c r="S1601" s="27">
        <f>R1601/Q1601</f>
        <v/>
      </c>
      <c r="T1601" t="inlineStr">
        <is>
          <t>山都町は2045年までに人口が約44.9%減と急激な過疎・超高齢化が進行。若年労働世代の流出と自然減が重なり、賃貸事業としての持続性は極めて限定的。</t>
        </is>
      </c>
      <c r="U1601" t="inlineStr">
        <is>
          <t>山都町は人口密度21人/km²と過疎的水準で、民間賃貸の新規需要は薄い。実需に裏付けられた格安戸建ての指値取得のみが現実的。 借家の空室率は約0%と需給は比較的引き締まっている。</t>
        </is>
      </c>
      <c r="V1601" t="inlineStr">
        <is>
          <t>山都町（熊本県）：白川・球磨川の氾濫（球磨川豪雨の被災記憶）、阿蘇の火山、熊本地震型の活断層に最大級の留意。</t>
        </is>
      </c>
    </row>
    <row r="1602">
      <c r="A1602" t="inlineStr">
        <is>
          <t>熊本県</t>
        </is>
      </c>
      <c r="B1602" t="inlineStr">
        <is>
          <t>氷川町</t>
        </is>
      </c>
      <c r="C1602" t="n">
        <v>4583</v>
      </c>
      <c r="D1602" t="n">
        <v>10244</v>
      </c>
      <c r="E1602" s="6" t="n">
        <v>299.7</v>
      </c>
      <c r="F1602" s="7" t="n">
        <v>35</v>
      </c>
      <c r="G1602" t="n">
        <v>11094</v>
      </c>
      <c r="H1602" t="n">
        <v>10244</v>
      </c>
      <c r="I1602" t="n">
        <v>9569</v>
      </c>
      <c r="J1602" t="n">
        <v>7291</v>
      </c>
      <c r="K1602" s="27">
        <f>(H1602/D1602-1)</f>
        <v/>
      </c>
      <c r="L1602" s="27">
        <f>(I1602/D1602-1)</f>
        <v/>
      </c>
      <c r="M1602" s="27">
        <f>(J1602/D1602-1)</f>
        <v/>
      </c>
      <c r="N1602" t="n">
        <v>43.6</v>
      </c>
      <c r="O1602" s="28">
        <f>(N1602+F1602)/2</f>
        <v/>
      </c>
      <c r="P1602">
        <f>IF(O1602="計算不能","計算不能",IF(O1602&gt;=80,5,IF(O1602&gt;=60,4,IF(O1602&gt;=40,3,IF(O1602&gt;=28,2,1)))))</f>
        <v/>
      </c>
      <c r="Q1602" t="n">
        <v>1515</v>
      </c>
      <c r="R1602" t="n">
        <v>0</v>
      </c>
      <c r="S1602" s="27">
        <f>R1602/Q1602</f>
        <v/>
      </c>
      <c r="T1602" t="inlineStr">
        <is>
          <t>氷川町は2045年までに人口が約28.8%減と明確な減少トレンド。高齢化の進行と世帯数の縮小により、中長期では賃貸需要の構造的縮小に警戒が必要。</t>
        </is>
      </c>
      <c r="U1602" t="inlineStr">
        <is>
          <t>氷川町は人口密度300人/km²と低密度で、賃貸需要は限定的。持ち家比率が高く、駐車場完備の戸建て賃貸が有利。 借家の空室率は約0%と需給は比較的引き締まっている。</t>
        </is>
      </c>
      <c r="V1602" t="inlineStr">
        <is>
          <t>氷川町（熊本県）：白川・球磨川の氾濫（球磨川豪雨の被災記憶）、阿蘇の火山、熊本地震型の活断層に最大級の留意。</t>
        </is>
      </c>
    </row>
    <row r="1603">
      <c r="A1603" t="inlineStr">
        <is>
          <t>熊本県</t>
        </is>
      </c>
      <c r="B1603" t="inlineStr">
        <is>
          <t>芦北町</t>
        </is>
      </c>
      <c r="C1603" t="n">
        <v>5730</v>
      </c>
      <c r="D1603" t="n">
        <v>13551</v>
      </c>
      <c r="E1603" s="6" t="n">
        <v>59.3</v>
      </c>
      <c r="F1603" s="7" t="n">
        <v>15.9</v>
      </c>
      <c r="G1603" t="n">
        <v>15681</v>
      </c>
      <c r="H1603" t="n">
        <v>13551</v>
      </c>
      <c r="I1603" t="n">
        <v>11994</v>
      </c>
      <c r="J1603" t="n">
        <v>8012</v>
      </c>
      <c r="K1603" s="27">
        <f>(H1603/D1603-1)</f>
        <v/>
      </c>
      <c r="L1603" s="27">
        <f>(I1603/D1603-1)</f>
        <v/>
      </c>
      <c r="M1603" s="27">
        <f>(J1603/D1603-1)</f>
        <v/>
      </c>
      <c r="N1603" t="n">
        <v>34.1</v>
      </c>
      <c r="O1603" s="28">
        <f>(N1603+F1603)/2</f>
        <v/>
      </c>
      <c r="P1603">
        <f>IF(O1603="計算不能","計算不能",IF(O1603&gt;=80,5,IF(O1603&gt;=60,4,IF(O1603&gt;=40,3,IF(O1603&gt;=28,2,1)))))</f>
        <v/>
      </c>
      <c r="Q1603" t="n">
        <v>1895</v>
      </c>
      <c r="R1603" t="n">
        <v>200</v>
      </c>
      <c r="S1603" s="27">
        <f>R1603/Q1603</f>
        <v/>
      </c>
      <c r="T1603" t="inlineStr">
        <is>
          <t>芦北町は2045年までに人口が約40.9%減と急激な過疎・超高齢化が進行。若年労働世代の流出と自然減が重なり、賃貸事業としての持続性は極めて限定的。</t>
        </is>
      </c>
      <c r="U1603" t="inlineStr">
        <is>
          <t>芦北町は人口密度59人/km²と過疎的水準で、民間賃貸の新規需要は薄い。実需に裏付けられた格安戸建ての指値取得のみが現実的。 借家の空室率は約11%と需給は比較的引き締まっている。</t>
        </is>
      </c>
      <c r="V1603" t="inlineStr">
        <is>
          <t>芦北町（熊本県）：白川・球磨川の氾濫（球磨川豪雨の被災記憶）、阿蘇の火山、熊本地震型の活断層に最大級の留意。</t>
        </is>
      </c>
    </row>
    <row r="1604">
      <c r="A1604" t="inlineStr">
        <is>
          <t>熊本県</t>
        </is>
      </c>
      <c r="B1604" t="inlineStr">
        <is>
          <t>津奈木町</t>
        </is>
      </c>
      <c r="C1604" t="n">
        <v>1839</v>
      </c>
      <c r="D1604" t="n">
        <v>3879</v>
      </c>
      <c r="E1604" s="6" t="n">
        <v>112.3</v>
      </c>
      <c r="F1604" s="7" t="n">
        <v>21.2</v>
      </c>
      <c r="G1604" t="n">
        <v>4254</v>
      </c>
      <c r="H1604" t="n">
        <v>3879</v>
      </c>
      <c r="I1604" t="n">
        <v>3498</v>
      </c>
      <c r="J1604" t="n">
        <v>2487</v>
      </c>
      <c r="K1604" s="27">
        <f>(H1604/D1604-1)</f>
        <v/>
      </c>
      <c r="L1604" s="27">
        <f>(I1604/D1604-1)</f>
        <v/>
      </c>
      <c r="M1604" s="27">
        <f>(J1604/D1604-1)</f>
        <v/>
      </c>
      <c r="N1604" t="n">
        <v>39.9</v>
      </c>
      <c r="O1604" s="28">
        <f>(N1604+F1604)/2</f>
        <v/>
      </c>
      <c r="P1604">
        <f>IF(O1604="計算不能","計算不能",IF(O1604&gt;=80,5,IF(O1604&gt;=60,4,IF(O1604&gt;=40,3,IF(O1604&gt;=28,2,1)))))</f>
        <v/>
      </c>
      <c r="Q1604" t="n">
        <v>608</v>
      </c>
      <c r="R1604" t="n">
        <v>0</v>
      </c>
      <c r="S1604" s="27">
        <f>R1604/Q1604</f>
        <v/>
      </c>
      <c r="T1604" t="inlineStr">
        <is>
          <t>津奈木町は2045年までに人口が約35.9%減と急激な過疎・超高齢化が進行。若年労働世代の流出と自然減が重なり、賃貸事業としての持続性は極めて限定的。</t>
        </is>
      </c>
      <c r="U1604" t="inlineStr">
        <is>
          <t>津奈木町は人口密度112人/km²と過疎的水準で、民間賃貸の新規需要は薄い。実需に裏付けられた格安戸建ての指値取得のみが現実的。 借家の空室率は約0%と需給は比較的引き締まっている。</t>
        </is>
      </c>
      <c r="V1604" t="inlineStr">
        <is>
          <t>津奈木町（熊本県）：白川・球磨川の氾濫（球磨川豪雨の被災記憶）、阿蘇の火山、熊本地震型の活断層に最大級の留意。</t>
        </is>
      </c>
    </row>
    <row r="1605">
      <c r="A1605" t="inlineStr">
        <is>
          <t>熊本県</t>
        </is>
      </c>
      <c r="B1605" t="inlineStr">
        <is>
          <t>錦町</t>
        </is>
      </c>
      <c r="C1605" t="n">
        <v>3993</v>
      </c>
      <c r="D1605" t="n">
        <v>9744</v>
      </c>
      <c r="E1605" s="6" t="n">
        <v>113.1</v>
      </c>
      <c r="F1605" s="7" t="n">
        <v>21.3</v>
      </c>
      <c r="G1605" t="n">
        <v>10288</v>
      </c>
      <c r="H1605" t="n">
        <v>9744</v>
      </c>
      <c r="I1605" t="n">
        <v>9202</v>
      </c>
      <c r="J1605" t="n">
        <v>7489</v>
      </c>
      <c r="K1605" s="27">
        <f>(H1605/D1605-1)</f>
        <v/>
      </c>
      <c r="L1605" s="27">
        <f>(I1605/D1605-1)</f>
        <v/>
      </c>
      <c r="M1605" s="27">
        <f>(J1605/D1605-1)</f>
        <v/>
      </c>
      <c r="N1605" t="n">
        <v>49.8</v>
      </c>
      <c r="O1605" s="28">
        <f>(N1605+F1605)/2</f>
        <v/>
      </c>
      <c r="P1605">
        <f>IF(O1605="計算不能","計算不能",IF(O1605&gt;=80,5,IF(O1605&gt;=60,4,IF(O1605&gt;=40,3,IF(O1605&gt;=28,2,1)))))</f>
        <v/>
      </c>
      <c r="Q1605" t="n">
        <v>1320</v>
      </c>
      <c r="R1605" t="n">
        <v>0</v>
      </c>
      <c r="S1605" s="27">
        <f>R1605/Q1605</f>
        <v/>
      </c>
      <c r="T1605" t="inlineStr">
        <is>
          <t>錦町は2045年までに人口が約23.1%減と明確な減少トレンド。高齢化の進行と世帯数の縮小により、中長期では賃貸需要の構造的縮小に警戒が必要。</t>
        </is>
      </c>
      <c r="U1605" t="inlineStr">
        <is>
          <t>錦町は人口密度113人/km²と過疎的水準で、民間賃貸の新規需要は薄い。実需に裏付けられた格安戸建ての指値取得のみが現実的。 借家の空室率は約0%と需給は比較的引き締まっている。</t>
        </is>
      </c>
      <c r="V1605" t="inlineStr">
        <is>
          <t>錦町（熊本県）：白川・球磨川の氾濫（球磨川豪雨の被災記憶）、阿蘇の火山、熊本地震型の活断層に最大級の留意。</t>
        </is>
      </c>
    </row>
    <row r="1606">
      <c r="A1606" t="inlineStr">
        <is>
          <t>熊本県</t>
        </is>
      </c>
      <c r="B1606" t="inlineStr">
        <is>
          <t>多良木町</t>
        </is>
      </c>
      <c r="C1606" t="n">
        <v>3605</v>
      </c>
      <c r="D1606" t="n">
        <v>8238</v>
      </c>
      <c r="E1606" s="6" t="n">
        <v>47.5</v>
      </c>
      <c r="F1606" s="7" t="n">
        <v>14.8</v>
      </c>
      <c r="G1606" t="n">
        <v>9076</v>
      </c>
      <c r="H1606" t="n">
        <v>8238</v>
      </c>
      <c r="I1606" t="n">
        <v>7430</v>
      </c>
      <c r="J1606" t="n">
        <v>5391</v>
      </c>
      <c r="K1606" s="27">
        <f>(H1606/D1606-1)</f>
        <v/>
      </c>
      <c r="L1606" s="27">
        <f>(I1606/D1606-1)</f>
        <v/>
      </c>
      <c r="M1606" s="27">
        <f>(J1606/D1606-1)</f>
        <v/>
      </c>
      <c r="N1606" t="n">
        <v>39.8</v>
      </c>
      <c r="O1606" s="28">
        <f>(N1606+F1606)/2</f>
        <v/>
      </c>
      <c r="P1606">
        <f>IF(O1606="計算不能","計算不能",IF(O1606&gt;=80,5,IF(O1606&gt;=60,4,IF(O1606&gt;=40,3,IF(O1606&gt;=28,2,1)))))</f>
        <v/>
      </c>
      <c r="Q1606" t="n">
        <v>1192</v>
      </c>
      <c r="R1606" t="n">
        <v>0</v>
      </c>
      <c r="S1606" s="27">
        <f>R1606/Q1606</f>
        <v/>
      </c>
      <c r="T1606" t="inlineStr">
        <is>
          <t>多良木町は2045年までに人口が約34.6%減と急激な過疎・超高齢化が進行。若年労働世代の流出と自然減が重なり、賃貸事業としての持続性は極めて限定的。</t>
        </is>
      </c>
      <c r="U1606" t="inlineStr">
        <is>
          <t>多良木町は人口密度48人/km²と過疎的水準で、民間賃貸の新規需要は薄い。実需に裏付けられた格安戸建ての指値取得のみが現実的。 借家の空室率は約0%と需給は比較的引き締まっている。</t>
        </is>
      </c>
      <c r="V1606" t="inlineStr">
        <is>
          <t>多良木町（熊本県）：白川・球磨川の氾濫（球磨川豪雨の被災記憶）、阿蘇の火山、熊本地震型の活断層に最大級の留意。</t>
        </is>
      </c>
    </row>
    <row r="1607">
      <c r="A1607" t="inlineStr">
        <is>
          <t>熊本県</t>
        </is>
      </c>
      <c r="B1607" t="inlineStr">
        <is>
          <t>湯前町</t>
        </is>
      </c>
      <c r="C1607" t="n">
        <v>1510</v>
      </c>
      <c r="D1607" t="n">
        <v>3278</v>
      </c>
      <c r="E1607" s="6" t="n">
        <v>67.3</v>
      </c>
      <c r="F1607" s="7" t="n">
        <v>16.7</v>
      </c>
      <c r="G1607" t="n">
        <v>3627</v>
      </c>
      <c r="H1607" t="n">
        <v>3278</v>
      </c>
      <c r="I1607" t="n">
        <v>2950</v>
      </c>
      <c r="J1607" t="n">
        <v>2079</v>
      </c>
      <c r="K1607" s="27">
        <f>(H1607/D1607-1)</f>
        <v/>
      </c>
      <c r="L1607" s="27">
        <f>(I1607/D1607-1)</f>
        <v/>
      </c>
      <c r="M1607" s="27">
        <f>(J1607/D1607-1)</f>
        <v/>
      </c>
      <c r="N1607" t="n">
        <v>38.9</v>
      </c>
      <c r="O1607" s="28">
        <f>(N1607+F1607)/2</f>
        <v/>
      </c>
      <c r="P1607">
        <f>IF(O1607="計算不能","計算不能",IF(O1607&gt;=80,5,IF(O1607&gt;=60,4,IF(O1607&gt;=40,3,IF(O1607&gt;=28,2,1)))))</f>
        <v/>
      </c>
      <c r="Q1607" t="n">
        <v>499</v>
      </c>
      <c r="R1607" t="n">
        <v>0</v>
      </c>
      <c r="S1607" s="27">
        <f>R1607/Q1607</f>
        <v/>
      </c>
      <c r="T1607" t="inlineStr">
        <is>
          <t>湯前町は2045年までに人口が約36.6%減と急激な過疎・超高齢化が進行。若年労働世代の流出と自然減が重なり、賃貸事業としての持続性は極めて限定的。</t>
        </is>
      </c>
      <c r="U1607" t="inlineStr">
        <is>
          <t>湯前町は人口密度67人/km²と過疎的水準で、民間賃貸の新規需要は薄い。実需に裏付けられた格安戸建ての指値取得のみが現実的。 借家の空室率は約0%と需給は比較的引き締まっている。</t>
        </is>
      </c>
      <c r="V1607" t="inlineStr">
        <is>
          <t>湯前町（熊本県）：白川・球磨川の氾濫（球磨川豪雨の被災記憶）、阿蘇の火山、熊本地震型の活断層に最大級の留意。</t>
        </is>
      </c>
    </row>
    <row r="1608">
      <c r="A1608" t="inlineStr">
        <is>
          <t>熊本県</t>
        </is>
      </c>
      <c r="B1608" t="inlineStr">
        <is>
          <t>水上村</t>
        </is>
      </c>
      <c r="C1608" t="n">
        <v>837</v>
      </c>
      <c r="D1608" t="n">
        <v>1831</v>
      </c>
      <c r="E1608" s="6" t="n">
        <v>9.300000000000001</v>
      </c>
      <c r="F1608" s="7" t="n">
        <v>10.9</v>
      </c>
      <c r="G1608" t="n">
        <v>2033</v>
      </c>
      <c r="H1608" t="n">
        <v>1831</v>
      </c>
      <c r="I1608" t="n">
        <v>1642</v>
      </c>
      <c r="J1608" t="n">
        <v>1195</v>
      </c>
      <c r="K1608" s="27">
        <f>(H1608/D1608-1)</f>
        <v/>
      </c>
      <c r="L1608" s="27">
        <f>(I1608/D1608-1)</f>
        <v/>
      </c>
      <c r="M1608" s="27">
        <f>(J1608/D1608-1)</f>
        <v/>
      </c>
      <c r="N1608" t="n">
        <v>39</v>
      </c>
      <c r="O1608" s="28">
        <f>(N1608+F1608)/2</f>
        <v/>
      </c>
      <c r="P1608">
        <f>IF(O1608="計算不能","計算不能",IF(O1608&gt;=80,5,IF(O1608&gt;=60,4,IF(O1608&gt;=40,3,IF(O1608&gt;=28,2,1)))))</f>
        <v/>
      </c>
      <c r="Q1608" t="n">
        <v>276</v>
      </c>
      <c r="R1608" t="n">
        <v>0</v>
      </c>
      <c r="S1608" s="27">
        <f>R1608/Q1608</f>
        <v/>
      </c>
      <c r="T1608" t="inlineStr">
        <is>
          <t>水上村は2045年までに人口が約34.7%減と急激な過疎・超高齢化が進行。若年労働世代の流出と自然減が重なり、賃貸事業としての持続性は極めて限定的。</t>
        </is>
      </c>
      <c r="U1608" t="inlineStr">
        <is>
          <t>水上村は人口密度9人/km²と過疎的水準で、民間賃貸の新規需要は薄い。実需に裏付けられた格安戸建ての指値取得のみが現実的。 借家の空室率は約0%と需給は比較的引き締まっている。</t>
        </is>
      </c>
      <c r="V1608" t="inlineStr">
        <is>
          <t>水上村（熊本県）：白川・球磨川の氾濫（球磨川豪雨の被災記憶）、阿蘇の火山、熊本地震型の活断層に最大級の留意。</t>
        </is>
      </c>
    </row>
    <row r="1609">
      <c r="A1609" t="inlineStr">
        <is>
          <t>熊本県</t>
        </is>
      </c>
      <c r="B1609" t="inlineStr">
        <is>
          <t>相良村</t>
        </is>
      </c>
      <c r="C1609" t="n">
        <v>1590</v>
      </c>
      <c r="D1609" t="n">
        <v>3630</v>
      </c>
      <c r="E1609" s="6" t="n">
        <v>39.9</v>
      </c>
      <c r="F1609" s="7" t="n">
        <v>14</v>
      </c>
      <c r="G1609" t="n">
        <v>4070</v>
      </c>
      <c r="H1609" t="n">
        <v>3630</v>
      </c>
      <c r="I1609" t="n">
        <v>3251</v>
      </c>
      <c r="J1609" t="n">
        <v>2193</v>
      </c>
      <c r="K1609" s="27">
        <f>(H1609/D1609-1)</f>
        <v/>
      </c>
      <c r="L1609" s="27">
        <f>(I1609/D1609-1)</f>
        <v/>
      </c>
      <c r="M1609" s="27">
        <f>(J1609/D1609-1)</f>
        <v/>
      </c>
      <c r="N1609" t="n">
        <v>37.1</v>
      </c>
      <c r="O1609" s="28">
        <f>(N1609+F1609)/2</f>
        <v/>
      </c>
      <c r="P1609">
        <f>IF(O1609="計算不能","計算不能",IF(O1609&gt;=80,5,IF(O1609&gt;=60,4,IF(O1609&gt;=40,3,IF(O1609&gt;=28,2,1)))))</f>
        <v/>
      </c>
      <c r="Q1609" t="n">
        <v>525</v>
      </c>
      <c r="R1609" t="n">
        <v>0</v>
      </c>
      <c r="S1609" s="27">
        <f>R1609/Q1609</f>
        <v/>
      </c>
      <c r="T1609" t="inlineStr">
        <is>
          <t>相良村は2045年までに人口が約39.6%減と急激な過疎・超高齢化が進行。若年労働世代の流出と自然減が重なり、賃貸事業としての持続性は極めて限定的。</t>
        </is>
      </c>
      <c r="U1609" t="inlineStr">
        <is>
          <t>相良村は人口密度40人/km²と過疎的水準で、民間賃貸の新規需要は薄い。実需に裏付けられた格安戸建ての指値取得のみが現実的。 借家の空室率は約0%と需給は比較的引き締まっている。</t>
        </is>
      </c>
      <c r="V1609" t="inlineStr">
        <is>
          <t>相良村（熊本県）：白川・球磨川の氾濫（球磨川豪雨の被災記憶）、阿蘇の火山、熊本地震型の活断層に最大級の留意。</t>
        </is>
      </c>
    </row>
    <row r="1610">
      <c r="A1610" t="inlineStr">
        <is>
          <t>熊本県</t>
        </is>
      </c>
      <c r="B1610" t="inlineStr">
        <is>
          <t>五木村</t>
        </is>
      </c>
      <c r="C1610" t="n">
        <v>462</v>
      </c>
      <c r="D1610" t="n">
        <v>817</v>
      </c>
      <c r="E1610" s="6" t="n">
        <v>3.2</v>
      </c>
      <c r="F1610" s="7" t="n">
        <v>10.3</v>
      </c>
      <c r="G1610" t="n">
        <v>931</v>
      </c>
      <c r="H1610" t="n">
        <v>817</v>
      </c>
      <c r="I1610" t="n">
        <v>736</v>
      </c>
      <c r="J1610" t="n">
        <v>520</v>
      </c>
      <c r="K1610" s="27">
        <f>(H1610/D1610-1)</f>
        <v/>
      </c>
      <c r="L1610" s="27">
        <f>(I1610/D1610-1)</f>
        <v/>
      </c>
      <c r="M1610" s="27">
        <f>(J1610/D1610-1)</f>
        <v/>
      </c>
      <c r="N1610" t="n">
        <v>36.7</v>
      </c>
      <c r="O1610" s="28">
        <f>(N1610+F1610)/2</f>
        <v/>
      </c>
      <c r="P1610">
        <f>IF(O1610="計算不能","計算不能",IF(O1610&gt;=80,5,IF(O1610&gt;=60,4,IF(O1610&gt;=40,3,IF(O1610&gt;=28,2,1)))))</f>
        <v/>
      </c>
      <c r="Q1610" t="n">
        <v>152</v>
      </c>
      <c r="R1610" t="n">
        <v>0</v>
      </c>
      <c r="S1610" s="27">
        <f>R1610/Q1610</f>
        <v/>
      </c>
      <c r="T1610" t="inlineStr">
        <is>
          <t>五木村は2045年までに人口が約36.4%減と急激な過疎・超高齢化が進行。若年労働世代の流出と自然減が重なり、賃貸事業としての持続性は極めて限定的。</t>
        </is>
      </c>
      <c r="U1610" t="inlineStr">
        <is>
          <t>五木村は人口密度3人/km²と過疎的水準で、民間賃貸の新規需要は薄い。実需に裏付けられた格安戸建ての指値取得のみが現実的。 借家の空室率は約0%と需給は比較的引き締まっている。</t>
        </is>
      </c>
      <c r="V1610" t="inlineStr">
        <is>
          <t>五木村（熊本県）：白川・球磨川の氾濫（球磨川豪雨の被災記憶）、阿蘇の火山、熊本地震型の活断層に最大級の留意。</t>
        </is>
      </c>
    </row>
    <row r="1611">
      <c r="A1611" t="inlineStr">
        <is>
          <t>熊本県</t>
        </is>
      </c>
      <c r="B1611" t="inlineStr">
        <is>
          <t>山江村</t>
        </is>
      </c>
      <c r="C1611" t="n">
        <v>1195</v>
      </c>
      <c r="D1611" t="n">
        <v>2935</v>
      </c>
      <c r="E1611" s="6" t="n">
        <v>24.1</v>
      </c>
      <c r="F1611" s="7" t="n">
        <v>12.4</v>
      </c>
      <c r="G1611" t="n">
        <v>3238</v>
      </c>
      <c r="H1611" t="n">
        <v>2935</v>
      </c>
      <c r="I1611" t="n">
        <v>2640</v>
      </c>
      <c r="J1611" t="n">
        <v>1931</v>
      </c>
      <c r="K1611" s="27">
        <f>(H1611/D1611-1)</f>
        <v/>
      </c>
      <c r="L1611" s="27">
        <f>(I1611/D1611-1)</f>
        <v/>
      </c>
      <c r="M1611" s="27">
        <f>(J1611/D1611-1)</f>
        <v/>
      </c>
      <c r="N1611" t="n">
        <v>39.7</v>
      </c>
      <c r="O1611" s="28">
        <f>(N1611+F1611)/2</f>
        <v/>
      </c>
      <c r="P1611">
        <f>IF(O1611="計算不能","計算不能",IF(O1611&gt;=80,5,IF(O1611&gt;=60,4,IF(O1611&gt;=40,3,IF(O1611&gt;=28,2,1)))))</f>
        <v/>
      </c>
      <c r="Q1611" t="n">
        <v>395</v>
      </c>
      <c r="R1611" t="n">
        <v>0</v>
      </c>
      <c r="S1611" s="27">
        <f>R1611/Q1611</f>
        <v/>
      </c>
      <c r="T1611" t="inlineStr">
        <is>
          <t>山江村は2045年までに人口が約34.2%減と急激な過疎・超高齢化が進行。若年労働世代の流出と自然減が重なり、賃貸事業としての持続性は極めて限定的。</t>
        </is>
      </c>
      <c r="U1611" t="inlineStr">
        <is>
          <t>山江村は人口密度24人/km²と過疎的水準で、民間賃貸の新規需要は薄い。実需に裏付けられた格安戸建ての指値取得のみが現実的。 借家の空室率は約0%と需給は比較的引き締まっている。</t>
        </is>
      </c>
      <c r="V1611" t="inlineStr">
        <is>
          <t>山江村（熊本県）：白川・球磨川の氾濫（球磨川豪雨の被災記憶）、阿蘇の火山、熊本地震型の活断層に最大級の留意。</t>
        </is>
      </c>
    </row>
    <row r="1612">
      <c r="A1612" t="inlineStr">
        <is>
          <t>熊本県</t>
        </is>
      </c>
      <c r="B1612" t="inlineStr">
        <is>
          <t>球磨村</t>
        </is>
      </c>
      <c r="C1612" t="n">
        <v>1189</v>
      </c>
      <c r="D1612" t="n">
        <v>1441</v>
      </c>
      <c r="E1612" s="6" t="n">
        <v>10.9</v>
      </c>
      <c r="F1612" s="7" t="n">
        <v>11.1</v>
      </c>
      <c r="G1612" t="n">
        <v>2433</v>
      </c>
      <c r="H1612" t="n">
        <v>1441</v>
      </c>
      <c r="I1612" t="n">
        <v>1272</v>
      </c>
      <c r="J1612" t="n">
        <v>779</v>
      </c>
      <c r="K1612" s="27">
        <f>(H1612/D1612-1)</f>
        <v/>
      </c>
      <c r="L1612" s="27">
        <f>(I1612/D1612-1)</f>
        <v/>
      </c>
      <c r="M1612" s="27">
        <f>(J1612/D1612-1)</f>
        <v/>
      </c>
      <c r="N1612" t="n">
        <v>20</v>
      </c>
      <c r="O1612" s="28">
        <f>(N1612+F1612)/2</f>
        <v/>
      </c>
      <c r="P1612">
        <f>IF(O1612="計算不能","計算不能",IF(O1612&gt;=80,5,IF(O1612&gt;=60,4,IF(O1612&gt;=40,3,IF(O1612&gt;=28,2,1)))))</f>
        <v/>
      </c>
      <c r="Q1612" t="n">
        <v>393</v>
      </c>
      <c r="R1612" t="n">
        <v>0</v>
      </c>
      <c r="S1612" s="27">
        <f>R1612/Q1612</f>
        <v/>
      </c>
      <c r="T1612" t="inlineStr">
        <is>
          <t>球磨村は2045年までに人口が約45.9%減と急激な過疎・超高齢化が進行。若年労働世代の流出と自然減が重なり、賃貸事業としての持続性は極めて限定的。</t>
        </is>
      </c>
      <c r="U1612" t="inlineStr">
        <is>
          <t>球磨村は人口密度11人/km²と過疎的水準で、民間賃貸の新規需要は薄い。実需に裏付けられた格安戸建ての指値取得のみが現実的。 借家の空室率は約0%と需給は比較的引き締まっている。</t>
        </is>
      </c>
      <c r="V1612" t="inlineStr">
        <is>
          <t>球磨村（熊本県）：白川・球磨川の氾濫（球磨川豪雨の被災記憶）、阿蘇の火山、熊本地震型の活断層に最大級の留意。</t>
        </is>
      </c>
    </row>
    <row r="1613">
      <c r="A1613" t="inlineStr">
        <is>
          <t>熊本県</t>
        </is>
      </c>
      <c r="B1613" t="inlineStr">
        <is>
          <t>あさぎり町</t>
        </is>
      </c>
      <c r="C1613" t="n">
        <v>5767</v>
      </c>
      <c r="D1613" t="n">
        <v>13566</v>
      </c>
      <c r="E1613" s="6" t="n">
        <v>82.7</v>
      </c>
      <c r="F1613" s="7" t="n">
        <v>18.3</v>
      </c>
      <c r="G1613" t="n">
        <v>14676</v>
      </c>
      <c r="H1613" t="n">
        <v>13566</v>
      </c>
      <c r="I1613" t="n">
        <v>12495</v>
      </c>
      <c r="J1613" t="n">
        <v>9724</v>
      </c>
      <c r="K1613" s="27">
        <f>(H1613/D1613-1)</f>
        <v/>
      </c>
      <c r="L1613" s="27">
        <f>(I1613/D1613-1)</f>
        <v/>
      </c>
      <c r="M1613" s="27">
        <f>(J1613/D1613-1)</f>
        <v/>
      </c>
      <c r="N1613" t="n">
        <v>43.3</v>
      </c>
      <c r="O1613" s="28">
        <f>(N1613+F1613)/2</f>
        <v/>
      </c>
      <c r="P1613">
        <f>IF(O1613="計算不能","計算不能",IF(O1613&gt;=80,5,IF(O1613&gt;=60,4,IF(O1613&gt;=40,3,IF(O1613&gt;=28,2,1)))))</f>
        <v/>
      </c>
      <c r="Q1613" t="n">
        <v>1907</v>
      </c>
      <c r="R1613" t="n">
        <v>0</v>
      </c>
      <c r="S1613" s="27">
        <f>R1613/Q1613</f>
        <v/>
      </c>
      <c r="T1613" t="inlineStr">
        <is>
          <t>あさぎり町は2045年までに人口が約28.3%減と明確な減少トレンド。高齢化の進行と世帯数の縮小により、中長期では賃貸需要の構造的縮小に警戒が必要。</t>
        </is>
      </c>
      <c r="U1613" t="inlineStr">
        <is>
          <t>あさぎり町は人口密度83人/km²と過疎的水準で、民間賃貸の新規需要は薄い。実需に裏付けられた格安戸建ての指値取得のみが現実的。 借家の空室率は約0%と需給は比較的引き締まっている。</t>
        </is>
      </c>
      <c r="V1613" t="inlineStr">
        <is>
          <t>あさぎり町（熊本県）：白川・球磨川の氾濫（球磨川豪雨の被災記憶）、阿蘇の火山、熊本地震型の活断層に最大級の留意。</t>
        </is>
      </c>
    </row>
    <row r="1614">
      <c r="A1614" t="inlineStr">
        <is>
          <t>熊本県</t>
        </is>
      </c>
      <c r="B1614" t="inlineStr">
        <is>
          <t>苓北町</t>
        </is>
      </c>
      <c r="C1614" t="n">
        <v>3009</v>
      </c>
      <c r="D1614" t="n">
        <v>6431</v>
      </c>
      <c r="E1614" s="6" t="n">
        <v>91.2</v>
      </c>
      <c r="F1614" s="7" t="n">
        <v>19.1</v>
      </c>
      <c r="G1614" t="n">
        <v>7114</v>
      </c>
      <c r="H1614" t="n">
        <v>6431</v>
      </c>
      <c r="I1614" t="n">
        <v>5775</v>
      </c>
      <c r="J1614" t="n">
        <v>4067</v>
      </c>
      <c r="K1614" s="27">
        <f>(H1614/D1614-1)</f>
        <v/>
      </c>
      <c r="L1614" s="27">
        <f>(I1614/D1614-1)</f>
        <v/>
      </c>
      <c r="M1614" s="27">
        <f>(J1614/D1614-1)</f>
        <v/>
      </c>
      <c r="N1614" t="n">
        <v>38.9</v>
      </c>
      <c r="O1614" s="28">
        <f>(N1614+F1614)/2</f>
        <v/>
      </c>
      <c r="P1614">
        <f>IF(O1614="計算不能","計算不能",IF(O1614&gt;=80,5,IF(O1614&gt;=60,4,IF(O1614&gt;=40,3,IF(O1614&gt;=28,2,1)))))</f>
        <v/>
      </c>
      <c r="Q1614" t="n">
        <v>995</v>
      </c>
      <c r="R1614" t="n">
        <v>0</v>
      </c>
      <c r="S1614" s="27">
        <f>R1614/Q1614</f>
        <v/>
      </c>
      <c r="T1614" t="inlineStr">
        <is>
          <t>苓北町は2045年までに人口が約36.8%減と急激な過疎・超高齢化が進行。若年労働世代の流出と自然減が重なり、賃貸事業としての持続性は極めて限定的。</t>
        </is>
      </c>
      <c r="U1614" t="inlineStr">
        <is>
          <t>苓北町は人口密度91人/km²と過疎的水準で、民間賃貸の新規需要は薄い。実需に裏付けられた格安戸建ての指値取得のみが現実的。 借家の空室率は約0%と需給は比較的引き締まっている。</t>
        </is>
      </c>
      <c r="V1614" t="inlineStr">
        <is>
          <t>苓北町（熊本県）：白川・球磨川の氾濫（球磨川豪雨の被災記憶）、阿蘇の火山、熊本地震型の活断層に最大級の留意。</t>
        </is>
      </c>
    </row>
    <row r="1615">
      <c r="A1615" t="inlineStr">
        <is>
          <t>大分県</t>
        </is>
      </c>
      <c r="B1615" t="inlineStr">
        <is>
          <t>大分市</t>
        </is>
      </c>
      <c r="C1615" t="n">
        <v>214680</v>
      </c>
      <c r="D1615" t="n">
        <v>471405</v>
      </c>
      <c r="E1615" s="6" t="n">
        <v>935.9</v>
      </c>
      <c r="F1615" s="7" t="n">
        <v>53.7</v>
      </c>
      <c r="G1615" t="n">
        <v>475614</v>
      </c>
      <c r="H1615" t="n">
        <v>471405</v>
      </c>
      <c r="I1615" t="n">
        <v>463901</v>
      </c>
      <c r="J1615" t="n">
        <v>429753</v>
      </c>
      <c r="K1615" s="27">
        <f>(H1615/D1615-1)</f>
        <v/>
      </c>
      <c r="L1615" s="27">
        <f>(I1615/D1615-1)</f>
        <v/>
      </c>
      <c r="M1615" s="27">
        <f>(J1615/D1615-1)</f>
        <v/>
      </c>
      <c r="N1615" t="n">
        <v>67.7</v>
      </c>
      <c r="O1615" s="28">
        <f>(N1615+F1615)/2</f>
        <v/>
      </c>
      <c r="P1615">
        <f>IF(O1615="計算不能","計算不能",IF(O1615&gt;=80,5,IF(O1615&gt;=60,4,IF(O1615&gt;=40,3,IF(O1615&gt;=28,2,1)))))</f>
        <v/>
      </c>
      <c r="Q1615" t="n">
        <v>71376</v>
      </c>
      <c r="R1615" t="n">
        <v>20160</v>
      </c>
      <c r="S1615" s="27">
        <f>R1615/Q1615</f>
        <v/>
      </c>
      <c r="T1615" t="inlineStr">
        <is>
          <t>大分市は2045年までに人口が約8.8%減と緩やかな減少局面。若年層の都市部流出と高齢化が進むが、当面の賃貸稼働は一定程度維持される見通し。</t>
        </is>
      </c>
      <c r="U1615" t="inlineStr">
        <is>
          <t>大分市は人口密度936人/km²で、主要道路沿いや中心市街地に一定の賃貸需要が局在。立地選別が稼働を左右する。 借家の空室率は約28%と供給過多気味で、空室長期化リスクに要警戒。</t>
        </is>
      </c>
      <c r="V1615" t="inlineStr">
        <is>
          <t>大分市（大分県）：大分川・大野川の氾濫、別府湾の津波、急峻な山地の土砂災害、温泉地の地盤に留意。</t>
        </is>
      </c>
    </row>
    <row r="1616">
      <c r="A1616" t="inlineStr">
        <is>
          <t>大分県</t>
        </is>
      </c>
      <c r="B1616" t="inlineStr">
        <is>
          <t>別府市</t>
        </is>
      </c>
      <c r="C1616" t="n">
        <v>54140</v>
      </c>
      <c r="D1616" t="n">
        <v>110673</v>
      </c>
      <c r="E1616" s="6" t="n">
        <v>895.7</v>
      </c>
      <c r="F1616" s="7" t="n">
        <v>52.9</v>
      </c>
      <c r="G1616" t="n">
        <v>115321</v>
      </c>
      <c r="H1616" t="n">
        <v>110673</v>
      </c>
      <c r="I1616" t="n">
        <v>105401</v>
      </c>
      <c r="J1616" t="n">
        <v>88874</v>
      </c>
      <c r="K1616" s="27">
        <f>(H1616/D1616-1)</f>
        <v/>
      </c>
      <c r="L1616" s="27">
        <f>(I1616/D1616-1)</f>
        <v/>
      </c>
      <c r="M1616" s="27">
        <f>(J1616/D1616-1)</f>
        <v/>
      </c>
      <c r="N1616" t="n">
        <v>54.3</v>
      </c>
      <c r="O1616" s="28">
        <f>(N1616+F1616)/2</f>
        <v/>
      </c>
      <c r="P1616">
        <f>IF(O1616="計算不能","計算不能",IF(O1616&gt;=80,5,IF(O1616&gt;=60,4,IF(O1616&gt;=40,3,IF(O1616&gt;=28,2,1)))))</f>
        <v/>
      </c>
      <c r="Q1616" t="n">
        <v>18000</v>
      </c>
      <c r="R1616" t="n">
        <v>9610</v>
      </c>
      <c r="S1616" s="27">
        <f>R1616/Q1616</f>
        <v/>
      </c>
      <c r="T1616" t="inlineStr">
        <is>
          <t>別府市は2045年までに人口が約19.7%減と明確な減少トレンド。高齢化の進行と世帯数の縮小により、中長期では賃貸需要の構造的縮小に警戒が必要。</t>
        </is>
      </c>
      <c r="U1616" t="inlineStr">
        <is>
          <t>別府市は人口密度896人/km²で、主要道路沿いや中心市街地に一定の賃貸需要が局在。立地選別が稼働を左右する。 借家の空室率は約53%と供給過多気味で、空室長期化リスクに要警戒。</t>
        </is>
      </c>
      <c r="V1616" t="inlineStr">
        <is>
          <t>別府市（大分県）：大分川・大野川の氾濫、別府湾の津波、急峻な山地の土砂災害、温泉地の地盤に留意。</t>
        </is>
      </c>
    </row>
    <row r="1617">
      <c r="A1617" t="inlineStr">
        <is>
          <t>大分県</t>
        </is>
      </c>
      <c r="B1617" t="inlineStr">
        <is>
          <t>中津市</t>
        </is>
      </c>
      <c r="C1617" t="n">
        <v>38260</v>
      </c>
      <c r="D1617" t="n">
        <v>81159</v>
      </c>
      <c r="E1617" s="6" t="n">
        <v>163.2</v>
      </c>
      <c r="F1617" s="7" t="n">
        <v>26.3</v>
      </c>
      <c r="G1617" t="n">
        <v>82863</v>
      </c>
      <c r="H1617" t="n">
        <v>81159</v>
      </c>
      <c r="I1617" t="n">
        <v>79075</v>
      </c>
      <c r="J1617" t="n">
        <v>72092</v>
      </c>
      <c r="K1617" s="27">
        <f>(H1617/D1617-1)</f>
        <v/>
      </c>
      <c r="L1617" s="27">
        <f>(I1617/D1617-1)</f>
        <v/>
      </c>
      <c r="M1617" s="27">
        <f>(J1617/D1617-1)</f>
        <v/>
      </c>
      <c r="N1617" t="n">
        <v>63.7</v>
      </c>
      <c r="O1617" s="28">
        <f>(N1617+F1617)/2</f>
        <v/>
      </c>
      <c r="P1617">
        <f>IF(O1617="計算不能","計算不能",IF(O1617&gt;=80,5,IF(O1617&gt;=60,4,IF(O1617&gt;=40,3,IF(O1617&gt;=28,2,1)))))</f>
        <v/>
      </c>
      <c r="Q1617" t="n">
        <v>12720</v>
      </c>
      <c r="R1617" t="n">
        <v>3920</v>
      </c>
      <c r="S1617" s="27">
        <f>R1617/Q1617</f>
        <v/>
      </c>
      <c r="T1617" t="inlineStr">
        <is>
          <t>中津市は2045年までに人口が約11.2%減と緩やかな減少局面。若年層の都市部流出と高齢化が進むが、当面の賃貸稼働は一定程度維持される見通し。</t>
        </is>
      </c>
      <c r="U1617" t="inlineStr">
        <is>
          <t>中津市は人口密度163人/km²と過疎的水準で、民間賃貸の新規需要は薄い。実需に裏付けられた格安戸建ての指値取得のみが現実的。 借家の空室率は約31%と供給過多気味で、空室長期化リスクに要警戒。</t>
        </is>
      </c>
      <c r="V1617" t="inlineStr">
        <is>
          <t>中津市（大分県）：大分川・大野川の氾濫、別府湾の津波、急峻な山地の土砂災害、温泉地の地盤に留意。</t>
        </is>
      </c>
    </row>
    <row r="1618">
      <c r="A1618" t="inlineStr">
        <is>
          <t>大分県</t>
        </is>
      </c>
      <c r="B1618" t="inlineStr">
        <is>
          <t>日田市</t>
        </is>
      </c>
      <c r="C1618" t="n">
        <v>24880</v>
      </c>
      <c r="D1618" t="n">
        <v>58000</v>
      </c>
      <c r="E1618" s="6" t="n">
        <v>87</v>
      </c>
      <c r="F1618" s="7" t="n">
        <v>18.7</v>
      </c>
      <c r="G1618" t="n">
        <v>62657</v>
      </c>
      <c r="H1618" t="n">
        <v>58000</v>
      </c>
      <c r="I1618" t="n">
        <v>53844</v>
      </c>
      <c r="J1618" t="n">
        <v>42395</v>
      </c>
      <c r="K1618" s="27">
        <f>(H1618/D1618-1)</f>
        <v/>
      </c>
      <c r="L1618" s="27">
        <f>(I1618/D1618-1)</f>
        <v/>
      </c>
      <c r="M1618" s="27">
        <f>(J1618/D1618-1)</f>
        <v/>
      </c>
      <c r="N1618" t="n">
        <v>44</v>
      </c>
      <c r="O1618" s="28">
        <f>(N1618+F1618)/2</f>
        <v/>
      </c>
      <c r="P1618">
        <f>IF(O1618="計算不能","計算不能",IF(O1618&gt;=80,5,IF(O1618&gt;=60,4,IF(O1618&gt;=40,3,IF(O1618&gt;=28,2,1)))))</f>
        <v/>
      </c>
      <c r="Q1618" t="n">
        <v>8272</v>
      </c>
      <c r="R1618" t="n">
        <v>2080</v>
      </c>
      <c r="S1618" s="27">
        <f>R1618/Q1618</f>
        <v/>
      </c>
      <c r="T1618" t="inlineStr">
        <is>
          <t>日田市は2045年までに人口が約26.9%減と明確な減少トレンド。高齢化の進行と世帯数の縮小により、中長期では賃貸需要の構造的縮小に警戒が必要。</t>
        </is>
      </c>
      <c r="U1618" t="inlineStr">
        <is>
          <t>日田市は人口密度87人/km²と過疎的水準で、民間賃貸の新規需要は薄い。実需に裏付けられた格安戸建ての指値取得のみが現実的。 借家の空室率は約25%と供給過多気味で、空室長期化リスクに要警戒。</t>
        </is>
      </c>
      <c r="V1618" t="inlineStr">
        <is>
          <t>日田市（大分県）：大分川・大野川の氾濫、別府湾の津波、急峻な山地の土砂災害、温泉地の地盤に留意。</t>
        </is>
      </c>
    </row>
    <row r="1619">
      <c r="A1619" t="inlineStr">
        <is>
          <t>大分県</t>
        </is>
      </c>
      <c r="B1619" t="inlineStr">
        <is>
          <t>佐伯市</t>
        </is>
      </c>
      <c r="C1619" t="n">
        <v>28060</v>
      </c>
      <c r="D1619" t="n">
        <v>60638</v>
      </c>
      <c r="E1619" s="6" t="n">
        <v>67.2</v>
      </c>
      <c r="F1619" s="7" t="n">
        <v>16.7</v>
      </c>
      <c r="G1619" t="n">
        <v>66851</v>
      </c>
      <c r="H1619" t="n">
        <v>60638</v>
      </c>
      <c r="I1619" t="n">
        <v>55139</v>
      </c>
      <c r="J1619" t="n">
        <v>40173</v>
      </c>
      <c r="K1619" s="27">
        <f>(H1619/D1619-1)</f>
        <v/>
      </c>
      <c r="L1619" s="27">
        <f>(I1619/D1619-1)</f>
        <v/>
      </c>
      <c r="M1619" s="27">
        <f>(J1619/D1619-1)</f>
        <v/>
      </c>
      <c r="N1619" t="n">
        <v>40.2</v>
      </c>
      <c r="O1619" s="28">
        <f>(N1619+F1619)/2</f>
        <v/>
      </c>
      <c r="P1619">
        <f>IF(O1619="計算不能","計算不能",IF(O1619&gt;=80,5,IF(O1619&gt;=60,4,IF(O1619&gt;=40,3,IF(O1619&gt;=28,2,1)))))</f>
        <v/>
      </c>
      <c r="Q1619" t="n">
        <v>9329</v>
      </c>
      <c r="R1619" t="n">
        <v>2000</v>
      </c>
      <c r="S1619" s="27">
        <f>R1619/Q1619</f>
        <v/>
      </c>
      <c r="T1619" t="inlineStr">
        <is>
          <t>佐伯市は2045年までに人口が約33.7%減と急激な過疎・超高齢化が進行。若年労働世代の流出と自然減が重なり、賃貸事業としての持続性は極めて限定的。</t>
        </is>
      </c>
      <c r="U1619" t="inlineStr">
        <is>
          <t>佐伯市は人口密度67人/km²と過疎的水準で、民間賃貸の新規需要は薄い。実需に裏付けられた格安戸建ての指値取得のみが現実的。 借家の空室率は約21%とやや高めで、競合との差別化が必要。</t>
        </is>
      </c>
      <c r="V1619" t="inlineStr">
        <is>
          <t>佐伯市（大分県）：大分川・大野川の氾濫、別府湾の津波、急峻な山地の土砂災害、温泉地の地盤に留意。</t>
        </is>
      </c>
    </row>
    <row r="1620">
      <c r="A1620" t="inlineStr">
        <is>
          <t>大分県</t>
        </is>
      </c>
      <c r="B1620" t="inlineStr">
        <is>
          <t>臼杵市</t>
        </is>
      </c>
      <c r="C1620" t="n">
        <v>14570</v>
      </c>
      <c r="D1620" t="n">
        <v>32750</v>
      </c>
      <c r="E1620" s="6" t="n">
        <v>112.4</v>
      </c>
      <c r="F1620" s="7" t="n">
        <v>21.2</v>
      </c>
      <c r="G1620" t="n">
        <v>36158</v>
      </c>
      <c r="H1620" t="n">
        <v>32750</v>
      </c>
      <c r="I1620" t="n">
        <v>29907</v>
      </c>
      <c r="J1620" t="n">
        <v>22088</v>
      </c>
      <c r="K1620" s="27">
        <f>(H1620/D1620-1)</f>
        <v/>
      </c>
      <c r="L1620" s="27">
        <f>(I1620/D1620-1)</f>
        <v/>
      </c>
      <c r="M1620" s="27">
        <f>(J1620/D1620-1)</f>
        <v/>
      </c>
      <c r="N1620" t="n">
        <v>40.5</v>
      </c>
      <c r="O1620" s="28">
        <f>(N1620+F1620)/2</f>
        <v/>
      </c>
      <c r="P1620">
        <f>IF(O1620="計算不能","計算不能",IF(O1620&gt;=80,5,IF(O1620&gt;=60,4,IF(O1620&gt;=40,3,IF(O1620&gt;=28,2,1)))))</f>
        <v/>
      </c>
      <c r="Q1620" t="n">
        <v>4844</v>
      </c>
      <c r="R1620" t="n">
        <v>790</v>
      </c>
      <c r="S1620" s="27">
        <f>R1620/Q1620</f>
        <v/>
      </c>
      <c r="T1620" t="inlineStr">
        <is>
          <t>臼杵市は2045年までに人口が約32.6%減と急激な過疎・超高齢化が進行。若年労働世代の流出と自然減が重なり、賃貸事業としての持続性は極めて限定的。</t>
        </is>
      </c>
      <c r="U1620" t="inlineStr">
        <is>
          <t>臼杵市は人口密度112人/km²と過疎的水準で、民間賃貸の新規需要は薄い。実需に裏付けられた格安戸建ての指値取得のみが現実的。 借家の空室率は約16%と需給は比較的引き締まっている。</t>
        </is>
      </c>
      <c r="V1620" t="inlineStr">
        <is>
          <t>臼杵市（大分県）：大分川・大野川の氾濫、別府湾の津波、急峻な山地の土砂災害、温泉地の地盤に留意。</t>
        </is>
      </c>
    </row>
    <row r="1621">
      <c r="A1621" t="inlineStr">
        <is>
          <t>大分県</t>
        </is>
      </c>
      <c r="B1621" t="inlineStr">
        <is>
          <t>津久見市</t>
        </is>
      </c>
      <c r="C1621" t="n">
        <v>6410</v>
      </c>
      <c r="D1621" t="n">
        <v>14064</v>
      </c>
      <c r="E1621" s="6" t="n">
        <v>176.9</v>
      </c>
      <c r="F1621" s="7" t="n">
        <v>27.7</v>
      </c>
      <c r="G1621" t="n">
        <v>16100</v>
      </c>
      <c r="H1621" t="n">
        <v>14064</v>
      </c>
      <c r="I1621" t="n">
        <v>12381</v>
      </c>
      <c r="J1621" t="n">
        <v>7987</v>
      </c>
      <c r="K1621" s="27">
        <f>(H1621/D1621-1)</f>
        <v/>
      </c>
      <c r="L1621" s="27">
        <f>(I1621/D1621-1)</f>
        <v/>
      </c>
      <c r="M1621" s="27">
        <f>(J1621/D1621-1)</f>
        <v/>
      </c>
      <c r="N1621" t="n">
        <v>34.3</v>
      </c>
      <c r="O1621" s="28">
        <f>(N1621+F1621)/2</f>
        <v/>
      </c>
      <c r="P1621">
        <f>IF(O1621="計算不能","計算不能",IF(O1621&gt;=80,5,IF(O1621&gt;=60,4,IF(O1621&gt;=40,3,IF(O1621&gt;=28,2,1)))))</f>
        <v/>
      </c>
      <c r="Q1621" t="n">
        <v>2131</v>
      </c>
      <c r="R1621" t="n">
        <v>530</v>
      </c>
      <c r="S1621" s="27">
        <f>R1621/Q1621</f>
        <v/>
      </c>
      <c r="T1621" t="inlineStr">
        <is>
          <t>津久見市は2045年までに人口が約43.2%減と急激な過疎・超高齢化が進行。若年労働世代の流出と自然減が重なり、賃貸事業としての持続性は極めて限定的。</t>
        </is>
      </c>
      <c r="U1621" t="inlineStr">
        <is>
          <t>津久見市は人口密度177人/km²と過疎的水準で、民間賃貸の新規需要は薄い。実需に裏付けられた格安戸建ての指値取得のみが現実的。 借家の空室率は約25%とやや高めで、競合との差別化が必要。</t>
        </is>
      </c>
      <c r="V1621" t="inlineStr">
        <is>
          <t>津久見市（大分県）：大分川・大野川の氾濫、別府湾の津波、急峻な山地の土砂災害、温泉地の地盤に留意。</t>
        </is>
      </c>
    </row>
    <row r="1622">
      <c r="A1622" t="inlineStr">
        <is>
          <t>大分県</t>
        </is>
      </c>
      <c r="B1622" t="inlineStr">
        <is>
          <t>竹田市</t>
        </is>
      </c>
      <c r="C1622" t="n">
        <v>7520</v>
      </c>
      <c r="D1622" t="n">
        <v>17960</v>
      </c>
      <c r="E1622" s="6" t="n">
        <v>37.1</v>
      </c>
      <c r="F1622" s="7" t="n">
        <v>13.7</v>
      </c>
      <c r="G1622" t="n">
        <v>20332</v>
      </c>
      <c r="H1622" t="n">
        <v>17960</v>
      </c>
      <c r="I1622" t="n">
        <v>15912</v>
      </c>
      <c r="J1622" t="n">
        <v>11039</v>
      </c>
      <c r="K1622" s="27">
        <f>(H1622/D1622-1)</f>
        <v/>
      </c>
      <c r="L1622" s="27">
        <f>(I1622/D1622-1)</f>
        <v/>
      </c>
      <c r="M1622" s="27">
        <f>(J1622/D1622-1)</f>
        <v/>
      </c>
      <c r="N1622" t="n">
        <v>36.3</v>
      </c>
      <c r="O1622" s="28">
        <f>(N1622+F1622)/2</f>
        <v/>
      </c>
      <c r="P1622">
        <f>IF(O1622="計算不能","計算不能",IF(O1622&gt;=80,5,IF(O1622&gt;=60,4,IF(O1622&gt;=40,3,IF(O1622&gt;=28,2,1)))))</f>
        <v/>
      </c>
      <c r="Q1622" t="n">
        <v>2500</v>
      </c>
      <c r="R1622" t="n">
        <v>690</v>
      </c>
      <c r="S1622" s="27">
        <f>R1622/Q1622</f>
        <v/>
      </c>
      <c r="T1622" t="inlineStr">
        <is>
          <t>竹田市は2045年までに人口が約38.5%減と急激な過疎・超高齢化が進行。若年労働世代の流出と自然減が重なり、賃貸事業としての持続性は極めて限定的。</t>
        </is>
      </c>
      <c r="U1622" t="inlineStr">
        <is>
          <t>竹田市は人口密度37人/km²と過疎的水準で、民間賃貸の新規需要は薄い。実需に裏付けられた格安戸建ての指値取得のみが現実的。 借家の空室率は約28%と供給過多気味で、空室長期化リスクに要警戒。</t>
        </is>
      </c>
      <c r="V1622" t="inlineStr">
        <is>
          <t>竹田市（大分県）：大分川・大野川の氾濫、別府湾の津波、急峻な山地の土砂災害、温泉地の地盤に留意。</t>
        </is>
      </c>
    </row>
    <row r="1623">
      <c r="A1623" t="inlineStr">
        <is>
          <t>大分県</t>
        </is>
      </c>
      <c r="B1623" t="inlineStr">
        <is>
          <t>豊後高田市</t>
        </is>
      </c>
      <c r="C1623" t="n">
        <v>8970</v>
      </c>
      <c r="D1623" t="n">
        <v>21038</v>
      </c>
      <c r="E1623" s="6" t="n">
        <v>103.2</v>
      </c>
      <c r="F1623" s="7" t="n">
        <v>20.3</v>
      </c>
      <c r="G1623" t="n">
        <v>22112</v>
      </c>
      <c r="H1623" t="n">
        <v>21038</v>
      </c>
      <c r="I1623" t="n">
        <v>19926</v>
      </c>
      <c r="J1623" t="n">
        <v>16850</v>
      </c>
      <c r="K1623" s="27">
        <f>(H1623/D1623-1)</f>
        <v/>
      </c>
      <c r="L1623" s="27">
        <f>(I1623/D1623-1)</f>
        <v/>
      </c>
      <c r="M1623" s="27">
        <f>(J1623/D1623-1)</f>
        <v/>
      </c>
      <c r="N1623" t="n">
        <v>52.3</v>
      </c>
      <c r="O1623" s="28">
        <f>(N1623+F1623)/2</f>
        <v/>
      </c>
      <c r="P1623">
        <f>IF(O1623="計算不能","計算不能",IF(O1623&gt;=80,5,IF(O1623&gt;=60,4,IF(O1623&gt;=40,3,IF(O1623&gt;=28,2,1)))))</f>
        <v/>
      </c>
      <c r="Q1623" t="n">
        <v>2982</v>
      </c>
      <c r="R1623" t="n">
        <v>450</v>
      </c>
      <c r="S1623" s="27">
        <f>R1623/Q1623</f>
        <v/>
      </c>
      <c r="T1623" t="inlineStr">
        <is>
          <t>豊後高田市は2045年までに人口が約19.9%減と明確な減少トレンド。高齢化の進行と世帯数の縮小により、中長期では賃貸需要の構造的縮小に警戒が必要。</t>
        </is>
      </c>
      <c r="U1623" t="inlineStr">
        <is>
          <t>豊後高田市は人口密度103人/km²と過疎的水準で、民間賃貸の新規需要は薄い。実需に裏付けられた格安戸建ての指値取得のみが現実的。 借家の空室率は約15%と需給は比較的引き締まっている。</t>
        </is>
      </c>
      <c r="V1623" t="inlineStr">
        <is>
          <t>豊後高田市（大分県）：大分川・大野川の氾濫、別府湾の津波、急峻な山地の土砂災害、温泉地の地盤に留意。</t>
        </is>
      </c>
    </row>
    <row r="1624">
      <c r="A1624" t="inlineStr">
        <is>
          <t>大分県</t>
        </is>
      </c>
      <c r="B1624" t="inlineStr">
        <is>
          <t>杵築市</t>
        </is>
      </c>
      <c r="C1624" t="n">
        <v>11250</v>
      </c>
      <c r="D1624" t="n">
        <v>25198</v>
      </c>
      <c r="E1624" s="6" t="n">
        <v>90.3</v>
      </c>
      <c r="F1624" s="7" t="n">
        <v>19</v>
      </c>
      <c r="G1624" t="n">
        <v>27999</v>
      </c>
      <c r="H1624" t="n">
        <v>25198</v>
      </c>
      <c r="I1624" t="n">
        <v>23291</v>
      </c>
      <c r="J1624" t="n">
        <v>18074</v>
      </c>
      <c r="K1624" s="27">
        <f>(H1624/D1624-1)</f>
        <v/>
      </c>
      <c r="L1624" s="27">
        <f>(I1624/D1624-1)</f>
        <v/>
      </c>
      <c r="M1624" s="27">
        <f>(J1624/D1624-1)</f>
        <v/>
      </c>
      <c r="N1624" t="n">
        <v>41.3</v>
      </c>
      <c r="O1624" s="28">
        <f>(N1624+F1624)/2</f>
        <v/>
      </c>
      <c r="P1624">
        <f>IF(O1624="計算不能","計算不能",IF(O1624&gt;=80,5,IF(O1624&gt;=60,4,IF(O1624&gt;=40,3,IF(O1624&gt;=28,2,1)))))</f>
        <v/>
      </c>
      <c r="Q1624" t="n">
        <v>3740</v>
      </c>
      <c r="R1624" t="n">
        <v>1790</v>
      </c>
      <c r="S1624" s="27">
        <f>R1624/Q1624</f>
        <v/>
      </c>
      <c r="T1624" t="inlineStr">
        <is>
          <t>杵築市は2045年までに人口が約28.3%減と明確な減少トレンド。高齢化の進行と世帯数の縮小により、中長期では賃貸需要の構造的縮小に警戒が必要。</t>
        </is>
      </c>
      <c r="U1624" t="inlineStr">
        <is>
          <t>杵築市は人口密度90人/km²と過疎的水準で、民間賃貸の新規需要は薄い。実需に裏付けられた格安戸建ての指値取得のみが現実的。 借家の空室率は約48%と供給過多気味で、空室長期化リスクに要警戒。</t>
        </is>
      </c>
      <c r="V1624" t="inlineStr">
        <is>
          <t>杵築市（大分県）：大分川・大野川の氾濫、別府湾の津波、急峻な山地の土砂災害、温泉地の地盤に留意。</t>
        </is>
      </c>
    </row>
    <row r="1625">
      <c r="A1625" t="inlineStr">
        <is>
          <t>大分県</t>
        </is>
      </c>
      <c r="B1625" t="inlineStr">
        <is>
          <t>宇佐市</t>
        </is>
      </c>
      <c r="C1625" t="n">
        <v>21490</v>
      </c>
      <c r="D1625" t="n">
        <v>49743</v>
      </c>
      <c r="E1625" s="6" t="n">
        <v>111.7</v>
      </c>
      <c r="F1625" s="7" t="n">
        <v>21.2</v>
      </c>
      <c r="G1625" t="n">
        <v>52771</v>
      </c>
      <c r="H1625" t="n">
        <v>49743</v>
      </c>
      <c r="I1625" t="n">
        <v>46741</v>
      </c>
      <c r="J1625" t="n">
        <v>38153</v>
      </c>
      <c r="K1625" s="27">
        <f>(H1625/D1625-1)</f>
        <v/>
      </c>
      <c r="L1625" s="27">
        <f>(I1625/D1625-1)</f>
        <v/>
      </c>
      <c r="M1625" s="27">
        <f>(J1625/D1625-1)</f>
        <v/>
      </c>
      <c r="N1625" t="n">
        <v>48.6</v>
      </c>
      <c r="O1625" s="28">
        <f>(N1625+F1625)/2</f>
        <v/>
      </c>
      <c r="P1625">
        <f>IF(O1625="計算不能","計算不能",IF(O1625&gt;=80,5,IF(O1625&gt;=60,4,IF(O1625&gt;=40,3,IF(O1625&gt;=28,2,1)))))</f>
        <v/>
      </c>
      <c r="Q1625" t="n">
        <v>7144</v>
      </c>
      <c r="R1625" t="n">
        <v>1850</v>
      </c>
      <c r="S1625" s="27">
        <f>R1625/Q1625</f>
        <v/>
      </c>
      <c r="T1625" t="inlineStr">
        <is>
          <t>宇佐市は2045年までに人口が約23.3%減と明確な減少トレンド。高齢化の進行と世帯数の縮小により、中長期では賃貸需要の構造的縮小に警戒が必要。</t>
        </is>
      </c>
      <c r="U1625" t="inlineStr">
        <is>
          <t>宇佐市は人口密度112人/km²と過疎的水準で、民間賃貸の新規需要は薄い。実需に裏付けられた格安戸建ての指値取得のみが現実的。 借家の空室率は約26%と供給過多気味で、空室長期化リスクに要警戒。</t>
        </is>
      </c>
      <c r="V1625" t="inlineStr">
        <is>
          <t>宇佐市（大分県）：大分川・大野川の氾濫、別府湾の津波、急峻な山地の土砂災害、温泉地の地盤に留意。</t>
        </is>
      </c>
    </row>
    <row r="1626">
      <c r="A1626" t="inlineStr">
        <is>
          <t>大分県</t>
        </is>
      </c>
      <c r="B1626" t="inlineStr">
        <is>
          <t>豊後大野市</t>
        </is>
      </c>
      <c r="C1626" t="n">
        <v>13370</v>
      </c>
      <c r="D1626" t="n">
        <v>30363</v>
      </c>
      <c r="E1626" s="6" t="n">
        <v>50.6</v>
      </c>
      <c r="F1626" s="7" t="n">
        <v>15.1</v>
      </c>
      <c r="G1626" t="n">
        <v>33695</v>
      </c>
      <c r="H1626" t="n">
        <v>30363</v>
      </c>
      <c r="I1626" t="n">
        <v>27448</v>
      </c>
      <c r="J1626" t="n">
        <v>20196</v>
      </c>
      <c r="K1626" s="27">
        <f>(H1626/D1626-1)</f>
        <v/>
      </c>
      <c r="L1626" s="27">
        <f>(I1626/D1626-1)</f>
        <v/>
      </c>
      <c r="M1626" s="27">
        <f>(J1626/D1626-1)</f>
        <v/>
      </c>
      <c r="N1626" t="n">
        <v>39.5</v>
      </c>
      <c r="O1626" s="28">
        <f>(N1626+F1626)/2</f>
        <v/>
      </c>
      <c r="P1626">
        <f>IF(O1626="計算不能","計算不能",IF(O1626&gt;=80,5,IF(O1626&gt;=60,4,IF(O1626&gt;=40,3,IF(O1626&gt;=28,2,1)))))</f>
        <v/>
      </c>
      <c r="Q1626" t="n">
        <v>4445</v>
      </c>
      <c r="R1626" t="n">
        <v>460</v>
      </c>
      <c r="S1626" s="27">
        <f>R1626/Q1626</f>
        <v/>
      </c>
      <c r="T1626" t="inlineStr">
        <is>
          <t>豊後大野市は2045年までに人口が約33.5%減と急激な過疎・超高齢化が進行。若年労働世代の流出と自然減が重なり、賃貸事業としての持続性は極めて限定的。</t>
        </is>
      </c>
      <c r="U1626" t="inlineStr">
        <is>
          <t>豊後大野市は人口密度51人/km²と過疎的水準で、民間賃貸の新規需要は薄い。実需に裏付けられた格安戸建ての指値取得のみが現実的。 借家の空室率は約10%と需給は比較的引き締まっている。</t>
        </is>
      </c>
      <c r="V1626" t="inlineStr">
        <is>
          <t>豊後大野市（大分県）：大分川・大野川の氾濫、別府湾の津波、急峻な山地の土砂災害、温泉地の地盤に留意。</t>
        </is>
      </c>
    </row>
    <row r="1627">
      <c r="A1627" t="inlineStr">
        <is>
          <t>大分県</t>
        </is>
      </c>
      <c r="B1627" t="inlineStr">
        <is>
          <t>由布市</t>
        </is>
      </c>
      <c r="C1627" t="n">
        <v>13010</v>
      </c>
      <c r="D1627" t="n">
        <v>31568</v>
      </c>
      <c r="E1627" s="6" t="n">
        <v>102.1</v>
      </c>
      <c r="F1627" s="7" t="n">
        <v>20.2</v>
      </c>
      <c r="G1627" t="n">
        <v>32772</v>
      </c>
      <c r="H1627" t="n">
        <v>31568</v>
      </c>
      <c r="I1627" t="n">
        <v>30359</v>
      </c>
      <c r="J1627" t="n">
        <v>26726</v>
      </c>
      <c r="K1627" s="27">
        <f>(H1627/D1627-1)</f>
        <v/>
      </c>
      <c r="L1627" s="27">
        <f>(I1627/D1627-1)</f>
        <v/>
      </c>
      <c r="M1627" s="27">
        <f>(J1627/D1627-1)</f>
        <v/>
      </c>
      <c r="N1627" t="n">
        <v>57.7</v>
      </c>
      <c r="O1627" s="28">
        <f>(N1627+F1627)/2</f>
        <v/>
      </c>
      <c r="P1627">
        <f>IF(O1627="計算不能","計算不能",IF(O1627&gt;=80,5,IF(O1627&gt;=60,4,IF(O1627&gt;=40,3,IF(O1627&gt;=28,2,1)))))</f>
        <v/>
      </c>
      <c r="Q1627" t="n">
        <v>4325</v>
      </c>
      <c r="R1627" t="n">
        <v>1420</v>
      </c>
      <c r="S1627" s="27">
        <f>R1627/Q1627</f>
        <v/>
      </c>
      <c r="T1627" t="inlineStr">
        <is>
          <t>由布市は2045年までに人口が約15.3%減と明確な減少トレンド。高齢化の進行と世帯数の縮小により、中長期では賃貸需要の構造的縮小に警戒が必要。</t>
        </is>
      </c>
      <c r="U1627" t="inlineStr">
        <is>
          <t>由布市は人口密度102人/km²と過疎的水準で、民間賃貸の新規需要は薄い。実需に裏付けられた格安戸建ての指値取得のみが現実的。 借家の空室率は約33%と供給過多気味で、空室長期化リスクに要警戒。</t>
        </is>
      </c>
      <c r="V1627" t="inlineStr">
        <is>
          <t>由布市（大分県）：大分川・大野川の氾濫、別府湾の津波、急峻な山地の土砂災害、温泉地の地盤に留意。</t>
        </is>
      </c>
    </row>
    <row r="1628">
      <c r="A1628" t="inlineStr">
        <is>
          <t>大分県</t>
        </is>
      </c>
      <c r="B1628" t="inlineStr">
        <is>
          <t>国東市</t>
        </is>
      </c>
      <c r="C1628" t="n">
        <v>11960</v>
      </c>
      <c r="D1628" t="n">
        <v>23895</v>
      </c>
      <c r="E1628" s="6" t="n">
        <v>74.40000000000001</v>
      </c>
      <c r="F1628" s="7" t="n">
        <v>17.4</v>
      </c>
      <c r="G1628" t="n">
        <v>26232</v>
      </c>
      <c r="H1628" t="n">
        <v>23895</v>
      </c>
      <c r="I1628" t="n">
        <v>21702</v>
      </c>
      <c r="J1628" t="n">
        <v>15859</v>
      </c>
      <c r="K1628" s="27">
        <f>(H1628/D1628-1)</f>
        <v/>
      </c>
      <c r="L1628" s="27">
        <f>(I1628/D1628-1)</f>
        <v/>
      </c>
      <c r="M1628" s="27">
        <f>(J1628/D1628-1)</f>
        <v/>
      </c>
      <c r="N1628" t="n">
        <v>40.5</v>
      </c>
      <c r="O1628" s="28">
        <f>(N1628+F1628)/2</f>
        <v/>
      </c>
      <c r="P1628">
        <f>IF(O1628="計算不能","計算不能",IF(O1628&gt;=80,5,IF(O1628&gt;=60,4,IF(O1628&gt;=40,3,IF(O1628&gt;=28,2,1)))))</f>
        <v/>
      </c>
      <c r="Q1628" t="n">
        <v>3976</v>
      </c>
      <c r="R1628" t="n">
        <v>1440</v>
      </c>
      <c r="S1628" s="27">
        <f>R1628/Q1628</f>
        <v/>
      </c>
      <c r="T1628" t="inlineStr">
        <is>
          <t>国東市は2045年までに人口が約33.6%減と急激な過疎・超高齢化が進行。若年労働世代の流出と自然減が重なり、賃貸事業としての持続性は極めて限定的。</t>
        </is>
      </c>
      <c r="U1628" t="inlineStr">
        <is>
          <t>国東市は人口密度74人/km²と過疎的水準で、民間賃貸の新規需要は薄い。実需に裏付けられた格安戸建ての指値取得のみが現実的。 借家の空室率は約36%と供給過多気味で、空室長期化リスクに要警戒。</t>
        </is>
      </c>
      <c r="V1628" t="inlineStr">
        <is>
          <t>国東市（大分県）：大分川・大野川の氾濫、別府湾の津波、急峻な山地の土砂災害、温泉地の地盤に留意。</t>
        </is>
      </c>
    </row>
    <row r="1629">
      <c r="A1629" t="inlineStr">
        <is>
          <t>大分県</t>
        </is>
      </c>
      <c r="B1629" t="inlineStr">
        <is>
          <t>姫島村</t>
        </is>
      </c>
      <c r="C1629" t="n">
        <v>853</v>
      </c>
      <c r="D1629" t="n">
        <v>1484</v>
      </c>
      <c r="E1629" s="6" t="n">
        <v>215</v>
      </c>
      <c r="F1629" s="7" t="n">
        <v>30.8</v>
      </c>
      <c r="G1629" t="n">
        <v>1725</v>
      </c>
      <c r="H1629" t="n">
        <v>1484</v>
      </c>
      <c r="I1629" t="n">
        <v>1272</v>
      </c>
      <c r="J1629" t="n">
        <v>715</v>
      </c>
      <c r="K1629" s="27">
        <f>(H1629/D1629-1)</f>
        <v/>
      </c>
      <c r="L1629" s="27">
        <f>(I1629/D1629-1)</f>
        <v/>
      </c>
      <c r="M1629" s="27">
        <f>(J1629/D1629-1)</f>
        <v/>
      </c>
      <c r="N1629" t="n">
        <v>30.6</v>
      </c>
      <c r="O1629" s="28">
        <f>(N1629+F1629)/2</f>
        <v/>
      </c>
      <c r="P1629">
        <f>IF(O1629="計算不能","計算不能",IF(O1629&gt;=80,5,IF(O1629&gt;=60,4,IF(O1629&gt;=40,3,IF(O1629&gt;=28,2,1)))))</f>
        <v/>
      </c>
      <c r="Q1629" t="n">
        <v>283</v>
      </c>
      <c r="R1629" t="n">
        <v>0</v>
      </c>
      <c r="S1629" s="27">
        <f>R1629/Q1629</f>
        <v/>
      </c>
      <c r="T1629" t="inlineStr">
        <is>
          <t>姫島村は2045年までに人口が約51.8%減と急激な過疎・超高齢化が進行。若年労働世代の流出と自然減が重なり、賃貸事業としての持続性は極めて限定的。</t>
        </is>
      </c>
      <c r="U1629" t="inlineStr">
        <is>
          <t>姫島村は人口密度215人/km²と低密度で、賃貸需要は限定的。持ち家比率が高く、駐車場完備の戸建て賃貸が有利。 借家の空室率は約0%と需給は比較的引き締まっている。</t>
        </is>
      </c>
      <c r="V1629" t="inlineStr">
        <is>
          <t>姫島村（大分県）：大分川・大野川の氾濫、別府湾の津波、急峻な山地の土砂災害、温泉地の地盤に留意。</t>
        </is>
      </c>
    </row>
    <row r="1630">
      <c r="A1630" t="inlineStr">
        <is>
          <t>大分県</t>
        </is>
      </c>
      <c r="B1630" t="inlineStr">
        <is>
          <t>日出町</t>
        </is>
      </c>
      <c r="C1630" t="n">
        <v>11360</v>
      </c>
      <c r="D1630" t="n">
        <v>27098</v>
      </c>
      <c r="E1630" s="6" t="n">
        <v>367.9</v>
      </c>
      <c r="F1630" s="7" t="n">
        <v>38.4</v>
      </c>
      <c r="G1630" t="n">
        <v>27723</v>
      </c>
      <c r="H1630" t="n">
        <v>27098</v>
      </c>
      <c r="I1630" t="n">
        <v>26377</v>
      </c>
      <c r="J1630" t="n">
        <v>24028</v>
      </c>
      <c r="K1630" s="27">
        <f>(H1630/D1630-1)</f>
        <v/>
      </c>
      <c r="L1630" s="27">
        <f>(I1630/D1630-1)</f>
        <v/>
      </c>
      <c r="M1630" s="27">
        <f>(J1630/D1630-1)</f>
        <v/>
      </c>
      <c r="N1630" t="n">
        <v>63.1</v>
      </c>
      <c r="O1630" s="28">
        <f>(N1630+F1630)/2</f>
        <v/>
      </c>
      <c r="P1630">
        <f>IF(O1630="計算不能","計算不能",IF(O1630&gt;=80,5,IF(O1630&gt;=60,4,IF(O1630&gt;=40,3,IF(O1630&gt;=28,2,1)))))</f>
        <v/>
      </c>
      <c r="Q1630" t="n">
        <v>3776</v>
      </c>
      <c r="R1630" t="n">
        <v>1100</v>
      </c>
      <c r="S1630" s="27">
        <f>R1630/Q1630</f>
        <v/>
      </c>
      <c r="T1630" t="inlineStr">
        <is>
          <t>日出町は2045年までに人口が約11.3%減と緩やかな減少局面。若年層の都市部流出と高齢化が進むが、当面の賃貸稼働は一定程度維持される見通し。</t>
        </is>
      </c>
      <c r="U1630" t="inlineStr">
        <is>
          <t>日出町は人口密度368人/km²と低密度で、賃貸需要は限定的。持ち家比率が高く、駐車場完備の戸建て賃貸が有利。 借家の空室率は約29%と供給過多気味で、空室長期化リスクに要警戒。</t>
        </is>
      </c>
      <c r="V1630" t="inlineStr">
        <is>
          <t>日出町（大分県）：大分川・大野川の氾濫、別府湾の津波、急峻な山地の土砂災害、温泉地の地盤に留意。</t>
        </is>
      </c>
    </row>
    <row r="1631">
      <c r="A1631" t="inlineStr">
        <is>
          <t>大分県</t>
        </is>
      </c>
      <c r="B1631" t="inlineStr">
        <is>
          <t>九重町</t>
        </is>
      </c>
      <c r="C1631" t="n">
        <v>3843</v>
      </c>
      <c r="D1631" t="n">
        <v>7690</v>
      </c>
      <c r="E1631" s="6" t="n">
        <v>27.5</v>
      </c>
      <c r="F1631" s="7" t="n">
        <v>12.8</v>
      </c>
      <c r="G1631" t="n">
        <v>8541</v>
      </c>
      <c r="H1631" t="n">
        <v>7690</v>
      </c>
      <c r="I1631" t="n">
        <v>6867</v>
      </c>
      <c r="J1631" t="n">
        <v>4758</v>
      </c>
      <c r="K1631" s="27">
        <f>(H1631/D1631-1)</f>
        <v/>
      </c>
      <c r="L1631" s="27">
        <f>(I1631/D1631-1)</f>
        <v/>
      </c>
      <c r="M1631" s="27">
        <f>(J1631/D1631-1)</f>
        <v/>
      </c>
      <c r="N1631" t="n">
        <v>38.1</v>
      </c>
      <c r="O1631" s="28">
        <f>(N1631+F1631)/2</f>
        <v/>
      </c>
      <c r="P1631">
        <f>IF(O1631="計算不能","計算不能",IF(O1631&gt;=80,5,IF(O1631&gt;=60,4,IF(O1631&gt;=40,3,IF(O1631&gt;=28,2,1)))))</f>
        <v/>
      </c>
      <c r="Q1631" t="n">
        <v>1277</v>
      </c>
      <c r="R1631" t="n">
        <v>0</v>
      </c>
      <c r="S1631" s="27">
        <f>R1631/Q1631</f>
        <v/>
      </c>
      <c r="T1631" t="inlineStr">
        <is>
          <t>九重町は2045年までに人口が約38.1%減と急激な過疎・超高齢化が進行。若年労働世代の流出と自然減が重なり、賃貸事業としての持続性は極めて限定的。</t>
        </is>
      </c>
      <c r="U1631" t="inlineStr">
        <is>
          <t>九重町は人口密度28人/km²と過疎的水準で、民間賃貸の新規需要は薄い。実需に裏付けられた格安戸建ての指値取得のみが現実的。 借家の空室率は約0%と需給は比較的引き締まっている。</t>
        </is>
      </c>
      <c r="V1631" t="inlineStr">
        <is>
          <t>九重町（大分県）：大分川・大野川の氾濫、別府湾の津波、急峻な山地の土砂災害、温泉地の地盤に留意。</t>
        </is>
      </c>
    </row>
    <row r="1632">
      <c r="A1632" t="inlineStr">
        <is>
          <t>大分県</t>
        </is>
      </c>
      <c r="B1632" t="inlineStr">
        <is>
          <t>玖珠町</t>
        </is>
      </c>
      <c r="C1632" t="n">
        <v>6534</v>
      </c>
      <c r="D1632" t="n">
        <v>12814</v>
      </c>
      <c r="E1632" s="6" t="n">
        <v>44.8</v>
      </c>
      <c r="F1632" s="7" t="n">
        <v>14.5</v>
      </c>
      <c r="G1632" t="n">
        <v>14386</v>
      </c>
      <c r="H1632" t="n">
        <v>12814</v>
      </c>
      <c r="I1632" t="n">
        <v>11628</v>
      </c>
      <c r="J1632" t="n">
        <v>8448</v>
      </c>
      <c r="K1632" s="27">
        <f>(H1632/D1632-1)</f>
        <v/>
      </c>
      <c r="L1632" s="27">
        <f>(I1632/D1632-1)</f>
        <v/>
      </c>
      <c r="M1632" s="27">
        <f>(J1632/D1632-1)</f>
        <v/>
      </c>
      <c r="N1632" t="n">
        <v>38.6</v>
      </c>
      <c r="O1632" s="28">
        <f>(N1632+F1632)/2</f>
        <v/>
      </c>
      <c r="P1632">
        <f>IF(O1632="計算不能","計算不能",IF(O1632&gt;=80,5,IF(O1632&gt;=60,4,IF(O1632&gt;=40,3,IF(O1632&gt;=28,2,1)))))</f>
        <v/>
      </c>
      <c r="Q1632" t="n">
        <v>2172</v>
      </c>
      <c r="R1632" t="n">
        <v>0</v>
      </c>
      <c r="S1632" s="27">
        <f>R1632/Q1632</f>
        <v/>
      </c>
      <c r="T1632" t="inlineStr">
        <is>
          <t>玖珠町は2045年までに人口が約34.1%減と急激な過疎・超高齢化が進行。若年労働世代の流出と自然減が重なり、賃貸事業としての持続性は極めて限定的。</t>
        </is>
      </c>
      <c r="U1632" t="inlineStr">
        <is>
          <t>玖珠町は人口密度45人/km²と過疎的水準で、民間賃貸の新規需要は薄い。実需に裏付けられた格安戸建ての指値取得のみが現実的。 借家の空室率は約0%と需給は比較的引き締まっている。</t>
        </is>
      </c>
      <c r="V1632" t="inlineStr">
        <is>
          <t>玖珠町（大分県）：大分川・大野川の氾濫、別府湾の津波、急峻な山地の土砂災害、温泉地の地盤に留意。</t>
        </is>
      </c>
    </row>
    <row r="1633">
      <c r="A1633" t="inlineStr">
        <is>
          <t>宮崎県</t>
        </is>
      </c>
      <c r="B1633" t="inlineStr">
        <is>
          <t>宮崎市</t>
        </is>
      </c>
      <c r="C1633" t="n">
        <v>186020</v>
      </c>
      <c r="D1633" t="n">
        <v>396765</v>
      </c>
      <c r="E1633" s="6" t="n">
        <v>605.7</v>
      </c>
      <c r="F1633" s="7" t="n">
        <v>47.1</v>
      </c>
      <c r="G1633" t="n">
        <v>401339</v>
      </c>
      <c r="H1633" t="n">
        <v>396765</v>
      </c>
      <c r="I1633" t="n">
        <v>389824</v>
      </c>
      <c r="J1633" t="n">
        <v>360485</v>
      </c>
      <c r="K1633" s="27">
        <f>(H1633/D1633-1)</f>
        <v/>
      </c>
      <c r="L1633" s="27">
        <f>(I1633/D1633-1)</f>
        <v/>
      </c>
      <c r="M1633" s="27">
        <f>(J1633/D1633-1)</f>
        <v/>
      </c>
      <c r="N1633" t="n">
        <v>67</v>
      </c>
      <c r="O1633" s="28">
        <f>(N1633+F1633)/2</f>
        <v/>
      </c>
      <c r="P1633">
        <f>IF(O1633="計算不能","計算不能",IF(O1633&gt;=80,5,IF(O1633&gt;=60,4,IF(O1633&gt;=40,3,IF(O1633&gt;=28,2,1)))))</f>
        <v/>
      </c>
      <c r="Q1633" t="n">
        <v>57898</v>
      </c>
      <c r="R1633" t="n">
        <v>15800</v>
      </c>
      <c r="S1633" s="27">
        <f>R1633/Q1633</f>
        <v/>
      </c>
      <c r="T1633" t="inlineStr">
        <is>
          <t>宮崎市は2045年までに人口が約9.1%減と緩やかな減少局面。若年層の都市部流出と高齢化が進むが、当面の賃貸稼働は一定程度維持される見通し。</t>
        </is>
      </c>
      <c r="U1633" t="inlineStr">
        <is>
          <t>宮崎市は人口密度606人/km²で、主要道路沿いや中心市街地に一定の賃貸需要が局在。立地選別が稼働を左右する。 借家の空室率は約27%と供給過多気味で、空室長期化リスクに要警戒。</t>
        </is>
      </c>
      <c r="V1633" t="inlineStr">
        <is>
          <t>宮崎市（宮崎県）：南海トラフ津波の想定が深刻。大淀川の氾濫、台風常襲と土砂災害に最大級の留意。</t>
        </is>
      </c>
    </row>
    <row r="1634">
      <c r="A1634" t="inlineStr">
        <is>
          <t>宮崎県</t>
        </is>
      </c>
      <c r="B1634" t="inlineStr">
        <is>
          <t>都城市</t>
        </is>
      </c>
      <c r="C1634" t="n">
        <v>71070</v>
      </c>
      <c r="D1634" t="n">
        <v>154967</v>
      </c>
      <c r="E1634" s="6" t="n">
        <v>245.4</v>
      </c>
      <c r="F1634" s="7" t="n">
        <v>32.3</v>
      </c>
      <c r="G1634" t="n">
        <v>160640</v>
      </c>
      <c r="H1634" t="n">
        <v>154967</v>
      </c>
      <c r="I1634" t="n">
        <v>148793</v>
      </c>
      <c r="J1634" t="n">
        <v>130912</v>
      </c>
      <c r="K1634" s="27">
        <f>(H1634/D1634-1)</f>
        <v/>
      </c>
      <c r="L1634" s="27">
        <f>(I1634/D1634-1)</f>
        <v/>
      </c>
      <c r="M1634" s="27">
        <f>(J1634/D1634-1)</f>
        <v/>
      </c>
      <c r="N1634" t="n">
        <v>57.8</v>
      </c>
      <c r="O1634" s="28">
        <f>(N1634+F1634)/2</f>
        <v/>
      </c>
      <c r="P1634">
        <f>IF(O1634="計算不能","計算不能",IF(O1634&gt;=80,5,IF(O1634&gt;=60,4,IF(O1634&gt;=40,3,IF(O1634&gt;=28,2,1)))))</f>
        <v/>
      </c>
      <c r="Q1634" t="n">
        <v>22120</v>
      </c>
      <c r="R1634" t="n">
        <v>4740</v>
      </c>
      <c r="S1634" s="27">
        <f>R1634/Q1634</f>
        <v/>
      </c>
      <c r="T1634" t="inlineStr">
        <is>
          <t>都城市は2045年までに人口が約15.5%減と明確な減少トレンド。高齢化の進行と世帯数の縮小により、中長期では賃貸需要の構造的縮小に警戒が必要。</t>
        </is>
      </c>
      <c r="U1634" t="inlineStr">
        <is>
          <t>都城市は人口密度245人/km²と低密度で、賃貸需要は限定的。持ち家比率が高く、駐車場完備の戸建て賃貸が有利。 借家の空室率は約21%とやや高めで、競合との差別化が必要。</t>
        </is>
      </c>
      <c r="V1634" t="inlineStr">
        <is>
          <t>都城市（宮崎県）：南海トラフ津波の想定が深刻。大淀川の氾濫、台風常襲と土砂災害に最大級の留意。</t>
        </is>
      </c>
    </row>
    <row r="1635">
      <c r="A1635" t="inlineStr">
        <is>
          <t>宮崎県</t>
        </is>
      </c>
      <c r="B1635" t="inlineStr">
        <is>
          <t>延岡市</t>
        </is>
      </c>
      <c r="C1635" t="n">
        <v>51540</v>
      </c>
      <c r="D1635" t="n">
        <v>110251</v>
      </c>
      <c r="E1635" s="6" t="n">
        <v>126.3</v>
      </c>
      <c r="F1635" s="7" t="n">
        <v>22.6</v>
      </c>
      <c r="G1635" t="n">
        <v>118394</v>
      </c>
      <c r="H1635" t="n">
        <v>110251</v>
      </c>
      <c r="I1635" t="n">
        <v>103055</v>
      </c>
      <c r="J1635" t="n">
        <v>82570</v>
      </c>
      <c r="K1635" s="27">
        <f>(H1635/D1635-1)</f>
        <v/>
      </c>
      <c r="L1635" s="27">
        <f>(I1635/D1635-1)</f>
        <v/>
      </c>
      <c r="M1635" s="27">
        <f>(J1635/D1635-1)</f>
        <v/>
      </c>
      <c r="N1635" t="n">
        <v>45.3</v>
      </c>
      <c r="O1635" s="28">
        <f>(N1635+F1635)/2</f>
        <v/>
      </c>
      <c r="P1635">
        <f>IF(O1635="計算不能","計算不能",IF(O1635&gt;=80,5,IF(O1635&gt;=60,4,IF(O1635&gt;=40,3,IF(O1635&gt;=28,2,1)))))</f>
        <v/>
      </c>
      <c r="Q1635" t="n">
        <v>16041</v>
      </c>
      <c r="R1635" t="n">
        <v>3230</v>
      </c>
      <c r="S1635" s="27">
        <f>R1635/Q1635</f>
        <v/>
      </c>
      <c r="T1635" t="inlineStr">
        <is>
          <t>延岡市は2045年までに人口が約25.1%減と明確な減少トレンド。高齢化の進行と世帯数の縮小により、中長期では賃貸需要の構造的縮小に警戒が必要。</t>
        </is>
      </c>
      <c r="U1635" t="inlineStr">
        <is>
          <t>延岡市は人口密度126人/km²と過疎的水準で、民間賃貸の新規需要は薄い。実需に裏付けられた格安戸建ての指値取得のみが現実的。 借家の空室率は約20%とやや高めで、競合との差別化が必要。</t>
        </is>
      </c>
      <c r="V1635" t="inlineStr">
        <is>
          <t>延岡市（宮崎県）：南海トラフ津波の想定が深刻。大淀川の氾濫、台風常襲と土砂災害に最大級の留意。</t>
        </is>
      </c>
    </row>
    <row r="1636">
      <c r="A1636" t="inlineStr">
        <is>
          <t>宮崎県</t>
        </is>
      </c>
      <c r="B1636" t="inlineStr">
        <is>
          <t>日南市</t>
        </is>
      </c>
      <c r="C1636" t="n">
        <v>21020</v>
      </c>
      <c r="D1636" t="n">
        <v>46510</v>
      </c>
      <c r="E1636" s="6" t="n">
        <v>85.7</v>
      </c>
      <c r="F1636" s="7" t="n">
        <v>18.6</v>
      </c>
      <c r="G1636" t="n">
        <v>50848</v>
      </c>
      <c r="H1636" t="n">
        <v>46510</v>
      </c>
      <c r="I1636" t="n">
        <v>42753</v>
      </c>
      <c r="J1636" t="n">
        <v>32534</v>
      </c>
      <c r="K1636" s="27">
        <f>(H1636/D1636-1)</f>
        <v/>
      </c>
      <c r="L1636" s="27">
        <f>(I1636/D1636-1)</f>
        <v/>
      </c>
      <c r="M1636" s="27">
        <f>(J1636/D1636-1)</f>
        <v/>
      </c>
      <c r="N1636" t="n">
        <v>42</v>
      </c>
      <c r="O1636" s="28">
        <f>(N1636+F1636)/2</f>
        <v/>
      </c>
      <c r="P1636">
        <f>IF(O1636="計算不能","計算不能",IF(O1636&gt;=80,5,IF(O1636&gt;=60,4,IF(O1636&gt;=40,3,IF(O1636&gt;=28,2,1)))))</f>
        <v/>
      </c>
      <c r="Q1636" t="n">
        <v>6542</v>
      </c>
      <c r="R1636" t="n">
        <v>1440</v>
      </c>
      <c r="S1636" s="27">
        <f>R1636/Q1636</f>
        <v/>
      </c>
      <c r="T1636" t="inlineStr">
        <is>
          <t>日南市は2045年までに人口が約30.0%減と急激な過疎・超高齢化が進行。若年労働世代の流出と自然減が重なり、賃貸事業としての持続性は極めて限定的。</t>
        </is>
      </c>
      <c r="U1636" t="inlineStr">
        <is>
          <t>日南市は人口密度86人/km²と過疎的水準で、民間賃貸の新規需要は薄い。実需に裏付けられた格安戸建ての指値取得のみが現実的。 借家の空室率は約22%とやや高めで、競合との差別化が必要。</t>
        </is>
      </c>
      <c r="V1636" t="inlineStr">
        <is>
          <t>日南市（宮崎県）：南海トラフ津波の想定が深刻。大淀川の氾濫、台風常襲と土砂災害に最大級の留意。</t>
        </is>
      </c>
    </row>
    <row r="1637">
      <c r="A1637" t="inlineStr">
        <is>
          <t>宮崎県</t>
        </is>
      </c>
      <c r="B1637" t="inlineStr">
        <is>
          <t>小林市</t>
        </is>
      </c>
      <c r="C1637" t="n">
        <v>18350</v>
      </c>
      <c r="D1637" t="n">
        <v>41151</v>
      </c>
      <c r="E1637" s="6" t="n">
        <v>71.3</v>
      </c>
      <c r="F1637" s="7" t="n">
        <v>17.1</v>
      </c>
      <c r="G1637" t="n">
        <v>43670</v>
      </c>
      <c r="H1637" t="n">
        <v>41151</v>
      </c>
      <c r="I1637" t="n">
        <v>38553</v>
      </c>
      <c r="J1637" t="n">
        <v>31318</v>
      </c>
      <c r="K1637" s="27">
        <f>(H1637/D1637-1)</f>
        <v/>
      </c>
      <c r="L1637" s="27">
        <f>(I1637/D1637-1)</f>
        <v/>
      </c>
      <c r="M1637" s="27">
        <f>(J1637/D1637-1)</f>
        <v/>
      </c>
      <c r="N1637" t="n">
        <v>48</v>
      </c>
      <c r="O1637" s="28">
        <f>(N1637+F1637)/2</f>
        <v/>
      </c>
      <c r="P1637">
        <f>IF(O1637="計算不能","計算不能",IF(O1637&gt;=80,5,IF(O1637&gt;=60,4,IF(O1637&gt;=40,3,IF(O1637&gt;=28,2,1)))))</f>
        <v/>
      </c>
      <c r="Q1637" t="n">
        <v>5711</v>
      </c>
      <c r="R1637" t="n">
        <v>860</v>
      </c>
      <c r="S1637" s="27">
        <f>R1637/Q1637</f>
        <v/>
      </c>
      <c r="T1637" t="inlineStr">
        <is>
          <t>小林市は2045年までに人口が約23.9%減と明確な減少トレンド。高齢化の進行と世帯数の縮小により、中長期では賃貸需要の構造的縮小に警戒が必要。</t>
        </is>
      </c>
      <c r="U1637" t="inlineStr">
        <is>
          <t>小林市は人口密度71人/km²と過疎的水準で、民間賃貸の新規需要は薄い。実需に裏付けられた格安戸建ての指値取得のみが現実的。 借家の空室率は約15%と需給は比較的引き締まっている。</t>
        </is>
      </c>
      <c r="V1637" t="inlineStr">
        <is>
          <t>小林市（宮崎県）：南海トラフ津波の想定が深刻。大淀川の氾濫、台風常襲と土砂災害に最大級の留意。</t>
        </is>
      </c>
    </row>
    <row r="1638">
      <c r="A1638" t="inlineStr">
        <is>
          <t>宮崎県</t>
        </is>
      </c>
      <c r="B1638" t="inlineStr">
        <is>
          <t>日向市</t>
        </is>
      </c>
      <c r="C1638" t="n">
        <v>24700</v>
      </c>
      <c r="D1638" t="n">
        <v>55965</v>
      </c>
      <c r="E1638" s="6" t="n">
        <v>166.4</v>
      </c>
      <c r="F1638" s="7" t="n">
        <v>26.6</v>
      </c>
      <c r="G1638" t="n">
        <v>59629</v>
      </c>
      <c r="H1638" t="n">
        <v>55965</v>
      </c>
      <c r="I1638" t="n">
        <v>53288</v>
      </c>
      <c r="J1638" t="n">
        <v>45109</v>
      </c>
      <c r="K1638" s="27">
        <f>(H1638/D1638-1)</f>
        <v/>
      </c>
      <c r="L1638" s="27">
        <f>(I1638/D1638-1)</f>
        <v/>
      </c>
      <c r="M1638" s="27">
        <f>(J1638/D1638-1)</f>
        <v/>
      </c>
      <c r="N1638" t="n">
        <v>50.5</v>
      </c>
      <c r="O1638" s="28">
        <f>(N1638+F1638)/2</f>
        <v/>
      </c>
      <c r="P1638">
        <f>IF(O1638="計算不能","計算不能",IF(O1638&gt;=80,5,IF(O1638&gt;=60,4,IF(O1638&gt;=40,3,IF(O1638&gt;=28,2,1)))))</f>
        <v/>
      </c>
      <c r="Q1638" t="n">
        <v>7687</v>
      </c>
      <c r="R1638" t="n">
        <v>1570</v>
      </c>
      <c r="S1638" s="27">
        <f>R1638/Q1638</f>
        <v/>
      </c>
      <c r="T1638" t="inlineStr">
        <is>
          <t>日向市は2045年までに人口が約19.4%減と明確な減少トレンド。高齢化の進行と世帯数の縮小により、中長期では賃貸需要の構造的縮小に警戒が必要。</t>
        </is>
      </c>
      <c r="U1638" t="inlineStr">
        <is>
          <t>日向市は人口密度166人/km²と過疎的水準で、民間賃貸の新規需要は薄い。実需に裏付けられた格安戸建ての指値取得のみが現実的。 借家の空室率は約20%とやや高めで、競合との差別化が必要。</t>
        </is>
      </c>
      <c r="V1638" t="inlineStr">
        <is>
          <t>日向市（宮崎県）：南海トラフ津波の想定が深刻。大淀川の氾濫、台風常襲と土砂災害に最大級の留意。</t>
        </is>
      </c>
    </row>
    <row r="1639">
      <c r="A1639" t="inlineStr">
        <is>
          <t>宮崎県</t>
        </is>
      </c>
      <c r="B1639" t="inlineStr">
        <is>
          <t>串間市</t>
        </is>
      </c>
      <c r="C1639" t="n">
        <v>6570</v>
      </c>
      <c r="D1639" t="n">
        <v>14835</v>
      </c>
      <c r="E1639" s="6" t="n">
        <v>50.1</v>
      </c>
      <c r="F1639" s="7" t="n">
        <v>15</v>
      </c>
      <c r="G1639" t="n">
        <v>16822</v>
      </c>
      <c r="H1639" t="n">
        <v>14835</v>
      </c>
      <c r="I1639" t="n">
        <v>13163</v>
      </c>
      <c r="J1639" t="n">
        <v>9278</v>
      </c>
      <c r="K1639" s="27">
        <f>(H1639/D1639-1)</f>
        <v/>
      </c>
      <c r="L1639" s="27">
        <f>(I1639/D1639-1)</f>
        <v/>
      </c>
      <c r="M1639" s="27">
        <f>(J1639/D1639-1)</f>
        <v/>
      </c>
      <c r="N1639" t="n">
        <v>36.5</v>
      </c>
      <c r="O1639" s="28">
        <f>(N1639+F1639)/2</f>
        <v/>
      </c>
      <c r="P1639">
        <f>IF(O1639="計算不能","計算不能",IF(O1639&gt;=80,5,IF(O1639&gt;=60,4,IF(O1639&gt;=40,3,IF(O1639&gt;=28,2,1)))))</f>
        <v/>
      </c>
      <c r="Q1639" t="n">
        <v>2044</v>
      </c>
      <c r="R1639" t="n">
        <v>400</v>
      </c>
      <c r="S1639" s="27">
        <f>R1639/Q1639</f>
        <v/>
      </c>
      <c r="T1639" t="inlineStr">
        <is>
          <t>串間市は2045年までに人口が約37.5%減と急激な過疎・超高齢化が進行。若年労働世代の流出と自然減が重なり、賃貸事業としての持続性は極めて限定的。</t>
        </is>
      </c>
      <c r="U1639" t="inlineStr">
        <is>
          <t>串間市は人口密度50人/km²と過疎的水準で、民間賃貸の新規需要は薄い。実需に裏付けられた格安戸建ての指値取得のみが現実的。 借家の空室率は約20%とやや高めで、競合との差別化が必要。</t>
        </is>
      </c>
      <c r="V1639" t="inlineStr">
        <is>
          <t>串間市（宮崎県）：南海トラフ津波の想定が深刻。大淀川の氾濫、台風常襲と土砂災害に最大級の留意。</t>
        </is>
      </c>
    </row>
    <row r="1640">
      <c r="A1640" t="inlineStr">
        <is>
          <t>宮崎県</t>
        </is>
      </c>
      <c r="B1640" t="inlineStr">
        <is>
          <t>西都市</t>
        </is>
      </c>
      <c r="C1640" t="n">
        <v>11740</v>
      </c>
      <c r="D1640" t="n">
        <v>26518</v>
      </c>
      <c r="E1640" s="6" t="n">
        <v>60.6</v>
      </c>
      <c r="F1640" s="7" t="n">
        <v>16.1</v>
      </c>
      <c r="G1640" t="n">
        <v>28610</v>
      </c>
      <c r="H1640" t="n">
        <v>26518</v>
      </c>
      <c r="I1640" t="n">
        <v>24532</v>
      </c>
      <c r="J1640" t="n">
        <v>18775</v>
      </c>
      <c r="K1640" s="27">
        <f>(H1640/D1640-1)</f>
        <v/>
      </c>
      <c r="L1640" s="27">
        <f>(I1640/D1640-1)</f>
        <v/>
      </c>
      <c r="M1640" s="27">
        <f>(J1640/D1640-1)</f>
        <v/>
      </c>
      <c r="N1640" t="n">
        <v>43.5</v>
      </c>
      <c r="O1640" s="28">
        <f>(N1640+F1640)/2</f>
        <v/>
      </c>
      <c r="P1640">
        <f>IF(O1640="計算不能","計算不能",IF(O1640&gt;=80,5,IF(O1640&gt;=60,4,IF(O1640&gt;=40,3,IF(O1640&gt;=28,2,1)))))</f>
        <v/>
      </c>
      <c r="Q1640" t="n">
        <v>3654</v>
      </c>
      <c r="R1640" t="n">
        <v>730</v>
      </c>
      <c r="S1640" s="27">
        <f>R1640/Q1640</f>
        <v/>
      </c>
      <c r="T1640" t="inlineStr">
        <is>
          <t>西都市は2045年までに人口が約29.2%減と明確な減少トレンド。高齢化の進行と世帯数の縮小により、中長期では賃貸需要の構造的縮小に警戒が必要。</t>
        </is>
      </c>
      <c r="U1640" t="inlineStr">
        <is>
          <t>西都市は人口密度61人/km²と過疎的水準で、民間賃貸の新規需要は薄い。実需に裏付けられた格安戸建ての指値取得のみが現実的。 借家の空室率は約20%とやや高めで、競合との差別化が必要。</t>
        </is>
      </c>
      <c r="V1640" t="inlineStr">
        <is>
          <t>西都市（宮崎県）：南海トラフ津波の想定が深刻。大淀川の氾濫、台風常襲と土砂災害に最大級の留意。</t>
        </is>
      </c>
    </row>
    <row r="1641">
      <c r="A1641" t="inlineStr">
        <is>
          <t>宮崎県</t>
        </is>
      </c>
      <c r="B1641" t="inlineStr">
        <is>
          <t>えびの市</t>
        </is>
      </c>
      <c r="C1641" t="n">
        <v>7600</v>
      </c>
      <c r="D1641" t="n">
        <v>15645</v>
      </c>
      <c r="E1641" s="6" t="n">
        <v>55.2</v>
      </c>
      <c r="F1641" s="7" t="n">
        <v>15.5</v>
      </c>
      <c r="G1641" t="n">
        <v>17638</v>
      </c>
      <c r="H1641" t="n">
        <v>15645</v>
      </c>
      <c r="I1641" t="n">
        <v>14061</v>
      </c>
      <c r="J1641" t="n">
        <v>10018</v>
      </c>
      <c r="K1641" s="27">
        <f>(H1641/D1641-1)</f>
        <v/>
      </c>
      <c r="L1641" s="27">
        <f>(I1641/D1641-1)</f>
        <v/>
      </c>
      <c r="M1641" s="27">
        <f>(J1641/D1641-1)</f>
        <v/>
      </c>
      <c r="N1641" t="n">
        <v>37.6</v>
      </c>
      <c r="O1641" s="28">
        <f>(N1641+F1641)/2</f>
        <v/>
      </c>
      <c r="P1641">
        <f>IF(O1641="計算不能","計算不能",IF(O1641&gt;=80,5,IF(O1641&gt;=60,4,IF(O1641&gt;=40,3,IF(O1641&gt;=28,2,1)))))</f>
        <v/>
      </c>
      <c r="Q1641" t="n">
        <v>2365</v>
      </c>
      <c r="R1641" t="n">
        <v>340</v>
      </c>
      <c r="S1641" s="27">
        <f>R1641/Q1641</f>
        <v/>
      </c>
      <c r="T1641" t="inlineStr">
        <is>
          <t>えびの市は2045年までに人口が約36.0%減と急激な過疎・超高齢化が進行。若年労働世代の流出と自然減が重なり、賃貸事業としての持続性は極めて限定的。</t>
        </is>
      </c>
      <c r="U1641" t="inlineStr">
        <is>
          <t>えびの市は人口密度55人/km²と過疎的水準で、民間賃貸の新規需要は薄い。実需に裏付けられた格安戸建ての指値取得のみが現実的。 借家の空室率は約14%と需給は比較的引き締まっている。</t>
        </is>
      </c>
      <c r="V1641" t="inlineStr">
        <is>
          <t>えびの市（宮崎県）：南海トラフ津波の想定が深刻。大淀川の氾濫、台風常襲と土砂災害に最大級の留意。</t>
        </is>
      </c>
    </row>
    <row r="1642">
      <c r="A1642" t="inlineStr">
        <is>
          <t>宮崎県</t>
        </is>
      </c>
      <c r="B1642" t="inlineStr">
        <is>
          <t>三股町</t>
        </is>
      </c>
      <c r="C1642" t="n">
        <v>10300</v>
      </c>
      <c r="D1642" t="n">
        <v>25393</v>
      </c>
      <c r="E1642" s="6" t="n">
        <v>227</v>
      </c>
      <c r="F1642" s="7" t="n">
        <v>31.4</v>
      </c>
      <c r="G1642" t="n">
        <v>25591</v>
      </c>
      <c r="H1642" t="n">
        <v>25393</v>
      </c>
      <c r="I1642" t="n">
        <v>24911</v>
      </c>
      <c r="J1642" t="n">
        <v>23013</v>
      </c>
      <c r="K1642" s="27">
        <f>(H1642/D1642-1)</f>
        <v/>
      </c>
      <c r="L1642" s="27">
        <f>(I1642/D1642-1)</f>
        <v/>
      </c>
      <c r="M1642" s="27">
        <f>(J1642/D1642-1)</f>
        <v/>
      </c>
      <c r="N1642" t="n">
        <v>67.5</v>
      </c>
      <c r="O1642" s="28">
        <f>(N1642+F1642)/2</f>
        <v/>
      </c>
      <c r="P1642">
        <f>IF(O1642="計算不能","計算不能",IF(O1642&gt;=80,5,IF(O1642&gt;=60,4,IF(O1642&gt;=40,3,IF(O1642&gt;=28,2,1)))))</f>
        <v/>
      </c>
      <c r="Q1642" t="n">
        <v>3205</v>
      </c>
      <c r="R1642" t="n">
        <v>310</v>
      </c>
      <c r="S1642" s="27">
        <f>R1642/Q1642</f>
        <v/>
      </c>
      <c r="T1642" t="inlineStr">
        <is>
          <t>三股町は2045年までに人口が約9.4%減と緩やかな減少局面。若年層の都市部流出と高齢化が進むが、当面の賃貸稼働は一定程度維持される見通し。</t>
        </is>
      </c>
      <c r="U1642" t="inlineStr">
        <is>
          <t>三股町は人口密度227人/km²と低密度で、賃貸需要は限定的。持ち家比率が高く、駐車場完備の戸建て賃貸が有利。 借家の空室率は約10%と需給は比較的引き締まっている。</t>
        </is>
      </c>
      <c r="V1642" t="inlineStr">
        <is>
          <t>三股町（宮崎県）：南海トラフ津波の想定が深刻。大淀川の氾濫、台風常襲と土砂災害に最大級の留意。</t>
        </is>
      </c>
    </row>
    <row r="1643">
      <c r="A1643" t="inlineStr">
        <is>
          <t>宮崎県</t>
        </is>
      </c>
      <c r="B1643" t="inlineStr">
        <is>
          <t>高原町</t>
        </is>
      </c>
      <c r="C1643" t="n">
        <v>4307</v>
      </c>
      <c r="D1643" t="n">
        <v>7956</v>
      </c>
      <c r="E1643" s="6" t="n">
        <v>90.2</v>
      </c>
      <c r="F1643" s="7" t="n">
        <v>19</v>
      </c>
      <c r="G1643" t="n">
        <v>8639</v>
      </c>
      <c r="H1643" t="n">
        <v>7956</v>
      </c>
      <c r="I1643" t="n">
        <v>7266</v>
      </c>
      <c r="J1643" t="n">
        <v>5384</v>
      </c>
      <c r="K1643" s="27">
        <f>(H1643/D1643-1)</f>
        <v/>
      </c>
      <c r="L1643" s="27">
        <f>(I1643/D1643-1)</f>
        <v/>
      </c>
      <c r="M1643" s="27">
        <f>(J1643/D1643-1)</f>
        <v/>
      </c>
      <c r="N1643" t="n">
        <v>41.9</v>
      </c>
      <c r="O1643" s="28">
        <f>(N1643+F1643)/2</f>
        <v/>
      </c>
      <c r="P1643">
        <f>IF(O1643="計算不能","計算不能",IF(O1643&gt;=80,5,IF(O1643&gt;=60,4,IF(O1643&gt;=40,3,IF(O1643&gt;=28,2,1)))))</f>
        <v/>
      </c>
      <c r="Q1643" t="n">
        <v>1340</v>
      </c>
      <c r="R1643" t="n">
        <v>0</v>
      </c>
      <c r="S1643" s="27">
        <f>R1643/Q1643</f>
        <v/>
      </c>
      <c r="T1643" t="inlineStr">
        <is>
          <t>高原町は2045年までに人口が約32.3%減と急激な過疎・超高齢化が進行。若年労働世代の流出と自然減が重なり、賃貸事業としての持続性は極めて限定的。</t>
        </is>
      </c>
      <c r="U1643" t="inlineStr">
        <is>
          <t>高原町は人口密度90人/km²と過疎的水準で、民間賃貸の新規需要は薄い。実需に裏付けられた格安戸建ての指値取得のみが現実的。 借家の空室率は約0%と需給は比較的引き締まっている。</t>
        </is>
      </c>
      <c r="V1643" t="inlineStr">
        <is>
          <t>高原町（宮崎県）：南海トラフ津波の想定が深刻。大淀川の氾濫、台風常襲と土砂災害に最大級の留意。</t>
        </is>
      </c>
    </row>
    <row r="1644">
      <c r="A1644" t="inlineStr">
        <is>
          <t>宮崎県</t>
        </is>
      </c>
      <c r="B1644" t="inlineStr">
        <is>
          <t>国富町</t>
        </is>
      </c>
      <c r="C1644" t="n">
        <v>7490</v>
      </c>
      <c r="D1644" t="n">
        <v>17235</v>
      </c>
      <c r="E1644" s="6" t="n">
        <v>134.3</v>
      </c>
      <c r="F1644" s="7" t="n">
        <v>23.4</v>
      </c>
      <c r="G1644" t="n">
        <v>18398</v>
      </c>
      <c r="H1644" t="n">
        <v>17235</v>
      </c>
      <c r="I1644" t="n">
        <v>16000</v>
      </c>
      <c r="J1644" t="n">
        <v>12182</v>
      </c>
      <c r="K1644" s="27">
        <f>(H1644/D1644-1)</f>
        <v/>
      </c>
      <c r="L1644" s="27">
        <f>(I1644/D1644-1)</f>
        <v/>
      </c>
      <c r="M1644" s="27">
        <f>(J1644/D1644-1)</f>
        <v/>
      </c>
      <c r="N1644" t="n">
        <v>44.5</v>
      </c>
      <c r="O1644" s="28">
        <f>(N1644+F1644)/2</f>
        <v/>
      </c>
      <c r="P1644">
        <f>IF(O1644="計算不能","計算不能",IF(O1644&gt;=80,5,IF(O1644&gt;=60,4,IF(O1644&gt;=40,3,IF(O1644&gt;=28,2,1)))))</f>
        <v/>
      </c>
      <c r="Q1644" t="n">
        <v>2331</v>
      </c>
      <c r="R1644" t="n">
        <v>300</v>
      </c>
      <c r="S1644" s="27">
        <f>R1644/Q1644</f>
        <v/>
      </c>
      <c r="T1644" t="inlineStr">
        <is>
          <t>国富町は2045年までに人口が約29.3%減と明確な減少トレンド。高齢化の進行と世帯数の縮小により、中長期では賃貸需要の構造的縮小に警戒が必要。</t>
        </is>
      </c>
      <c r="U1644" t="inlineStr">
        <is>
          <t>国富町は人口密度134人/km²と過疎的水準で、民間賃貸の新規需要は薄い。実需に裏付けられた格安戸建ての指値取得のみが現実的。 借家の空室率は約13%と需給は比較的引き締まっている。</t>
        </is>
      </c>
      <c r="V1644" t="inlineStr">
        <is>
          <t>国富町（宮崎県）：南海トラフ津波の想定が深刻。大淀川の氾濫、台風常襲と土砂災害に最大級の留意。</t>
        </is>
      </c>
    </row>
    <row r="1645">
      <c r="A1645" t="inlineStr">
        <is>
          <t>宮崎県</t>
        </is>
      </c>
      <c r="B1645" t="inlineStr">
        <is>
          <t>綾町</t>
        </is>
      </c>
      <c r="C1645" t="n">
        <v>3219</v>
      </c>
      <c r="D1645" t="n">
        <v>6638</v>
      </c>
      <c r="E1645" s="6" t="n">
        <v>68.2</v>
      </c>
      <c r="F1645" s="7" t="n">
        <v>16.8</v>
      </c>
      <c r="G1645" t="n">
        <v>6934</v>
      </c>
      <c r="H1645" t="n">
        <v>6638</v>
      </c>
      <c r="I1645" t="n">
        <v>6260</v>
      </c>
      <c r="J1645" t="n">
        <v>5232</v>
      </c>
      <c r="K1645" s="27">
        <f>(H1645/D1645-1)</f>
        <v/>
      </c>
      <c r="L1645" s="27">
        <f>(I1645/D1645-1)</f>
        <v/>
      </c>
      <c r="M1645" s="27">
        <f>(J1645/D1645-1)</f>
        <v/>
      </c>
      <c r="N1645" t="n">
        <v>52.5</v>
      </c>
      <c r="O1645" s="28">
        <f>(N1645+F1645)/2</f>
        <v/>
      </c>
      <c r="P1645">
        <f>IF(O1645="計算不能","計算不能",IF(O1645&gt;=80,5,IF(O1645&gt;=60,4,IF(O1645&gt;=40,3,IF(O1645&gt;=28,2,1)))))</f>
        <v/>
      </c>
      <c r="Q1645" t="n">
        <v>1001</v>
      </c>
      <c r="R1645" t="n">
        <v>0</v>
      </c>
      <c r="S1645" s="27">
        <f>R1645/Q1645</f>
        <v/>
      </c>
      <c r="T1645" t="inlineStr">
        <is>
          <t>綾町は2045年までに人口が約21.2%減と明確な減少トレンド。高齢化の進行と世帯数の縮小により、中長期では賃貸需要の構造的縮小に警戒が必要。</t>
        </is>
      </c>
      <c r="U1645" t="inlineStr">
        <is>
          <t>綾町は人口密度68人/km²と過疎的水準で、民間賃貸の新規需要は薄い。実需に裏付けられた格安戸建ての指値取得のみが現実的。 借家の空室率は約0%と需給は比較的引き締まっている。</t>
        </is>
      </c>
      <c r="V1645" t="inlineStr">
        <is>
          <t>綾町（宮崎県）：南海トラフ津波の想定が深刻。大淀川の氾濫、台風常襲と土砂災害に最大級の留意。</t>
        </is>
      </c>
    </row>
    <row r="1646">
      <c r="A1646" t="inlineStr">
        <is>
          <t>宮崎県</t>
        </is>
      </c>
      <c r="B1646" t="inlineStr">
        <is>
          <t>高鍋町</t>
        </is>
      </c>
      <c r="C1646" t="n">
        <v>8730</v>
      </c>
      <c r="D1646" t="n">
        <v>18976</v>
      </c>
      <c r="E1646" s="6" t="n">
        <v>426.5</v>
      </c>
      <c r="F1646" s="7" t="n">
        <v>41.3</v>
      </c>
      <c r="G1646" t="n">
        <v>19922</v>
      </c>
      <c r="H1646" t="n">
        <v>18976</v>
      </c>
      <c r="I1646" t="n">
        <v>17951</v>
      </c>
      <c r="J1646" t="n">
        <v>14892</v>
      </c>
      <c r="K1646" s="27">
        <f>(H1646/D1646-1)</f>
        <v/>
      </c>
      <c r="L1646" s="27">
        <f>(I1646/D1646-1)</f>
        <v/>
      </c>
      <c r="M1646" s="27">
        <f>(J1646/D1646-1)</f>
        <v/>
      </c>
      <c r="N1646" t="n">
        <v>51.7</v>
      </c>
      <c r="O1646" s="28">
        <f>(N1646+F1646)/2</f>
        <v/>
      </c>
      <c r="P1646">
        <f>IF(O1646="計算不能","計算不能",IF(O1646&gt;=80,5,IF(O1646&gt;=60,4,IF(O1646&gt;=40,3,IF(O1646&gt;=28,2,1)))))</f>
        <v/>
      </c>
      <c r="Q1646" t="n">
        <v>2717</v>
      </c>
      <c r="R1646" t="n">
        <v>710</v>
      </c>
      <c r="S1646" s="27">
        <f>R1646/Q1646</f>
        <v/>
      </c>
      <c r="T1646" t="inlineStr">
        <is>
          <t>高鍋町は2045年までに人口が約21.5%減と明確な減少トレンド。高齢化の進行と世帯数の縮小により、中長期では賃貸需要の構造的縮小に警戒が必要。</t>
        </is>
      </c>
      <c r="U1646" t="inlineStr">
        <is>
          <t>高鍋町は人口密度426人/km²と低密度で、賃貸需要は限定的。持ち家比率が高く、駐車場完備の戸建て賃貸が有利。 借家の空室率は約26%と供給過多気味で、空室長期化リスクに要警戒。</t>
        </is>
      </c>
      <c r="V1646" t="inlineStr">
        <is>
          <t>高鍋町（宮崎県）：南海トラフ津波の想定が深刻。大淀川の氾濫、台風常襲と土砂災害に最大級の留意。</t>
        </is>
      </c>
    </row>
    <row r="1647">
      <c r="A1647" t="inlineStr">
        <is>
          <t>宮崎県</t>
        </is>
      </c>
      <c r="B1647" t="inlineStr">
        <is>
          <t>新富町</t>
        </is>
      </c>
      <c r="C1647" t="n">
        <v>6220</v>
      </c>
      <c r="D1647" t="n">
        <v>15746</v>
      </c>
      <c r="E1647" s="6" t="n">
        <v>256.9</v>
      </c>
      <c r="F1647" s="7" t="n">
        <v>32.8</v>
      </c>
      <c r="G1647" t="n">
        <v>16564</v>
      </c>
      <c r="H1647" t="n">
        <v>15746</v>
      </c>
      <c r="I1647" t="n">
        <v>14864</v>
      </c>
      <c r="J1647" t="n">
        <v>12173</v>
      </c>
      <c r="K1647" s="27">
        <f>(H1647/D1647-1)</f>
        <v/>
      </c>
      <c r="L1647" s="27">
        <f>(I1647/D1647-1)</f>
        <v/>
      </c>
      <c r="M1647" s="27">
        <f>(J1647/D1647-1)</f>
        <v/>
      </c>
      <c r="N1647" t="n">
        <v>50.6</v>
      </c>
      <c r="O1647" s="28">
        <f>(N1647+F1647)/2</f>
        <v/>
      </c>
      <c r="P1647">
        <f>IF(O1647="計算不能","計算不能",IF(O1647&gt;=80,5,IF(O1647&gt;=60,4,IF(O1647&gt;=40,3,IF(O1647&gt;=28,2,1)))))</f>
        <v/>
      </c>
      <c r="Q1647" t="n">
        <v>1935</v>
      </c>
      <c r="R1647" t="n">
        <v>440</v>
      </c>
      <c r="S1647" s="27">
        <f>R1647/Q1647</f>
        <v/>
      </c>
      <c r="T1647" t="inlineStr">
        <is>
          <t>新富町は2045年までに人口が約22.7%減と明確な減少トレンド。高齢化の進行と世帯数の縮小により、中長期では賃貸需要の構造的縮小に警戒が必要。</t>
        </is>
      </c>
      <c r="U1647" t="inlineStr">
        <is>
          <t>新富町は人口密度257人/km²と低密度で、賃貸需要は限定的。持ち家比率が高く、駐車場完備の戸建て賃貸が有利。 借家の空室率は約23%とやや高めで、競合との差別化が必要。</t>
        </is>
      </c>
      <c r="V1647" t="inlineStr">
        <is>
          <t>新富町（宮崎県）：南海トラフ津波の想定が深刻。大淀川の氾濫、台風常襲と土砂災害に最大級の留意。</t>
        </is>
      </c>
    </row>
    <row r="1648">
      <c r="A1648" t="inlineStr">
        <is>
          <t>宮崎県</t>
        </is>
      </c>
      <c r="B1648" t="inlineStr">
        <is>
          <t>西米良村</t>
        </is>
      </c>
      <c r="C1648" t="n">
        <v>523</v>
      </c>
      <c r="D1648" t="n">
        <v>886</v>
      </c>
      <c r="E1648" s="6" t="n">
        <v>3.3</v>
      </c>
      <c r="F1648" s="7" t="n">
        <v>10.3</v>
      </c>
      <c r="G1648" t="n">
        <v>1000</v>
      </c>
      <c r="H1648" t="n">
        <v>886</v>
      </c>
      <c r="I1648" t="n">
        <v>794</v>
      </c>
      <c r="J1648" t="n">
        <v>604</v>
      </c>
      <c r="K1648" s="27">
        <f>(H1648/D1648-1)</f>
        <v/>
      </c>
      <c r="L1648" s="27">
        <f>(I1648/D1648-1)</f>
        <v/>
      </c>
      <c r="M1648" s="27">
        <f>(J1648/D1648-1)</f>
        <v/>
      </c>
      <c r="N1648" t="n">
        <v>38.3</v>
      </c>
      <c r="O1648" s="28">
        <f>(N1648+F1648)/2</f>
        <v/>
      </c>
      <c r="P1648">
        <f>IF(O1648="計算不能","計算不能",IF(O1648&gt;=80,5,IF(O1648&gt;=60,4,IF(O1648&gt;=40,3,IF(O1648&gt;=28,2,1)))))</f>
        <v/>
      </c>
      <c r="Q1648" t="n">
        <v>162</v>
      </c>
      <c r="R1648" t="n">
        <v>0</v>
      </c>
      <c r="S1648" s="27">
        <f>R1648/Q1648</f>
        <v/>
      </c>
      <c r="T1648" t="inlineStr">
        <is>
          <t>西米良村は2045年までに人口が約31.8%減と急激な過疎・超高齢化が進行。若年労働世代の流出と自然減が重なり、賃貸事業としての持続性は極めて限定的。</t>
        </is>
      </c>
      <c r="U1648" t="inlineStr">
        <is>
          <t>西米良村は人口密度3人/km²と過疎的水準で、民間賃貸の新規需要は薄い。実需に裏付けられた格安戸建ての指値取得のみが現実的。 借家の空室率は約0%と需給は比較的引き締まっている。</t>
        </is>
      </c>
      <c r="V1648" t="inlineStr">
        <is>
          <t>西米良村（宮崎県）：南海トラフ津波の想定が深刻。大淀川の氾濫、台風常襲と土砂災害に最大級の留意。</t>
        </is>
      </c>
    </row>
    <row r="1649">
      <c r="A1649" t="inlineStr">
        <is>
          <t>宮崎県</t>
        </is>
      </c>
      <c r="B1649" t="inlineStr">
        <is>
          <t>木城町</t>
        </is>
      </c>
      <c r="C1649" t="n">
        <v>2187</v>
      </c>
      <c r="D1649" t="n">
        <v>4596</v>
      </c>
      <c r="E1649" s="6" t="n">
        <v>30.6</v>
      </c>
      <c r="F1649" s="7" t="n">
        <v>13.1</v>
      </c>
      <c r="G1649" t="n">
        <v>4895</v>
      </c>
      <c r="H1649" t="n">
        <v>4596</v>
      </c>
      <c r="I1649" t="n">
        <v>4262</v>
      </c>
      <c r="J1649" t="n">
        <v>3393</v>
      </c>
      <c r="K1649" s="27">
        <f>(H1649/D1649-1)</f>
        <v/>
      </c>
      <c r="L1649" s="27">
        <f>(I1649/D1649-1)</f>
        <v/>
      </c>
      <c r="M1649" s="27">
        <f>(J1649/D1649-1)</f>
        <v/>
      </c>
      <c r="N1649" t="n">
        <v>45.7</v>
      </c>
      <c r="O1649" s="28">
        <f>(N1649+F1649)/2</f>
        <v/>
      </c>
      <c r="P1649">
        <f>IF(O1649="計算不能","計算不能",IF(O1649&gt;=80,5,IF(O1649&gt;=60,4,IF(O1649&gt;=40,3,IF(O1649&gt;=28,2,1)))))</f>
        <v/>
      </c>
      <c r="Q1649" t="n">
        <v>680</v>
      </c>
      <c r="R1649" t="n">
        <v>0</v>
      </c>
      <c r="S1649" s="27">
        <f>R1649/Q1649</f>
        <v/>
      </c>
      <c r="T1649" t="inlineStr">
        <is>
          <t>木城町は2045年までに人口が約26.2%減と明確な減少トレンド。高齢化の進行と世帯数の縮小により、中長期では賃貸需要の構造的縮小に警戒が必要。</t>
        </is>
      </c>
      <c r="U1649" t="inlineStr">
        <is>
          <t>木城町は人口密度31人/km²と過疎的水準で、民間賃貸の新規需要は薄い。実需に裏付けられた格安戸建ての指値取得のみが現実的。 借家の空室率は約0%と需給は比較的引き締まっている。</t>
        </is>
      </c>
      <c r="V1649" t="inlineStr">
        <is>
          <t>木城町（宮崎県）：南海トラフ津波の想定が深刻。大淀川の氾濫、台風常襲と土砂災害に最大級の留意。</t>
        </is>
      </c>
    </row>
    <row r="1650">
      <c r="A1650" t="inlineStr">
        <is>
          <t>宮崎県</t>
        </is>
      </c>
      <c r="B1650" t="inlineStr">
        <is>
          <t>川南町</t>
        </is>
      </c>
      <c r="C1650" t="n">
        <v>5780</v>
      </c>
      <c r="D1650" t="n">
        <v>14213</v>
      </c>
      <c r="E1650" s="6" t="n">
        <v>155.5</v>
      </c>
      <c r="F1650" s="7" t="n">
        <v>25.6</v>
      </c>
      <c r="G1650" t="n">
        <v>15194</v>
      </c>
      <c r="H1650" t="n">
        <v>14213</v>
      </c>
      <c r="I1650" t="n">
        <v>13259</v>
      </c>
      <c r="J1650" t="n">
        <v>10547</v>
      </c>
      <c r="K1650" s="27">
        <f>(H1650/D1650-1)</f>
        <v/>
      </c>
      <c r="L1650" s="27">
        <f>(I1650/D1650-1)</f>
        <v/>
      </c>
      <c r="M1650" s="27">
        <f>(J1650/D1650-1)</f>
        <v/>
      </c>
      <c r="N1650" t="n">
        <v>45.6</v>
      </c>
      <c r="O1650" s="28">
        <f>(N1650+F1650)/2</f>
        <v/>
      </c>
      <c r="P1650">
        <f>IF(O1650="計算不能","計算不能",IF(O1650&gt;=80,5,IF(O1650&gt;=60,4,IF(O1650&gt;=40,3,IF(O1650&gt;=28,2,1)))))</f>
        <v/>
      </c>
      <c r="Q1650" t="n">
        <v>1799</v>
      </c>
      <c r="R1650" t="n">
        <v>360</v>
      </c>
      <c r="S1650" s="27">
        <f>R1650/Q1650</f>
        <v/>
      </c>
      <c r="T1650" t="inlineStr">
        <is>
          <t>川南町は2045年までに人口が約25.8%減と明確な減少トレンド。高齢化の進行と世帯数の縮小により、中長期では賃貸需要の構造的縮小に警戒が必要。</t>
        </is>
      </c>
      <c r="U1650" t="inlineStr">
        <is>
          <t>川南町は人口密度156人/km²と過疎的水準で、民間賃貸の新規需要は薄い。実需に裏付けられた格安戸建ての指値取得のみが現実的。 借家の空室率は約20%とやや高めで、競合との差別化が必要。</t>
        </is>
      </c>
      <c r="V1650" t="inlineStr">
        <is>
          <t>川南町（宮崎県）：南海トラフ津波の想定が深刻。大淀川の氾濫、台風常襲と土砂災害に最大級の留意。</t>
        </is>
      </c>
    </row>
    <row r="1651">
      <c r="A1651" t="inlineStr">
        <is>
          <t>宮崎県</t>
        </is>
      </c>
      <c r="B1651" t="inlineStr">
        <is>
          <t>都農町</t>
        </is>
      </c>
      <c r="C1651" t="n">
        <v>4793</v>
      </c>
      <c r="D1651" t="n">
        <v>9238</v>
      </c>
      <c r="E1651" s="6" t="n">
        <v>91.59999999999999</v>
      </c>
      <c r="F1651" s="7" t="n">
        <v>19.2</v>
      </c>
      <c r="G1651" t="n">
        <v>9906</v>
      </c>
      <c r="H1651" t="n">
        <v>9238</v>
      </c>
      <c r="I1651" t="n">
        <v>8570</v>
      </c>
      <c r="J1651" t="n">
        <v>6642</v>
      </c>
      <c r="K1651" s="27">
        <f>(H1651/D1651-1)</f>
        <v/>
      </c>
      <c r="L1651" s="27">
        <f>(I1651/D1651-1)</f>
        <v/>
      </c>
      <c r="M1651" s="27">
        <f>(J1651/D1651-1)</f>
        <v/>
      </c>
      <c r="N1651" t="n">
        <v>44.3</v>
      </c>
      <c r="O1651" s="28">
        <f>(N1651+F1651)/2</f>
        <v/>
      </c>
      <c r="P1651">
        <f>IF(O1651="計算不能","計算不能",IF(O1651&gt;=80,5,IF(O1651&gt;=60,4,IF(O1651&gt;=40,3,IF(O1651&gt;=28,2,1)))))</f>
        <v/>
      </c>
      <c r="Q1651" t="n">
        <v>1491</v>
      </c>
      <c r="R1651" t="n">
        <v>0</v>
      </c>
      <c r="S1651" s="27">
        <f>R1651/Q1651</f>
        <v/>
      </c>
      <c r="T1651" t="inlineStr">
        <is>
          <t>都農町は2045年までに人口が約28.1%減と明確な減少トレンド。高齢化の進行と世帯数の縮小により、中長期では賃貸需要の構造的縮小に警戒が必要。</t>
        </is>
      </c>
      <c r="U1651" t="inlineStr">
        <is>
          <t>都農町は人口密度92人/km²と過疎的水準で、民間賃貸の新規需要は薄い。実需に裏付けられた格安戸建ての指値取得のみが現実的。 借家の空室率は約0%と需給は比較的引き締まっている。</t>
        </is>
      </c>
      <c r="V1651" t="inlineStr">
        <is>
          <t>都農町（宮崎県）：南海トラフ津波の想定が深刻。大淀川の氾濫、台風常襲と土砂災害に最大級の留意。</t>
        </is>
      </c>
    </row>
    <row r="1652">
      <c r="A1652" t="inlineStr">
        <is>
          <t>宮崎県</t>
        </is>
      </c>
      <c r="B1652" t="inlineStr">
        <is>
          <t>門川町</t>
        </is>
      </c>
      <c r="C1652" t="n">
        <v>7070</v>
      </c>
      <c r="D1652" t="n">
        <v>16305</v>
      </c>
      <c r="E1652" s="6" t="n">
        <v>134.2</v>
      </c>
      <c r="F1652" s="7" t="n">
        <v>23.4</v>
      </c>
      <c r="G1652" t="n">
        <v>17379</v>
      </c>
      <c r="H1652" t="n">
        <v>16305</v>
      </c>
      <c r="I1652" t="n">
        <v>15353</v>
      </c>
      <c r="J1652" t="n">
        <v>12409</v>
      </c>
      <c r="K1652" s="27">
        <f>(H1652/D1652-1)</f>
        <v/>
      </c>
      <c r="L1652" s="27">
        <f>(I1652/D1652-1)</f>
        <v/>
      </c>
      <c r="M1652" s="27">
        <f>(J1652/D1652-1)</f>
        <v/>
      </c>
      <c r="N1652" t="n">
        <v>47.6</v>
      </c>
      <c r="O1652" s="28">
        <f>(N1652+F1652)/2</f>
        <v/>
      </c>
      <c r="P1652">
        <f>IF(O1652="計算不能","計算不能",IF(O1652&gt;=80,5,IF(O1652&gt;=60,4,IF(O1652&gt;=40,3,IF(O1652&gt;=28,2,1)))))</f>
        <v/>
      </c>
      <c r="Q1652" t="n">
        <v>2200</v>
      </c>
      <c r="R1652" t="n">
        <v>70</v>
      </c>
      <c r="S1652" s="27">
        <f>R1652/Q1652</f>
        <v/>
      </c>
      <c r="T1652" t="inlineStr">
        <is>
          <t>門川町は2045年までに人口が約23.9%減と明確な減少トレンド。高齢化の進行と世帯数の縮小により、中長期では賃貸需要の構造的縮小に警戒が必要。</t>
        </is>
      </c>
      <c r="U1652" t="inlineStr">
        <is>
          <t>門川町は人口密度134人/km²と過疎的水準で、民間賃貸の新規需要は薄い。実需に裏付けられた格安戸建ての指値取得のみが現実的。 借家の空室率は約3%と需給は比較的引き締まっている。</t>
        </is>
      </c>
      <c r="V1652" t="inlineStr">
        <is>
          <t>門川町（宮崎県）：南海トラフ津波の想定が深刻。大淀川の氾濫、台風常襲と土砂災害に最大級の留意。</t>
        </is>
      </c>
    </row>
    <row r="1653">
      <c r="A1653" t="inlineStr">
        <is>
          <t>宮崎県</t>
        </is>
      </c>
      <c r="B1653" t="inlineStr">
        <is>
          <t>諸塚村</t>
        </is>
      </c>
      <c r="C1653" t="n">
        <v>656</v>
      </c>
      <c r="D1653" t="n">
        <v>1312</v>
      </c>
      <c r="E1653" s="6" t="n">
        <v>6.7</v>
      </c>
      <c r="F1653" s="7" t="n">
        <v>10.7</v>
      </c>
      <c r="G1653" t="n">
        <v>1486</v>
      </c>
      <c r="H1653" t="n">
        <v>1312</v>
      </c>
      <c r="I1653" t="n">
        <v>1154</v>
      </c>
      <c r="J1653" t="n">
        <v>777</v>
      </c>
      <c r="K1653" s="27">
        <f>(H1653/D1653-1)</f>
        <v/>
      </c>
      <c r="L1653" s="27">
        <f>(I1653/D1653-1)</f>
        <v/>
      </c>
      <c r="M1653" s="27">
        <f>(J1653/D1653-1)</f>
        <v/>
      </c>
      <c r="N1653" t="n">
        <v>35.6</v>
      </c>
      <c r="O1653" s="28">
        <f>(N1653+F1653)/2</f>
        <v/>
      </c>
      <c r="P1653">
        <f>IF(O1653="計算不能","計算不能",IF(O1653&gt;=80,5,IF(O1653&gt;=60,4,IF(O1653&gt;=40,3,IF(O1653&gt;=28,2,1)))))</f>
        <v/>
      </c>
      <c r="Q1653" t="n">
        <v>204</v>
      </c>
      <c r="R1653" t="n">
        <v>0</v>
      </c>
      <c r="S1653" s="27">
        <f>R1653/Q1653</f>
        <v/>
      </c>
      <c r="T1653" t="inlineStr">
        <is>
          <t>諸塚村は2045年までに人口が約40.8%減と急激な過疎・超高齢化が進行。若年労働世代の流出と自然減が重なり、賃貸事業としての持続性は極めて限定的。</t>
        </is>
      </c>
      <c r="U1653" t="inlineStr">
        <is>
          <t>諸塚村は人口密度7人/km²と過疎的水準で、民間賃貸の新規需要は薄い。実需に裏付けられた格安戸建ての指値取得のみが現実的。 借家の空室率は約0%と需給は比較的引き締まっている。</t>
        </is>
      </c>
      <c r="V1653" t="inlineStr">
        <is>
          <t>諸塚村（宮崎県）：南海トラフ津波の想定が深刻。大淀川の氾濫、台風常襲と土砂災害に最大級の留意。</t>
        </is>
      </c>
    </row>
    <row r="1654">
      <c r="A1654" t="inlineStr">
        <is>
          <t>宮崎県</t>
        </is>
      </c>
      <c r="B1654" t="inlineStr">
        <is>
          <t>椎葉村</t>
        </is>
      </c>
      <c r="C1654" t="n">
        <v>1146</v>
      </c>
      <c r="D1654" t="n">
        <v>2155</v>
      </c>
      <c r="E1654" s="6" t="n">
        <v>4.1</v>
      </c>
      <c r="F1654" s="7" t="n">
        <v>10.4</v>
      </c>
      <c r="G1654" t="n">
        <v>2503</v>
      </c>
      <c r="H1654" t="n">
        <v>2155</v>
      </c>
      <c r="I1654" t="n">
        <v>1863</v>
      </c>
      <c r="J1654" t="n">
        <v>1238</v>
      </c>
      <c r="K1654" s="27">
        <f>(H1654/D1654-1)</f>
        <v/>
      </c>
      <c r="L1654" s="27">
        <f>(I1654/D1654-1)</f>
        <v/>
      </c>
      <c r="M1654" s="27">
        <f>(J1654/D1654-1)</f>
        <v/>
      </c>
      <c r="N1654" t="n">
        <v>32.9</v>
      </c>
      <c r="O1654" s="28">
        <f>(N1654+F1654)/2</f>
        <v/>
      </c>
      <c r="P1654">
        <f>IF(O1654="計算不能","計算不能",IF(O1654&gt;=80,5,IF(O1654&gt;=60,4,IF(O1654&gt;=40,3,IF(O1654&gt;=28,2,1)))))</f>
        <v/>
      </c>
      <c r="Q1654" t="n">
        <v>356</v>
      </c>
      <c r="R1654" t="n">
        <v>0</v>
      </c>
      <c r="S1654" s="27">
        <f>R1654/Q1654</f>
        <v/>
      </c>
      <c r="T1654" t="inlineStr">
        <is>
          <t>椎葉村は2045年までに人口が約42.6%減と急激な過疎・超高齢化が進行。若年労働世代の流出と自然減が重なり、賃貸事業としての持続性は極めて限定的。</t>
        </is>
      </c>
      <c r="U1654" t="inlineStr">
        <is>
          <t>椎葉村は人口密度4人/km²と過疎的水準で、民間賃貸の新規需要は薄い。実需に裏付けられた格安戸建ての指値取得のみが現実的。 借家の空室率は約0%と需給は比較的引き締まっている。</t>
        </is>
      </c>
      <c r="V1654" t="inlineStr">
        <is>
          <t>椎葉村（宮崎県）：南海トラフ津波の想定が深刻。大淀川の氾濫、台風常襲と土砂災害に最大級の留意。</t>
        </is>
      </c>
    </row>
    <row r="1655">
      <c r="A1655" t="inlineStr">
        <is>
          <t>宮崎県</t>
        </is>
      </c>
      <c r="B1655" t="inlineStr">
        <is>
          <t>美郷町</t>
        </is>
      </c>
      <c r="C1655" t="n">
        <v>2393</v>
      </c>
      <c r="D1655" t="n">
        <v>4233</v>
      </c>
      <c r="E1655" s="6" t="n">
        <v>9.1</v>
      </c>
      <c r="F1655" s="7" t="n">
        <v>10.9</v>
      </c>
      <c r="G1655" t="n">
        <v>4826</v>
      </c>
      <c r="H1655" t="n">
        <v>4233</v>
      </c>
      <c r="I1655" t="n">
        <v>3722</v>
      </c>
      <c r="J1655" t="n">
        <v>2451</v>
      </c>
      <c r="K1655" s="27">
        <f>(H1655/D1655-1)</f>
        <v/>
      </c>
      <c r="L1655" s="27">
        <f>(I1655/D1655-1)</f>
        <v/>
      </c>
      <c r="M1655" s="27">
        <f>(J1655/D1655-1)</f>
        <v/>
      </c>
      <c r="N1655" t="n">
        <v>34.8</v>
      </c>
      <c r="O1655" s="28">
        <f>(N1655+F1655)/2</f>
        <v/>
      </c>
      <c r="P1655">
        <f>IF(O1655="計算不能","計算不能",IF(O1655&gt;=80,5,IF(O1655&gt;=60,4,IF(O1655&gt;=40,3,IF(O1655&gt;=28,2,1)))))</f>
        <v/>
      </c>
      <c r="Q1655" t="n">
        <v>744</v>
      </c>
      <c r="R1655" t="n">
        <v>0</v>
      </c>
      <c r="S1655" s="27">
        <f>R1655/Q1655</f>
        <v/>
      </c>
      <c r="T1655" t="inlineStr">
        <is>
          <t>美郷町は2045年までに人口が約42.1%減と急激な過疎・超高齢化が進行。若年労働世代の流出と自然減が重なり、賃貸事業としての持続性は極めて限定的。</t>
        </is>
      </c>
      <c r="U1655" t="inlineStr">
        <is>
          <t>美郷町は人口密度9人/km²と過疎的水準で、民間賃貸の新規需要は薄い。実需に裏付けられた格安戸建ての指値取得のみが現実的。 借家の空室率は約0%と需給は比較的引き締まっている。</t>
        </is>
      </c>
      <c r="V1655" t="inlineStr">
        <is>
          <t>美郷町（宮崎県）：南海トラフ津波の想定が深刻。大淀川の氾濫、台風常襲と土砂災害に最大級の留意。</t>
        </is>
      </c>
    </row>
    <row r="1656">
      <c r="A1656" t="inlineStr">
        <is>
          <t>宮崎県</t>
        </is>
      </c>
      <c r="B1656" t="inlineStr">
        <is>
          <t>高千穂町</t>
        </is>
      </c>
      <c r="C1656" t="n">
        <v>4848</v>
      </c>
      <c r="D1656" t="n">
        <v>10302</v>
      </c>
      <c r="E1656" s="6" t="n">
        <v>43.7</v>
      </c>
      <c r="F1656" s="7" t="n">
        <v>14.4</v>
      </c>
      <c r="G1656" t="n">
        <v>11642</v>
      </c>
      <c r="H1656" t="n">
        <v>10302</v>
      </c>
      <c r="I1656" t="n">
        <v>9231</v>
      </c>
      <c r="J1656" t="n">
        <v>6610</v>
      </c>
      <c r="K1656" s="27">
        <f>(H1656/D1656-1)</f>
        <v/>
      </c>
      <c r="L1656" s="27">
        <f>(I1656/D1656-1)</f>
        <v/>
      </c>
      <c r="M1656" s="27">
        <f>(J1656/D1656-1)</f>
        <v/>
      </c>
      <c r="N1656" t="n">
        <v>37.3</v>
      </c>
      <c r="O1656" s="28">
        <f>(N1656+F1656)/2</f>
        <v/>
      </c>
      <c r="P1656">
        <f>IF(O1656="計算不能","計算不能",IF(O1656&gt;=80,5,IF(O1656&gt;=60,4,IF(O1656&gt;=40,3,IF(O1656&gt;=28,2,1)))))</f>
        <v/>
      </c>
      <c r="Q1656" t="n">
        <v>1508</v>
      </c>
      <c r="R1656" t="n">
        <v>0</v>
      </c>
      <c r="S1656" s="27">
        <f>R1656/Q1656</f>
        <v/>
      </c>
      <c r="T1656" t="inlineStr">
        <is>
          <t>高千穂町は2045年までに人口が約35.8%減と急激な過疎・超高齢化が進行。若年労働世代の流出と自然減が重なり、賃貸事業としての持続性は極めて限定的。</t>
        </is>
      </c>
      <c r="U1656" t="inlineStr">
        <is>
          <t>高千穂町は人口密度44人/km²と過疎的水準で、民間賃貸の新規需要は薄い。実需に裏付けられた格安戸建ての指値取得のみが現実的。 借家の空室率は約0%と需給は比較的引き締まっている。</t>
        </is>
      </c>
      <c r="V1656" t="inlineStr">
        <is>
          <t>高千穂町（宮崎県）：南海トラフ津波の想定が深刻。大淀川の氾濫、台風常襲と土砂災害に最大級の留意。</t>
        </is>
      </c>
    </row>
    <row r="1657">
      <c r="A1657" t="inlineStr">
        <is>
          <t>宮崎県</t>
        </is>
      </c>
      <c r="B1657" t="inlineStr">
        <is>
          <t>日之影町</t>
        </is>
      </c>
      <c r="C1657" t="n">
        <v>1572</v>
      </c>
      <c r="D1657" t="n">
        <v>3235</v>
      </c>
      <c r="E1657" s="6" t="n">
        <v>11.2</v>
      </c>
      <c r="F1657" s="7" t="n">
        <v>11.1</v>
      </c>
      <c r="G1657" t="n">
        <v>3635</v>
      </c>
      <c r="H1657" t="n">
        <v>3235</v>
      </c>
      <c r="I1657" t="n">
        <v>2893</v>
      </c>
      <c r="J1657" t="n">
        <v>2025</v>
      </c>
      <c r="K1657" s="27">
        <f>(H1657/D1657-1)</f>
        <v/>
      </c>
      <c r="L1657" s="27">
        <f>(I1657/D1657-1)</f>
        <v/>
      </c>
      <c r="M1657" s="27">
        <f>(J1657/D1657-1)</f>
        <v/>
      </c>
      <c r="N1657" t="n">
        <v>37.4</v>
      </c>
      <c r="O1657" s="28">
        <f>(N1657+F1657)/2</f>
        <v/>
      </c>
      <c r="P1657">
        <f>IF(O1657="計算不能","計算不能",IF(O1657&gt;=80,5,IF(O1657&gt;=60,4,IF(O1657&gt;=40,3,IF(O1657&gt;=28,2,1)))))</f>
        <v/>
      </c>
      <c r="Q1657" t="n">
        <v>489</v>
      </c>
      <c r="R1657" t="n">
        <v>0</v>
      </c>
      <c r="S1657" s="27">
        <f>R1657/Q1657</f>
        <v/>
      </c>
      <c r="T1657" t="inlineStr">
        <is>
          <t>日之影町は2045年までに人口が約37.4%減と急激な過疎・超高齢化が進行。若年労働世代の流出と自然減が重なり、賃貸事業としての持続性は極めて限定的。</t>
        </is>
      </c>
      <c r="U1657" t="inlineStr">
        <is>
          <t>日之影町は人口密度11人/km²と過疎的水準で、民間賃貸の新規需要は薄い。実需に裏付けられた格安戸建ての指値取得のみが現実的。 借家の空室率は約0%と需給は比較的引き締まっている。</t>
        </is>
      </c>
      <c r="V1657" t="inlineStr">
        <is>
          <t>日之影町（宮崎県）：南海トラフ津波の想定が深刻。大淀川の氾濫、台風常襲と土砂災害に最大級の留意。</t>
        </is>
      </c>
    </row>
    <row r="1658">
      <c r="A1658" t="inlineStr">
        <is>
          <t>宮崎県</t>
        </is>
      </c>
      <c r="B1658" t="inlineStr">
        <is>
          <t>五ヶ瀬町</t>
        </is>
      </c>
      <c r="C1658" t="n">
        <v>1482</v>
      </c>
      <c r="D1658" t="n">
        <v>3090</v>
      </c>
      <c r="E1658" s="6" t="n">
        <v>17.6</v>
      </c>
      <c r="F1658" s="7" t="n">
        <v>11.8</v>
      </c>
      <c r="G1658" t="n">
        <v>3472</v>
      </c>
      <c r="H1658" t="n">
        <v>3090</v>
      </c>
      <c r="I1658" t="n">
        <v>2754</v>
      </c>
      <c r="J1658" t="n">
        <v>1929</v>
      </c>
      <c r="K1658" s="27">
        <f>(H1658/D1658-1)</f>
        <v/>
      </c>
      <c r="L1658" s="27">
        <f>(I1658/D1658-1)</f>
        <v/>
      </c>
      <c r="M1658" s="27">
        <f>(J1658/D1658-1)</f>
        <v/>
      </c>
      <c r="N1658" t="n">
        <v>37.3</v>
      </c>
      <c r="O1658" s="28">
        <f>(N1658+F1658)/2</f>
        <v/>
      </c>
      <c r="P1658">
        <f>IF(O1658="計算不能","計算不能",IF(O1658&gt;=80,5,IF(O1658&gt;=60,4,IF(O1658&gt;=40,3,IF(O1658&gt;=28,2,1)))))</f>
        <v/>
      </c>
      <c r="Q1658" t="n">
        <v>461</v>
      </c>
      <c r="R1658" t="n">
        <v>0</v>
      </c>
      <c r="S1658" s="27">
        <f>R1658/Q1658</f>
        <v/>
      </c>
      <c r="T1658" t="inlineStr">
        <is>
          <t>五ヶ瀬町は2045年までに人口が約37.6%減と急激な過疎・超高齢化が進行。若年労働世代の流出と自然減が重なり、賃貸事業としての持続性は極めて限定的。</t>
        </is>
      </c>
      <c r="U1658" t="inlineStr">
        <is>
          <t>五ヶ瀬町は人口密度18人/km²と過疎的水準で、民間賃貸の新規需要は薄い。実需に裏付けられた格安戸建ての指値取得のみが現実的。 借家の空室率は約0%と需給は比較的引き締まっている。</t>
        </is>
      </c>
      <c r="V1658" t="inlineStr">
        <is>
          <t>五ヶ瀬町（宮崎県）：南海トラフ津波の想定が深刻。大淀川の氾濫、台風常襲と土砂災害に最大級の留意。</t>
        </is>
      </c>
    </row>
    <row r="1659">
      <c r="A1659" t="inlineStr">
        <is>
          <t>鹿児島県</t>
        </is>
      </c>
      <c r="B1659" t="inlineStr">
        <is>
          <t>鹿児島市</t>
        </is>
      </c>
      <c r="C1659" t="n">
        <v>284450</v>
      </c>
      <c r="D1659" t="n">
        <v>583222</v>
      </c>
      <c r="E1659" s="6" t="n">
        <v>1060.6</v>
      </c>
      <c r="F1659" s="7" t="n">
        <v>56.2</v>
      </c>
      <c r="G1659" t="n">
        <v>593128</v>
      </c>
      <c r="H1659" t="n">
        <v>583222</v>
      </c>
      <c r="I1659" t="n">
        <v>569338</v>
      </c>
      <c r="J1659" t="n">
        <v>517833</v>
      </c>
      <c r="K1659" s="27">
        <f>(H1659/D1659-1)</f>
        <v/>
      </c>
      <c r="L1659" s="27">
        <f>(I1659/D1659-1)</f>
        <v/>
      </c>
      <c r="M1659" s="27">
        <f>(J1659/D1659-1)</f>
        <v/>
      </c>
      <c r="N1659" t="n">
        <v>64.5</v>
      </c>
      <c r="O1659" s="28">
        <f>(N1659+F1659)/2</f>
        <v/>
      </c>
      <c r="P1659">
        <f>IF(O1659="計算不能","計算不能",IF(O1659&gt;=80,5,IF(O1659&gt;=60,4,IF(O1659&gt;=40,3,IF(O1659&gt;=28,2,1)))))</f>
        <v/>
      </c>
      <c r="Q1659" t="n">
        <v>93999</v>
      </c>
      <c r="R1659" t="n">
        <v>23920</v>
      </c>
      <c r="S1659" s="27">
        <f>R1659/Q1659</f>
        <v/>
      </c>
      <c r="T1659" t="inlineStr">
        <is>
          <t>鹿児島市は2045年までに人口が約11.2%減と緩やかな減少局面。若年層の都市部流出と高齢化が進むが、当面の賃貸稼働は一定程度維持される見通し。</t>
        </is>
      </c>
      <c r="U1659" t="inlineStr">
        <is>
          <t>鹿児島市は人口密度1,061人/km²で、主要道路沿いや中心市街地に一定の賃貸需要が局在。立地選別が稼働を左右する。 借家の空室率は約25%と供給過多気味で、空室長期化リスクに要警戒。</t>
        </is>
      </c>
      <c r="V1659" t="inlineStr">
        <is>
          <t>鹿児島市（鹿児島県）：桜島・霧島の火山と降灰が日常的リスク。川内川の氾濫、シラス台地の崩壊、南西諸島の津波に留意。</t>
        </is>
      </c>
    </row>
    <row r="1660">
      <c r="A1660" t="inlineStr">
        <is>
          <t>鹿児島県</t>
        </is>
      </c>
      <c r="B1660" t="inlineStr">
        <is>
          <t>鹿屋市</t>
        </is>
      </c>
      <c r="C1660" t="n">
        <v>44940</v>
      </c>
      <c r="D1660" t="n">
        <v>96269</v>
      </c>
      <c r="E1660" s="6" t="n">
        <v>214.4</v>
      </c>
      <c r="F1660" s="7" t="n">
        <v>30.7</v>
      </c>
      <c r="G1660" t="n">
        <v>101096</v>
      </c>
      <c r="H1660" t="n">
        <v>96269</v>
      </c>
      <c r="I1660" t="n">
        <v>92472</v>
      </c>
      <c r="J1660" t="n">
        <v>81841</v>
      </c>
      <c r="K1660" s="27">
        <f>(H1660/D1660-1)</f>
        <v/>
      </c>
      <c r="L1660" s="27">
        <f>(I1660/D1660-1)</f>
        <v/>
      </c>
      <c r="M1660" s="27">
        <f>(J1660/D1660-1)</f>
        <v/>
      </c>
      <c r="N1660" t="n">
        <v>55.7</v>
      </c>
      <c r="O1660" s="28">
        <f>(N1660+F1660)/2</f>
        <v/>
      </c>
      <c r="P1660">
        <f>IF(O1660="計算不能","計算不能",IF(O1660&gt;=80,5,IF(O1660&gt;=60,4,IF(O1660&gt;=40,3,IF(O1660&gt;=28,2,1)))))</f>
        <v/>
      </c>
      <c r="Q1660" t="n">
        <v>14850</v>
      </c>
      <c r="R1660" t="n">
        <v>4820</v>
      </c>
      <c r="S1660" s="27">
        <f>R1660/Q1660</f>
        <v/>
      </c>
      <c r="T1660" t="inlineStr">
        <is>
          <t>鹿屋市は2045年までに人口が約15.0%減と緩やかな減少局面。若年層の都市部流出と高齢化が進むが、当面の賃貸稼働は一定程度維持される見通し。</t>
        </is>
      </c>
      <c r="U1660" t="inlineStr">
        <is>
          <t>鹿屋市は人口密度214人/km²と低密度で、賃貸需要は限定的。持ち家比率が高く、駐車場完備の戸建て賃貸が有利。 借家の空室率は約32%と供給過多気味で、空室長期化リスクに要警戒。</t>
        </is>
      </c>
      <c r="V1660" t="inlineStr">
        <is>
          <t>鹿屋市（鹿児島県）：桜島・霧島の火山と降灰が日常的リスク。川内川の氾濫、シラス台地の崩壊、南西諸島の津波に留意。</t>
        </is>
      </c>
    </row>
    <row r="1661">
      <c r="A1661" t="inlineStr">
        <is>
          <t>鹿児島県</t>
        </is>
      </c>
      <c r="B1661" t="inlineStr">
        <is>
          <t>枕崎市</t>
        </is>
      </c>
      <c r="C1661" t="n">
        <v>9370</v>
      </c>
      <c r="D1661" t="n">
        <v>18370</v>
      </c>
      <c r="E1661" s="6" t="n">
        <v>240.1</v>
      </c>
      <c r="F1661" s="7" t="n">
        <v>32</v>
      </c>
      <c r="G1661" t="n">
        <v>20033</v>
      </c>
      <c r="H1661" t="n">
        <v>18370</v>
      </c>
      <c r="I1661" t="n">
        <v>16774</v>
      </c>
      <c r="J1661" t="n">
        <v>12221</v>
      </c>
      <c r="K1661" s="27">
        <f>(H1661/D1661-1)</f>
        <v/>
      </c>
      <c r="L1661" s="27">
        <f>(I1661/D1661-1)</f>
        <v/>
      </c>
      <c r="M1661" s="27">
        <f>(J1661/D1661-1)</f>
        <v/>
      </c>
      <c r="N1661" t="n">
        <v>41.2</v>
      </c>
      <c r="O1661" s="28">
        <f>(N1661+F1661)/2</f>
        <v/>
      </c>
      <c r="P1661">
        <f>IF(O1661="計算不能","計算不能",IF(O1661&gt;=80,5,IF(O1661&gt;=60,4,IF(O1661&gt;=40,3,IF(O1661&gt;=28,2,1)))))</f>
        <v/>
      </c>
      <c r="Q1661" t="n">
        <v>3096</v>
      </c>
      <c r="R1661" t="n">
        <v>350</v>
      </c>
      <c r="S1661" s="27">
        <f>R1661/Q1661</f>
        <v/>
      </c>
      <c r="T1661" t="inlineStr">
        <is>
          <t>枕崎市は2045年までに人口が約33.5%減と急激な過疎・超高齢化が進行。若年労働世代の流出と自然減が重なり、賃貸事業としての持続性は極めて限定的。</t>
        </is>
      </c>
      <c r="U1661" t="inlineStr">
        <is>
          <t>枕崎市は人口密度240人/km²と低密度で、賃貸需要は限定的。持ち家比率が高く、駐車場完備の戸建て賃貸が有利。 借家の空室率は約11%と需給は比較的引き締まっている。</t>
        </is>
      </c>
      <c r="V1661" t="inlineStr">
        <is>
          <t>枕崎市（鹿児島県）：桜島・霧島の火山と降灰が日常的リスク。川内川の氾濫、シラス台地の崩壊、南西諸島の津波に留意。</t>
        </is>
      </c>
    </row>
    <row r="1662">
      <c r="A1662" t="inlineStr">
        <is>
          <t>鹿児島県</t>
        </is>
      </c>
      <c r="B1662" t="inlineStr">
        <is>
          <t>阿久根市</t>
        </is>
      </c>
      <c r="C1662" t="n">
        <v>7460</v>
      </c>
      <c r="D1662" t="n">
        <v>17187</v>
      </c>
      <c r="E1662" s="6" t="n">
        <v>128.8</v>
      </c>
      <c r="F1662" s="7" t="n">
        <v>22.9</v>
      </c>
      <c r="G1662" t="n">
        <v>19270</v>
      </c>
      <c r="H1662" t="n">
        <v>17187</v>
      </c>
      <c r="I1662" t="n">
        <v>15417</v>
      </c>
      <c r="J1662" t="n">
        <v>10895</v>
      </c>
      <c r="K1662" s="27">
        <f>(H1662/D1662-1)</f>
        <v/>
      </c>
      <c r="L1662" s="27">
        <f>(I1662/D1662-1)</f>
        <v/>
      </c>
      <c r="M1662" s="27">
        <f>(J1662/D1662-1)</f>
        <v/>
      </c>
      <c r="N1662" t="n">
        <v>37.8</v>
      </c>
      <c r="O1662" s="28">
        <f>(N1662+F1662)/2</f>
        <v/>
      </c>
      <c r="P1662">
        <f>IF(O1662="計算不能","計算不能",IF(O1662&gt;=80,5,IF(O1662&gt;=60,4,IF(O1662&gt;=40,3,IF(O1662&gt;=28,2,1)))))</f>
        <v/>
      </c>
      <c r="Q1662" t="n">
        <v>2465</v>
      </c>
      <c r="R1662" t="n">
        <v>470</v>
      </c>
      <c r="S1662" s="27">
        <f>R1662/Q1662</f>
        <v/>
      </c>
      <c r="T1662" t="inlineStr">
        <is>
          <t>阿久根市は2045年までに人口が約36.6%減と急激な過疎・超高齢化が進行。若年労働世代の流出と自然減が重なり、賃貸事業としての持続性は極めて限定的。</t>
        </is>
      </c>
      <c r="U1662" t="inlineStr">
        <is>
          <t>阿久根市は人口密度129人/km²と過疎的水準で、民間賃貸の新規需要は薄い。実需に裏付けられた格安戸建ての指値取得のみが現実的。 借家の空室率は約19%とやや高めで、競合との差別化が必要。</t>
        </is>
      </c>
      <c r="V1662" t="inlineStr">
        <is>
          <t>阿久根市（鹿児島県）：桜島・霧島の火山と降灰が日常的リスク。川内川の氾濫、シラス台地の崩壊、南西諸島の津波に留意。</t>
        </is>
      </c>
    </row>
    <row r="1663">
      <c r="A1663" t="inlineStr">
        <is>
          <t>鹿児島県</t>
        </is>
      </c>
      <c r="B1663" t="inlineStr">
        <is>
          <t>出水市</t>
        </is>
      </c>
      <c r="C1663" t="n">
        <v>22710</v>
      </c>
      <c r="D1663" t="n">
        <v>49555</v>
      </c>
      <c r="E1663" s="6" t="n">
        <v>150</v>
      </c>
      <c r="F1663" s="7" t="n">
        <v>25</v>
      </c>
      <c r="G1663" t="n">
        <v>51994</v>
      </c>
      <c r="H1663" t="n">
        <v>49555</v>
      </c>
      <c r="I1663" t="n">
        <v>46868</v>
      </c>
      <c r="J1663" t="n">
        <v>38959</v>
      </c>
      <c r="K1663" s="27">
        <f>(H1663/D1663-1)</f>
        <v/>
      </c>
      <c r="L1663" s="27">
        <f>(I1663/D1663-1)</f>
        <v/>
      </c>
      <c r="M1663" s="27">
        <f>(J1663/D1663-1)</f>
        <v/>
      </c>
      <c r="N1663" t="n">
        <v>51.8</v>
      </c>
      <c r="O1663" s="28">
        <f>(N1663+F1663)/2</f>
        <v/>
      </c>
      <c r="P1663">
        <f>IF(O1663="計算不能","計算不能",IF(O1663&gt;=80,5,IF(O1663&gt;=60,4,IF(O1663&gt;=40,3,IF(O1663&gt;=28,2,1)))))</f>
        <v/>
      </c>
      <c r="Q1663" t="n">
        <v>7504</v>
      </c>
      <c r="R1663" t="n">
        <v>1170</v>
      </c>
      <c r="S1663" s="27">
        <f>R1663/Q1663</f>
        <v/>
      </c>
      <c r="T1663" t="inlineStr">
        <is>
          <t>出水市は2045年までに人口が約21.4%減と明確な減少トレンド。高齢化の進行と世帯数の縮小により、中長期では賃貸需要の構造的縮小に警戒が必要。</t>
        </is>
      </c>
      <c r="U1663" t="inlineStr">
        <is>
          <t>出水市は人口密度150人/km²と過疎的水準で、民間賃貸の新規需要は薄い。実需に裏付けられた格安戸建ての指値取得のみが現実的。 借家の空室率は約16%と需給は比較的引き締まっている。</t>
        </is>
      </c>
      <c r="V1663" t="inlineStr">
        <is>
          <t>出水市（鹿児島県）：桜島・霧島の火山と降灰が日常的リスク。川内川の氾濫、シラス台地の崩壊、南西諸島の津波に留意。</t>
        </is>
      </c>
    </row>
    <row r="1664">
      <c r="A1664" t="inlineStr">
        <is>
          <t>鹿児島県</t>
        </is>
      </c>
      <c r="B1664" t="inlineStr">
        <is>
          <t>指宿市</t>
        </is>
      </c>
      <c r="C1664" t="n">
        <v>16860</v>
      </c>
      <c r="D1664" t="n">
        <v>36313</v>
      </c>
      <c r="E1664" s="6" t="n">
        <v>240.8</v>
      </c>
      <c r="F1664" s="7" t="n">
        <v>32</v>
      </c>
      <c r="G1664" t="n">
        <v>39011</v>
      </c>
      <c r="H1664" t="n">
        <v>36313</v>
      </c>
      <c r="I1664" t="n">
        <v>33458</v>
      </c>
      <c r="J1664" t="n">
        <v>25715</v>
      </c>
      <c r="K1664" s="27">
        <f>(H1664/D1664-1)</f>
        <v/>
      </c>
      <c r="L1664" s="27">
        <f>(I1664/D1664-1)</f>
        <v/>
      </c>
      <c r="M1664" s="27">
        <f>(J1664/D1664-1)</f>
        <v/>
      </c>
      <c r="N1664" t="n">
        <v>43.7</v>
      </c>
      <c r="O1664" s="28">
        <f>(N1664+F1664)/2</f>
        <v/>
      </c>
      <c r="P1664">
        <f>IF(O1664="計算不能","計算不能",IF(O1664&gt;=80,5,IF(O1664&gt;=60,4,IF(O1664&gt;=40,3,IF(O1664&gt;=28,2,1)))))</f>
        <v/>
      </c>
      <c r="Q1664" t="n">
        <v>5571</v>
      </c>
      <c r="R1664" t="n">
        <v>800</v>
      </c>
      <c r="S1664" s="27">
        <f>R1664/Q1664</f>
        <v/>
      </c>
      <c r="T1664" t="inlineStr">
        <is>
          <t>指宿市は2045年までに人口が約29.2%減と明確な減少トレンド。高齢化の進行と世帯数の縮小により、中長期では賃貸需要の構造的縮小に警戒が必要。</t>
        </is>
      </c>
      <c r="U1664" t="inlineStr">
        <is>
          <t>指宿市は人口密度241人/km²と低密度で、賃貸需要は限定的。持ち家比率が高く、駐車場完備の戸建て賃貸が有利。 借家の空室率は約14%と需給は比較的引き締まっている。</t>
        </is>
      </c>
      <c r="V1664" t="inlineStr">
        <is>
          <t>指宿市（鹿児島県）：桜島・霧島の火山と降灰が日常的リスク。川内川の氾濫、シラス台地の崩壊、南西諸島の津波に留意。</t>
        </is>
      </c>
    </row>
    <row r="1665">
      <c r="A1665" t="inlineStr">
        <is>
          <t>鹿児島県</t>
        </is>
      </c>
      <c r="B1665" t="inlineStr">
        <is>
          <t>西之表市</t>
        </is>
      </c>
      <c r="C1665" t="n">
        <v>6750</v>
      </c>
      <c r="D1665" t="n">
        <v>13571</v>
      </c>
      <c r="E1665" s="6" t="n">
        <v>69</v>
      </c>
      <c r="F1665" s="7" t="n">
        <v>16.9</v>
      </c>
      <c r="G1665" t="n">
        <v>14708</v>
      </c>
      <c r="H1665" t="n">
        <v>13571</v>
      </c>
      <c r="I1665" t="n">
        <v>12457</v>
      </c>
      <c r="J1665" t="n">
        <v>9440</v>
      </c>
      <c r="K1665" s="27">
        <f>(H1665/D1665-1)</f>
        <v/>
      </c>
      <c r="L1665" s="27">
        <f>(I1665/D1665-1)</f>
        <v/>
      </c>
      <c r="M1665" s="27">
        <f>(J1665/D1665-1)</f>
        <v/>
      </c>
      <c r="N1665" t="n">
        <v>42.6</v>
      </c>
      <c r="O1665" s="28">
        <f>(N1665+F1665)/2</f>
        <v/>
      </c>
      <c r="P1665">
        <f>IF(O1665="計算不能","計算不能",IF(O1665&gt;=80,5,IF(O1665&gt;=60,4,IF(O1665&gt;=40,3,IF(O1665&gt;=28,2,1)))))</f>
        <v/>
      </c>
      <c r="Q1665" t="n">
        <v>2230</v>
      </c>
      <c r="R1665" t="n">
        <v>270</v>
      </c>
      <c r="S1665" s="27">
        <f>R1665/Q1665</f>
        <v/>
      </c>
      <c r="T1665" t="inlineStr">
        <is>
          <t>西之表市は2045年までに人口が約30.4%減と急激な過疎・超高齢化が進行。若年労働世代の流出と自然減が重なり、賃貸事業としての持続性は極めて限定的。</t>
        </is>
      </c>
      <c r="U1665" t="inlineStr">
        <is>
          <t>西之表市は人口密度69人/km²と過疎的水準で、民間賃貸の新規需要は薄い。実需に裏付けられた格安戸建ての指値取得のみが現実的。 借家の空室率は約12%と需給は比較的引き締まっている。</t>
        </is>
      </c>
      <c r="V1665" t="inlineStr">
        <is>
          <t>西之表市（鹿児島県）：桜島・霧島の火山と降灰が日常的リスク。川内川の氾濫、シラス台地の崩壊、南西諸島の津波に留意。</t>
        </is>
      </c>
    </row>
    <row r="1666">
      <c r="A1666" t="inlineStr">
        <is>
          <t>鹿児島県</t>
        </is>
      </c>
      <c r="B1666" t="inlineStr">
        <is>
          <t>垂水市</t>
        </is>
      </c>
      <c r="C1666" t="n">
        <v>6100</v>
      </c>
      <c r="D1666" t="n">
        <v>12426</v>
      </c>
      <c r="E1666" s="6" t="n">
        <v>75.59999999999999</v>
      </c>
      <c r="F1666" s="7" t="n">
        <v>17.6</v>
      </c>
      <c r="G1666" t="n">
        <v>13819</v>
      </c>
      <c r="H1666" t="n">
        <v>12426</v>
      </c>
      <c r="I1666" t="n">
        <v>11125</v>
      </c>
      <c r="J1666" t="n">
        <v>7663</v>
      </c>
      <c r="K1666" s="27">
        <f>(H1666/D1666-1)</f>
        <v/>
      </c>
      <c r="L1666" s="27">
        <f>(I1666/D1666-1)</f>
        <v/>
      </c>
      <c r="M1666" s="27">
        <f>(J1666/D1666-1)</f>
        <v/>
      </c>
      <c r="N1666" t="n">
        <v>38</v>
      </c>
      <c r="O1666" s="28">
        <f>(N1666+F1666)/2</f>
        <v/>
      </c>
      <c r="P1666">
        <f>IF(O1666="計算不能","計算不能",IF(O1666&gt;=80,5,IF(O1666&gt;=60,4,IF(O1666&gt;=40,3,IF(O1666&gt;=28,2,1)))))</f>
        <v/>
      </c>
      <c r="Q1666" t="n">
        <v>2015</v>
      </c>
      <c r="R1666" t="n">
        <v>470</v>
      </c>
      <c r="S1666" s="27">
        <f>R1666/Q1666</f>
        <v/>
      </c>
      <c r="T1666" t="inlineStr">
        <is>
          <t>垂水市は2045年までに人口が約38.3%減と急激な過疎・超高齢化が進行。若年労働世代の流出と自然減が重なり、賃貸事業としての持続性は極めて限定的。</t>
        </is>
      </c>
      <c r="U1666" t="inlineStr">
        <is>
          <t>垂水市は人口密度76人/km²と過疎的水準で、民間賃貸の新規需要は薄い。実需に裏付けられた格安戸建ての指値取得のみが現実的。 借家の空室率は約23%とやや高めで、競合との差別化が必要。</t>
        </is>
      </c>
      <c r="V1666" t="inlineStr">
        <is>
          <t>垂水市（鹿児島県）：桜島・霧島の火山と降灰が日常的リスク。川内川の氾濫、シラス台地の崩壊、南西諸島の津波に留意。</t>
        </is>
      </c>
    </row>
    <row r="1667">
      <c r="A1667" t="inlineStr">
        <is>
          <t>鹿児島県</t>
        </is>
      </c>
      <c r="B1667" t="inlineStr">
        <is>
          <t>薩摩川内市</t>
        </is>
      </c>
      <c r="C1667" t="n">
        <v>41370</v>
      </c>
      <c r="D1667" t="n">
        <v>88422</v>
      </c>
      <c r="E1667" s="6" t="n">
        <v>128.4</v>
      </c>
      <c r="F1667" s="7" t="n">
        <v>22.8</v>
      </c>
      <c r="G1667" t="n">
        <v>92403</v>
      </c>
      <c r="H1667" t="n">
        <v>88422</v>
      </c>
      <c r="I1667" t="n">
        <v>84207</v>
      </c>
      <c r="J1667" t="n">
        <v>72084</v>
      </c>
      <c r="K1667" s="27">
        <f>(H1667/D1667-1)</f>
        <v/>
      </c>
      <c r="L1667" s="27">
        <f>(I1667/D1667-1)</f>
        <v/>
      </c>
      <c r="M1667" s="27">
        <f>(J1667/D1667-1)</f>
        <v/>
      </c>
      <c r="N1667" t="n">
        <v>54.3</v>
      </c>
      <c r="O1667" s="28">
        <f>(N1667+F1667)/2</f>
        <v/>
      </c>
      <c r="P1667">
        <f>IF(O1667="計算不能","計算不能",IF(O1667&gt;=80,5,IF(O1667&gt;=60,4,IF(O1667&gt;=40,3,IF(O1667&gt;=28,2,1)))))</f>
        <v/>
      </c>
      <c r="Q1667" t="n">
        <v>13671</v>
      </c>
      <c r="R1667" t="n">
        <v>4660</v>
      </c>
      <c r="S1667" s="27">
        <f>R1667/Q1667</f>
        <v/>
      </c>
      <c r="T1667" t="inlineStr">
        <is>
          <t>薩摩川内市は2045年までに人口が約18.5%減と明確な減少トレンド。高齢化の進行と世帯数の縮小により、中長期では賃貸需要の構造的縮小に警戒が必要。</t>
        </is>
      </c>
      <c r="U1667" t="inlineStr">
        <is>
          <t>薩摩川内市は人口密度128人/km²と過疎的水準で、民間賃貸の新規需要は薄い。実需に裏付けられた格安戸建ての指値取得のみが現実的。 借家の空室率は約34%と供給過多気味で、空室長期化リスクに要警戒。</t>
        </is>
      </c>
      <c r="V1667" t="inlineStr">
        <is>
          <t>薩摩川内市（鹿児島県）：桜島・霧島の火山と降灰が日常的リスク。川内川の氾濫、シラス台地の崩壊、南西諸島の津波に留意。</t>
        </is>
      </c>
    </row>
    <row r="1668">
      <c r="A1668" t="inlineStr">
        <is>
          <t>鹿児島県</t>
        </is>
      </c>
      <c r="B1668" t="inlineStr">
        <is>
          <t>日置市</t>
        </is>
      </c>
      <c r="C1668" t="n">
        <v>19080</v>
      </c>
      <c r="D1668" t="n">
        <v>45054</v>
      </c>
      <c r="E1668" s="6" t="n">
        <v>178.1</v>
      </c>
      <c r="F1668" s="7" t="n">
        <v>27.8</v>
      </c>
      <c r="G1668" t="n">
        <v>47153</v>
      </c>
      <c r="H1668" t="n">
        <v>45054</v>
      </c>
      <c r="I1668" t="n">
        <v>42634</v>
      </c>
      <c r="J1668" t="n">
        <v>35509</v>
      </c>
      <c r="K1668" s="27">
        <f>(H1668/D1668-1)</f>
        <v/>
      </c>
      <c r="L1668" s="27">
        <f>(I1668/D1668-1)</f>
        <v/>
      </c>
      <c r="M1668" s="27">
        <f>(J1668/D1668-1)</f>
        <v/>
      </c>
      <c r="N1668" t="n">
        <v>52.4</v>
      </c>
      <c r="O1668" s="28">
        <f>(N1668+F1668)/2</f>
        <v/>
      </c>
      <c r="P1668">
        <f>IF(O1668="計算不能","計算不能",IF(O1668&gt;=80,5,IF(O1668&gt;=60,4,IF(O1668&gt;=40,3,IF(O1668&gt;=28,2,1)))))</f>
        <v/>
      </c>
      <c r="Q1668" t="n">
        <v>6305</v>
      </c>
      <c r="R1668" t="n">
        <v>790</v>
      </c>
      <c r="S1668" s="27">
        <f>R1668/Q1668</f>
        <v/>
      </c>
      <c r="T1668" t="inlineStr">
        <is>
          <t>日置市は2045年までに人口が約21.2%減と明確な減少トレンド。高齢化の進行と世帯数の縮小により、中長期では賃貸需要の構造的縮小に警戒が必要。</t>
        </is>
      </c>
      <c r="U1668" t="inlineStr">
        <is>
          <t>日置市は人口密度178人/km²と過疎的水準で、民間賃貸の新規需要は薄い。実需に裏付けられた格安戸建ての指値取得のみが現実的。 借家の空室率は約13%と需給は比較的引き締まっている。</t>
        </is>
      </c>
      <c r="V1668" t="inlineStr">
        <is>
          <t>日置市（鹿児島県）：桜島・霧島の火山と降灰が日常的リスク。川内川の氾濫、シラス台地の崩壊、南西諸島の津波に留意。</t>
        </is>
      </c>
    </row>
    <row r="1669">
      <c r="A1669" t="inlineStr">
        <is>
          <t>鹿児島県</t>
        </is>
      </c>
      <c r="B1669" t="inlineStr">
        <is>
          <t>曽於市</t>
        </is>
      </c>
      <c r="C1669" t="n">
        <v>13980</v>
      </c>
      <c r="D1669" t="n">
        <v>29818</v>
      </c>
      <c r="E1669" s="6" t="n">
        <v>76.5</v>
      </c>
      <c r="F1669" s="7" t="n">
        <v>17.6</v>
      </c>
      <c r="G1669" t="n">
        <v>33310</v>
      </c>
      <c r="H1669" t="n">
        <v>29818</v>
      </c>
      <c r="I1669" t="n">
        <v>26892</v>
      </c>
      <c r="J1669" t="n">
        <v>19304</v>
      </c>
      <c r="K1669" s="27">
        <f>(H1669/D1669-1)</f>
        <v/>
      </c>
      <c r="L1669" s="27">
        <f>(I1669/D1669-1)</f>
        <v/>
      </c>
      <c r="M1669" s="27">
        <f>(J1669/D1669-1)</f>
        <v/>
      </c>
      <c r="N1669" t="n">
        <v>38.6</v>
      </c>
      <c r="O1669" s="28">
        <f>(N1669+F1669)/2</f>
        <v/>
      </c>
      <c r="P1669">
        <f>IF(O1669="計算不能","計算不能",IF(O1669&gt;=80,5,IF(O1669&gt;=60,4,IF(O1669&gt;=40,3,IF(O1669&gt;=28,2,1)))))</f>
        <v/>
      </c>
      <c r="Q1669" t="n">
        <v>4619</v>
      </c>
      <c r="R1669" t="n">
        <v>540</v>
      </c>
      <c r="S1669" s="27">
        <f>R1669/Q1669</f>
        <v/>
      </c>
      <c r="T1669" t="inlineStr">
        <is>
          <t>曽於市は2045年までに人口が約35.3%減と急激な過疎・超高齢化が進行。若年労働世代の流出と自然減が重なり、賃貸事業としての持続性は極めて限定的。</t>
        </is>
      </c>
      <c r="U1669" t="inlineStr">
        <is>
          <t>曽於市は人口密度76人/km²と過疎的水準で、民間賃貸の新規需要は薄い。実需に裏付けられた格安戸建ての指値取得のみが現実的。 借家の空室率は約12%と需給は比較的引き締まっている。</t>
        </is>
      </c>
      <c r="V1669" t="inlineStr">
        <is>
          <t>曽於市（鹿児島県）：桜島・霧島の火山と降灰が日常的リスク。川内川の氾濫、シラス台地の崩壊、南西諸島の津波に留意。</t>
        </is>
      </c>
    </row>
    <row r="1670">
      <c r="A1670" t="inlineStr">
        <is>
          <t>鹿児島県</t>
        </is>
      </c>
      <c r="B1670" t="inlineStr">
        <is>
          <t>霧島市</t>
        </is>
      </c>
      <c r="C1670" t="n">
        <v>57170</v>
      </c>
      <c r="D1670" t="n">
        <v>120392</v>
      </c>
      <c r="E1670" s="6" t="n">
        <v>199.7</v>
      </c>
      <c r="F1670" s="7" t="n">
        <v>30</v>
      </c>
      <c r="G1670" t="n">
        <v>123135</v>
      </c>
      <c r="H1670" t="n">
        <v>120392</v>
      </c>
      <c r="I1670" t="n">
        <v>116990</v>
      </c>
      <c r="J1670" t="n">
        <v>105452</v>
      </c>
      <c r="K1670" s="27">
        <f>(H1670/D1670-1)</f>
        <v/>
      </c>
      <c r="L1670" s="27">
        <f>(I1670/D1670-1)</f>
        <v/>
      </c>
      <c r="M1670" s="27">
        <f>(J1670/D1670-1)</f>
        <v/>
      </c>
      <c r="N1670" t="n">
        <v>62.5</v>
      </c>
      <c r="O1670" s="28">
        <f>(N1670+F1670)/2</f>
        <v/>
      </c>
      <c r="P1670">
        <f>IF(O1670="計算不能","計算不能",IF(O1670&gt;=80,5,IF(O1670&gt;=60,4,IF(O1670&gt;=40,3,IF(O1670&gt;=28,2,1)))))</f>
        <v/>
      </c>
      <c r="Q1670" t="n">
        <v>18892</v>
      </c>
      <c r="R1670" t="n">
        <v>5920</v>
      </c>
      <c r="S1670" s="27">
        <f>R1670/Q1670</f>
        <v/>
      </c>
      <c r="T1670" t="inlineStr">
        <is>
          <t>霧島市は2045年までに人口が約12.4%減と緩やかな減少局面。若年層の都市部流出と高齢化が進むが、当面の賃貸稼働は一定程度維持される見通し。</t>
        </is>
      </c>
      <c r="U1670" t="inlineStr">
        <is>
          <t>霧島市は人口密度200人/km²と過疎的水準で、民間賃貸の新規需要は薄い。実需に裏付けられた格安戸建ての指値取得のみが現実的。 借家の空室率は約31%と供給過多気味で、空室長期化リスクに要警戒。</t>
        </is>
      </c>
      <c r="V1670" t="inlineStr">
        <is>
          <t>霧島市（鹿児島県）：桜島・霧島の火山と降灰が日常的リスク。川内川の氾濫、シラス台地の崩壊、南西諸島の津波に留意。</t>
        </is>
      </c>
    </row>
    <row r="1671">
      <c r="A1671" t="inlineStr">
        <is>
          <t>鹿児島県</t>
        </is>
      </c>
      <c r="B1671" t="inlineStr">
        <is>
          <t>いちき串木野市</t>
        </is>
      </c>
      <c r="C1671" t="n">
        <v>10690</v>
      </c>
      <c r="D1671" t="n">
        <v>25375</v>
      </c>
      <c r="E1671" s="6" t="n">
        <v>226.4</v>
      </c>
      <c r="F1671" s="7" t="n">
        <v>31.3</v>
      </c>
      <c r="G1671" t="n">
        <v>27490</v>
      </c>
      <c r="H1671" t="n">
        <v>25375</v>
      </c>
      <c r="I1671" t="n">
        <v>23319</v>
      </c>
      <c r="J1671" t="n">
        <v>17470</v>
      </c>
      <c r="K1671" s="27">
        <f>(H1671/D1671-1)</f>
        <v/>
      </c>
      <c r="L1671" s="27">
        <f>(I1671/D1671-1)</f>
        <v/>
      </c>
      <c r="M1671" s="27">
        <f>(J1671/D1671-1)</f>
        <v/>
      </c>
      <c r="N1671" t="n">
        <v>42.5</v>
      </c>
      <c r="O1671" s="28">
        <f>(N1671+F1671)/2</f>
        <v/>
      </c>
      <c r="P1671">
        <f>IF(O1671="計算不能","計算不能",IF(O1671&gt;=80,5,IF(O1671&gt;=60,4,IF(O1671&gt;=40,3,IF(O1671&gt;=28,2,1)))))</f>
        <v/>
      </c>
      <c r="Q1671" t="n">
        <v>3532</v>
      </c>
      <c r="R1671" t="n">
        <v>650</v>
      </c>
      <c r="S1671" s="27">
        <f>R1671/Q1671</f>
        <v/>
      </c>
      <c r="T1671" t="inlineStr">
        <is>
          <t>いちき串木野市は2045年までに人口が約31.2%減と急激な過疎・超高齢化が進行。若年労働世代の流出と自然減が重なり、賃貸事業としての持続性は極めて限定的。</t>
        </is>
      </c>
      <c r="U1671" t="inlineStr">
        <is>
          <t>いちき串木野市は人口密度226人/km²と低密度で、賃貸需要は限定的。持ち家比率が高く、駐車場完備の戸建て賃貸が有利。 借家の空室率は約18%とやや高めで、競合との差別化が必要。</t>
        </is>
      </c>
      <c r="V1671" t="inlineStr">
        <is>
          <t>いちき串木野市（鹿児島県）：桜島・霧島の火山と降灰が日常的リスク。川内川の氾濫、シラス台地の崩壊、南西諸島の津波に留意。</t>
        </is>
      </c>
    </row>
    <row r="1672">
      <c r="A1672" t="inlineStr">
        <is>
          <t>鹿児島県</t>
        </is>
      </c>
      <c r="B1672" t="inlineStr">
        <is>
          <t>南さつま市</t>
        </is>
      </c>
      <c r="C1672" t="n">
        <v>13290</v>
      </c>
      <c r="D1672" t="n">
        <v>30324</v>
      </c>
      <c r="E1672" s="6" t="n">
        <v>106.1</v>
      </c>
      <c r="F1672" s="7" t="n">
        <v>20.6</v>
      </c>
      <c r="G1672" t="n">
        <v>32887</v>
      </c>
      <c r="H1672" t="n">
        <v>30324</v>
      </c>
      <c r="I1672" t="n">
        <v>27876</v>
      </c>
      <c r="J1672" t="n">
        <v>21487</v>
      </c>
      <c r="K1672" s="27">
        <f>(H1672/D1672-1)</f>
        <v/>
      </c>
      <c r="L1672" s="27">
        <f>(I1672/D1672-1)</f>
        <v/>
      </c>
      <c r="M1672" s="27">
        <f>(J1672/D1672-1)</f>
        <v/>
      </c>
      <c r="N1672" t="n">
        <v>42.9</v>
      </c>
      <c r="O1672" s="28">
        <f>(N1672+F1672)/2</f>
        <v/>
      </c>
      <c r="P1672">
        <f>IF(O1672="計算不能","計算不能",IF(O1672&gt;=80,5,IF(O1672&gt;=60,4,IF(O1672&gt;=40,3,IF(O1672&gt;=28,2,1)))))</f>
        <v/>
      </c>
      <c r="Q1672" t="n">
        <v>4391</v>
      </c>
      <c r="R1672" t="n">
        <v>790</v>
      </c>
      <c r="S1672" s="27">
        <f>R1672/Q1672</f>
        <v/>
      </c>
      <c r="T1672" t="inlineStr">
        <is>
          <t>南さつま市は2045年までに人口が約29.1%減と明確な減少トレンド。高齢化の進行と世帯数の縮小により、中長期では賃貸需要の構造的縮小に警戒が必要。</t>
        </is>
      </c>
      <c r="U1672" t="inlineStr">
        <is>
          <t>南さつま市は人口密度106人/km²と過疎的水準で、民間賃貸の新規需要は薄い。実需に裏付けられた格安戸建ての指値取得のみが現実的。 借家の空室率は約18%と需給は比較的引き締まっている。</t>
        </is>
      </c>
      <c r="V1672" t="inlineStr">
        <is>
          <t>南さつま市（鹿児島県）：桜島・霧島の火山と降灰が日常的リスク。川内川の氾濫、シラス台地の崩壊、南西諸島の津波に留意。</t>
        </is>
      </c>
    </row>
    <row r="1673">
      <c r="A1673" t="inlineStr">
        <is>
          <t>鹿児島県</t>
        </is>
      </c>
      <c r="B1673" t="inlineStr">
        <is>
          <t>志布志市</t>
        </is>
      </c>
      <c r="C1673" t="n">
        <v>12460</v>
      </c>
      <c r="D1673" t="n">
        <v>26797</v>
      </c>
      <c r="E1673" s="6" t="n">
        <v>93.5</v>
      </c>
      <c r="F1673" s="7" t="n">
        <v>19.4</v>
      </c>
      <c r="G1673" t="n">
        <v>29329</v>
      </c>
      <c r="H1673" t="n">
        <v>26797</v>
      </c>
      <c r="I1673" t="n">
        <v>24837</v>
      </c>
      <c r="J1673" t="n">
        <v>19806</v>
      </c>
      <c r="K1673" s="27">
        <f>(H1673/D1673-1)</f>
        <v/>
      </c>
      <c r="L1673" s="27">
        <f>(I1673/D1673-1)</f>
        <v/>
      </c>
      <c r="M1673" s="27">
        <f>(J1673/D1673-1)</f>
        <v/>
      </c>
      <c r="N1673" t="n">
        <v>43.1</v>
      </c>
      <c r="O1673" s="28">
        <f>(N1673+F1673)/2</f>
        <v/>
      </c>
      <c r="P1673">
        <f>IF(O1673="計算不能","計算不能",IF(O1673&gt;=80,5,IF(O1673&gt;=60,4,IF(O1673&gt;=40,3,IF(O1673&gt;=28,2,1)))))</f>
        <v/>
      </c>
      <c r="Q1673" t="n">
        <v>4117</v>
      </c>
      <c r="R1673" t="n">
        <v>670</v>
      </c>
      <c r="S1673" s="27">
        <f>R1673/Q1673</f>
        <v/>
      </c>
      <c r="T1673" t="inlineStr">
        <is>
          <t>志布志市は2045年までに人口が約26.1%減と明確な減少トレンド。高齢化の進行と世帯数の縮小により、中長期では賃貸需要の構造的縮小に警戒が必要。</t>
        </is>
      </c>
      <c r="U1673" t="inlineStr">
        <is>
          <t>志布志市は人口密度94人/km²と過疎的水準で、民間賃貸の新規需要は薄い。実需に裏付けられた格安戸建ての指値取得のみが現実的。 借家の空室率は約16%と需給は比較的引き締まっている。</t>
        </is>
      </c>
      <c r="V1673" t="inlineStr">
        <is>
          <t>志布志市（鹿児島県）：桜島・霧島の火山と降灰が日常的リスク。川内川の氾濫、シラス台地の崩壊、南西諸島の津波に留意。</t>
        </is>
      </c>
    </row>
    <row r="1674">
      <c r="A1674" t="inlineStr">
        <is>
          <t>鹿児島県</t>
        </is>
      </c>
      <c r="B1674" t="inlineStr">
        <is>
          <t>奄美市</t>
        </is>
      </c>
      <c r="C1674" t="n">
        <v>19560</v>
      </c>
      <c r="D1674" t="n">
        <v>38904</v>
      </c>
      <c r="E1674" s="6" t="n">
        <v>124.6</v>
      </c>
      <c r="F1674" s="7" t="n">
        <v>22.5</v>
      </c>
      <c r="G1674" t="n">
        <v>41390</v>
      </c>
      <c r="H1674" t="n">
        <v>38904</v>
      </c>
      <c r="I1674" t="n">
        <v>36382</v>
      </c>
      <c r="J1674" t="n">
        <v>29246</v>
      </c>
      <c r="K1674" s="27">
        <f>(H1674/D1674-1)</f>
        <v/>
      </c>
      <c r="L1674" s="27">
        <f>(I1674/D1674-1)</f>
        <v/>
      </c>
      <c r="M1674" s="27">
        <f>(J1674/D1674-1)</f>
        <v/>
      </c>
      <c r="N1674" t="n">
        <v>47.1</v>
      </c>
      <c r="O1674" s="28">
        <f>(N1674+F1674)/2</f>
        <v/>
      </c>
      <c r="P1674">
        <f>IF(O1674="計算不能","計算不能",IF(O1674&gt;=80,5,IF(O1674&gt;=60,4,IF(O1674&gt;=40,3,IF(O1674&gt;=28,2,1)))))</f>
        <v/>
      </c>
      <c r="Q1674" t="n">
        <v>6463</v>
      </c>
      <c r="R1674" t="n">
        <v>1230</v>
      </c>
      <c r="S1674" s="27">
        <f>R1674/Q1674</f>
        <v/>
      </c>
      <c r="T1674" t="inlineStr">
        <is>
          <t>奄美市は2045年までに人口が約24.8%減と明確な減少トレンド。高齢化の進行と世帯数の縮小により、中長期では賃貸需要の構造的縮小に警戒が必要。</t>
        </is>
      </c>
      <c r="U1674" t="inlineStr">
        <is>
          <t>奄美市は人口密度125人/km²と過疎的水準で、民間賃貸の新規需要は薄い。実需に裏付けられた格安戸建ての指値取得のみが現実的。 借家の空室率は約19%とやや高めで、競合との差別化が必要。</t>
        </is>
      </c>
      <c r="V1674" t="inlineStr">
        <is>
          <t>奄美市（鹿児島県）：桜島・霧島の火山と降灰が日常的リスク。川内川の氾濫、シラス台地の崩壊、南西諸島の津波に留意。</t>
        </is>
      </c>
    </row>
    <row r="1675">
      <c r="A1675" t="inlineStr">
        <is>
          <t>鹿児島県</t>
        </is>
      </c>
      <c r="B1675" t="inlineStr">
        <is>
          <t>南九州市</t>
        </is>
      </c>
      <c r="C1675" t="n">
        <v>13390</v>
      </c>
      <c r="D1675" t="n">
        <v>29450</v>
      </c>
      <c r="E1675" s="6" t="n">
        <v>83.5</v>
      </c>
      <c r="F1675" s="7" t="n">
        <v>18.4</v>
      </c>
      <c r="G1675" t="n">
        <v>33080</v>
      </c>
      <c r="H1675" t="n">
        <v>29450</v>
      </c>
      <c r="I1675" t="n">
        <v>26751</v>
      </c>
      <c r="J1675" t="n">
        <v>19546</v>
      </c>
      <c r="K1675" s="27">
        <f>(H1675/D1675-1)</f>
        <v/>
      </c>
      <c r="L1675" s="27">
        <f>(I1675/D1675-1)</f>
        <v/>
      </c>
      <c r="M1675" s="27">
        <f>(J1675/D1675-1)</f>
        <v/>
      </c>
      <c r="N1675" t="n">
        <v>38.7</v>
      </c>
      <c r="O1675" s="28">
        <f>(N1675+F1675)/2</f>
        <v/>
      </c>
      <c r="P1675">
        <f>IF(O1675="計算不能","計算不能",IF(O1675&gt;=80,5,IF(O1675&gt;=60,4,IF(O1675&gt;=40,3,IF(O1675&gt;=28,2,1)))))</f>
        <v/>
      </c>
      <c r="Q1675" t="n">
        <v>4424</v>
      </c>
      <c r="R1675" t="n">
        <v>300</v>
      </c>
      <c r="S1675" s="27">
        <f>R1675/Q1675</f>
        <v/>
      </c>
      <c r="T1675" t="inlineStr">
        <is>
          <t>南九州市は2045年までに人口が約33.6%減と急激な過疎・超高齢化が進行。若年労働世代の流出と自然減が重なり、賃貸事業としての持続性は極めて限定的。</t>
        </is>
      </c>
      <c r="U1675" t="inlineStr">
        <is>
          <t>南九州市は人口密度84人/km²と過疎的水準で、民間賃貸の新規需要は薄い。実需に裏付けられた格安戸建ての指値取得のみが現実的。 借家の空室率は約7%と需給は比較的引き締まっている。</t>
        </is>
      </c>
      <c r="V1675" t="inlineStr">
        <is>
          <t>南九州市（鹿児島県）：桜島・霧島の火山と降灰が日常的リスク。川内川の氾濫、シラス台地の崩壊、南西諸島の津波に留意。</t>
        </is>
      </c>
    </row>
    <row r="1676">
      <c r="A1676" t="inlineStr">
        <is>
          <t>鹿児島県</t>
        </is>
      </c>
      <c r="B1676" t="inlineStr">
        <is>
          <t>伊佐市</t>
        </is>
      </c>
      <c r="C1676" t="n">
        <v>10470</v>
      </c>
      <c r="D1676" t="n">
        <v>22048</v>
      </c>
      <c r="E1676" s="6" t="n">
        <v>54.5</v>
      </c>
      <c r="F1676" s="7" t="n">
        <v>15.4</v>
      </c>
      <c r="G1676" t="n">
        <v>24453</v>
      </c>
      <c r="H1676" t="n">
        <v>22048</v>
      </c>
      <c r="I1676" t="n">
        <v>20044</v>
      </c>
      <c r="J1676" t="n">
        <v>14816</v>
      </c>
      <c r="K1676" s="27">
        <f>(H1676/D1676-1)</f>
        <v/>
      </c>
      <c r="L1676" s="27">
        <f>(I1676/D1676-1)</f>
        <v/>
      </c>
      <c r="M1676" s="27">
        <f>(J1676/D1676-1)</f>
        <v/>
      </c>
      <c r="N1676" t="n">
        <v>39.9</v>
      </c>
      <c r="O1676" s="28">
        <f>(N1676+F1676)/2</f>
        <v/>
      </c>
      <c r="P1676">
        <f>IF(O1676="計算不能","計算不能",IF(O1676&gt;=80,5,IF(O1676&gt;=60,4,IF(O1676&gt;=40,3,IF(O1676&gt;=28,2,1)))))</f>
        <v/>
      </c>
      <c r="Q1676" t="n">
        <v>3459</v>
      </c>
      <c r="R1676" t="n">
        <v>850</v>
      </c>
      <c r="S1676" s="27">
        <f>R1676/Q1676</f>
        <v/>
      </c>
      <c r="T1676" t="inlineStr">
        <is>
          <t>伊佐市は2045年までに人口が約32.8%減と急激な過疎・超高齢化が進行。若年労働世代の流出と自然減が重なり、賃貸事業としての持続性は極めて限定的。</t>
        </is>
      </c>
      <c r="U1676" t="inlineStr">
        <is>
          <t>伊佐市は人口密度54人/km²と過疎的水準で、民間賃貸の新規需要は薄い。実需に裏付けられた格安戸建ての指値取得のみが現実的。 借家の空室率は約25%とやや高めで、競合との差別化が必要。</t>
        </is>
      </c>
      <c r="V1676" t="inlineStr">
        <is>
          <t>伊佐市（鹿児島県）：桜島・霧島の火山と降灰が日常的リスク。川内川の氾濫、シラス台地の崩壊、南西諸島の津波に留意。</t>
        </is>
      </c>
    </row>
    <row r="1677">
      <c r="A1677" t="inlineStr">
        <is>
          <t>鹿児島県</t>
        </is>
      </c>
      <c r="B1677" t="inlineStr">
        <is>
          <t>姶良市</t>
        </is>
      </c>
      <c r="C1677" t="n">
        <v>32690</v>
      </c>
      <c r="D1677" t="n">
        <v>75531</v>
      </c>
      <c r="E1677" s="6" t="n">
        <v>332.6</v>
      </c>
      <c r="F1677" s="7" t="n">
        <v>36.6</v>
      </c>
      <c r="G1677" t="n">
        <v>76348</v>
      </c>
      <c r="H1677" t="n">
        <v>75531</v>
      </c>
      <c r="I1677" t="n">
        <v>73747</v>
      </c>
      <c r="J1677" t="n">
        <v>66844</v>
      </c>
      <c r="K1677" s="27">
        <f>(H1677/D1677-1)</f>
        <v/>
      </c>
      <c r="L1677" s="27">
        <f>(I1677/D1677-1)</f>
        <v/>
      </c>
      <c r="M1677" s="27">
        <f>(J1677/D1677-1)</f>
        <v/>
      </c>
      <c r="N1677" t="n">
        <v>65.5</v>
      </c>
      <c r="O1677" s="28">
        <f>(N1677+F1677)/2</f>
        <v/>
      </c>
      <c r="P1677">
        <f>IF(O1677="計算不能","計算不能",IF(O1677&gt;=80,5,IF(O1677&gt;=60,4,IF(O1677&gt;=40,3,IF(O1677&gt;=28,2,1)))))</f>
        <v/>
      </c>
      <c r="Q1677" t="n">
        <v>10802</v>
      </c>
      <c r="R1677" t="n">
        <v>2280</v>
      </c>
      <c r="S1677" s="27">
        <f>R1677/Q1677</f>
        <v/>
      </c>
      <c r="T1677" t="inlineStr">
        <is>
          <t>姶良市は2045年までに人口が約11.5%減と緩やかな減少局面。若年層の都市部流出と高齢化が進むが、当面の賃貸稼働は一定程度維持される見通し。</t>
        </is>
      </c>
      <c r="U1677" t="inlineStr">
        <is>
          <t>姶良市は人口密度333人/km²と低密度で、賃貸需要は限定的。持ち家比率が高く、駐車場完備の戸建て賃貸が有利。 借家の空室率は約21%とやや高めで、競合との差別化が必要。</t>
        </is>
      </c>
      <c r="V1677" t="inlineStr">
        <is>
          <t>姶良市（鹿児島県）：桜島・霧島の火山と降灰が日常的リスク。川内川の氾濫、シラス台地の崩壊、南西諸島の津波に留意。</t>
        </is>
      </c>
    </row>
    <row r="1678">
      <c r="A1678" t="inlineStr">
        <is>
          <t>鹿児島県</t>
        </is>
      </c>
      <c r="B1678" t="inlineStr">
        <is>
          <t>三島村</t>
        </is>
      </c>
      <c r="C1678" t="n">
        <v>197</v>
      </c>
      <c r="D1678" t="n">
        <v>338</v>
      </c>
      <c r="E1678" s="6" t="n">
        <v>11.6</v>
      </c>
      <c r="F1678" s="7" t="n">
        <v>11.2</v>
      </c>
      <c r="G1678" t="n">
        <v>405</v>
      </c>
      <c r="H1678" t="n">
        <v>338</v>
      </c>
      <c r="I1678" t="n">
        <v>297</v>
      </c>
      <c r="J1678" t="n">
        <v>231</v>
      </c>
      <c r="K1678" s="27">
        <f>(H1678/D1678-1)</f>
        <v/>
      </c>
      <c r="L1678" s="27">
        <f>(I1678/D1678-1)</f>
        <v/>
      </c>
      <c r="M1678" s="27">
        <f>(J1678/D1678-1)</f>
        <v/>
      </c>
      <c r="N1678" t="n">
        <v>33.3</v>
      </c>
      <c r="O1678" s="28">
        <f>(N1678+F1678)/2</f>
        <v/>
      </c>
      <c r="P1678">
        <f>IF(O1678="計算不能","計算不能",IF(O1678&gt;=80,5,IF(O1678&gt;=60,4,IF(O1678&gt;=40,3,IF(O1678&gt;=28,2,1)))))</f>
        <v/>
      </c>
      <c r="Q1678" t="n">
        <v>65</v>
      </c>
      <c r="R1678" t="n">
        <v>0</v>
      </c>
      <c r="S1678" s="27">
        <f>R1678/Q1678</f>
        <v/>
      </c>
      <c r="T1678" t="inlineStr">
        <is>
          <t>三島村は2045年までに人口が約31.7%減と急激な過疎・超高齢化が進行。若年労働世代の流出と自然減が重なり、賃貸事業としての持続性は極めて限定的。</t>
        </is>
      </c>
      <c r="U1678" t="inlineStr">
        <is>
          <t>三島村は人口密度12人/km²と過疎的水準で、民間賃貸の新規需要は薄い。実需に裏付けられた格安戸建ての指値取得のみが現実的。 借家の空室率は約0%と需給は比較的引き締まっている。</t>
        </is>
      </c>
      <c r="V1678" t="inlineStr">
        <is>
          <t>三島村（鹿児島県）：桜島・霧島の火山と降灰が日常的リスク。川内川の氾濫、シラス台地の崩壊、南西諸島の津波に留意。</t>
        </is>
      </c>
    </row>
    <row r="1679">
      <c r="A1679" t="inlineStr">
        <is>
          <t>鹿児島県</t>
        </is>
      </c>
      <c r="B1679" t="inlineStr">
        <is>
          <t>十島村</t>
        </is>
      </c>
      <c r="C1679" t="n">
        <v>380</v>
      </c>
      <c r="D1679" t="n">
        <v>695</v>
      </c>
      <c r="E1679" s="6" t="n">
        <v>6.3</v>
      </c>
      <c r="F1679" s="7" t="n">
        <v>10.6</v>
      </c>
      <c r="G1679" t="n">
        <v>740</v>
      </c>
      <c r="H1679" t="n">
        <v>695</v>
      </c>
      <c r="I1679" t="n">
        <v>652</v>
      </c>
      <c r="J1679" t="n">
        <v>558</v>
      </c>
      <c r="K1679" s="27">
        <f>(H1679/D1679-1)</f>
        <v/>
      </c>
      <c r="L1679" s="27">
        <f>(I1679/D1679-1)</f>
        <v/>
      </c>
      <c r="M1679" s="27">
        <f>(J1679/D1679-1)</f>
        <v/>
      </c>
      <c r="N1679" t="n">
        <v>49.5</v>
      </c>
      <c r="O1679" s="28">
        <f>(N1679+F1679)/2</f>
        <v/>
      </c>
      <c r="P1679">
        <f>IF(O1679="計算不能","計算不能",IF(O1679&gt;=80,5,IF(O1679&gt;=60,4,IF(O1679&gt;=40,3,IF(O1679&gt;=28,2,1)))))</f>
        <v/>
      </c>
      <c r="Q1679" t="n">
        <v>125</v>
      </c>
      <c r="R1679" t="n">
        <v>0</v>
      </c>
      <c r="S1679" s="27">
        <f>R1679/Q1679</f>
        <v/>
      </c>
      <c r="T1679" t="inlineStr">
        <is>
          <t>十島村は2045年までに人口が約19.7%減と明確な減少トレンド。高齢化の進行と世帯数の縮小により、中長期では賃貸需要の構造的縮小に警戒が必要。</t>
        </is>
      </c>
      <c r="U1679" t="inlineStr">
        <is>
          <t>十島村は人口密度6人/km²と過疎的水準で、民間賃貸の新規需要は薄い。実需に裏付けられた格安戸建ての指値取得のみが現実的。 借家の空室率は約0%と需給は比較的引き締まっている。</t>
        </is>
      </c>
      <c r="V1679" t="inlineStr">
        <is>
          <t>十島村（鹿児島県）：桜島・霧島の火山と降灰が日常的リスク。川内川の氾濫、シラス台地の崩壊、南西諸島の津波に留意。</t>
        </is>
      </c>
    </row>
    <row r="1680">
      <c r="A1680" t="inlineStr">
        <is>
          <t>鹿児島県</t>
        </is>
      </c>
      <c r="B1680" t="inlineStr">
        <is>
          <t>さつま町</t>
        </is>
      </c>
      <c r="C1680" t="n">
        <v>8400</v>
      </c>
      <c r="D1680" t="n">
        <v>17573</v>
      </c>
      <c r="E1680" s="6" t="n">
        <v>57.8</v>
      </c>
      <c r="F1680" s="7" t="n">
        <v>15.8</v>
      </c>
      <c r="G1680" t="n">
        <v>20243</v>
      </c>
      <c r="H1680" t="n">
        <v>17573</v>
      </c>
      <c r="I1680" t="n">
        <v>15840</v>
      </c>
      <c r="J1680" t="n">
        <v>11502</v>
      </c>
      <c r="K1680" s="27">
        <f>(H1680/D1680-1)</f>
        <v/>
      </c>
      <c r="L1680" s="27">
        <f>(I1680/D1680-1)</f>
        <v/>
      </c>
      <c r="M1680" s="27">
        <f>(J1680/D1680-1)</f>
        <v/>
      </c>
      <c r="N1680" t="n">
        <v>36.3</v>
      </c>
      <c r="O1680" s="28">
        <f>(N1680+F1680)/2</f>
        <v/>
      </c>
      <c r="P1680">
        <f>IF(O1680="計算不能","計算不能",IF(O1680&gt;=80,5,IF(O1680&gt;=60,4,IF(O1680&gt;=40,3,IF(O1680&gt;=28,2,1)))))</f>
        <v/>
      </c>
      <c r="Q1680" t="n">
        <v>2775</v>
      </c>
      <c r="R1680" t="n">
        <v>380</v>
      </c>
      <c r="S1680" s="27">
        <f>R1680/Q1680</f>
        <v/>
      </c>
      <c r="T1680" t="inlineStr">
        <is>
          <t>さつま町は2045年までに人口が約34.5%減と急激な過疎・超高齢化が進行。若年労働世代の流出と自然減が重なり、賃貸事業としての持続性は極めて限定的。</t>
        </is>
      </c>
      <c r="U1680" t="inlineStr">
        <is>
          <t>さつま町は人口密度58人/km²と過疎的水準で、民間賃貸の新規需要は薄い。実需に裏付けられた格安戸建ての指値取得のみが現実的。 借家の空室率は約14%と需給は比較的引き締まっている。</t>
        </is>
      </c>
      <c r="V1680" t="inlineStr">
        <is>
          <t>さつま町（鹿児島県）：桜島・霧島の火山と降灰が日常的リスク。川内川の氾濫、シラス台地の崩壊、南西諸島の津波に留意。</t>
        </is>
      </c>
    </row>
    <row r="1681">
      <c r="A1681" t="inlineStr">
        <is>
          <t>鹿児島県</t>
        </is>
      </c>
      <c r="B1681" t="inlineStr">
        <is>
          <t>長島町</t>
        </is>
      </c>
      <c r="C1681" t="n">
        <v>4352</v>
      </c>
      <c r="D1681" t="n">
        <v>8980</v>
      </c>
      <c r="E1681" s="6" t="n">
        <v>74.40000000000001</v>
      </c>
      <c r="F1681" s="7" t="n">
        <v>17.4</v>
      </c>
      <c r="G1681" t="n">
        <v>9705</v>
      </c>
      <c r="H1681" t="n">
        <v>8980</v>
      </c>
      <c r="I1681" t="n">
        <v>8304</v>
      </c>
      <c r="J1681" t="n">
        <v>6448</v>
      </c>
      <c r="K1681" s="27">
        <f>(H1681/D1681-1)</f>
        <v/>
      </c>
      <c r="L1681" s="27">
        <f>(I1681/D1681-1)</f>
        <v/>
      </c>
      <c r="M1681" s="27">
        <f>(J1681/D1681-1)</f>
        <v/>
      </c>
      <c r="N1681" t="n">
        <v>43.6</v>
      </c>
      <c r="O1681" s="28">
        <f>(N1681+F1681)/2</f>
        <v/>
      </c>
      <c r="P1681">
        <f>IF(O1681="計算不能","計算不能",IF(O1681&gt;=80,5,IF(O1681&gt;=60,4,IF(O1681&gt;=40,3,IF(O1681&gt;=28,2,1)))))</f>
        <v/>
      </c>
      <c r="Q1681" t="n">
        <v>1438</v>
      </c>
      <c r="R1681" t="n">
        <v>0</v>
      </c>
      <c r="S1681" s="27">
        <f>R1681/Q1681</f>
        <v/>
      </c>
      <c r="T1681" t="inlineStr">
        <is>
          <t>長島町は2045年までに人口が約28.2%減と明確な減少トレンド。高齢化の進行と世帯数の縮小により、中長期では賃貸需要の構造的縮小に警戒が必要。</t>
        </is>
      </c>
      <c r="U1681" t="inlineStr">
        <is>
          <t>長島町は人口密度74人/km²と過疎的水準で、民間賃貸の新規需要は薄い。実需に裏付けられた格安戸建ての指値取得のみが現実的。 借家の空室率は約0%と需給は比較的引き締まっている。</t>
        </is>
      </c>
      <c r="V1681" t="inlineStr">
        <is>
          <t>長島町（鹿児島県）：桜島・霧島の火山と降灰が日常的リスク。川内川の氾濫、シラス台地の崩壊、南西諸島の津波に留意。</t>
        </is>
      </c>
    </row>
    <row r="1682">
      <c r="A1682" t="inlineStr">
        <is>
          <t>鹿児島県</t>
        </is>
      </c>
      <c r="B1682" t="inlineStr">
        <is>
          <t>湧水町</t>
        </is>
      </c>
      <c r="C1682" t="n">
        <v>4623</v>
      </c>
      <c r="D1682" t="n">
        <v>8236</v>
      </c>
      <c r="E1682" s="6" t="n">
        <v>57.5</v>
      </c>
      <c r="F1682" s="7" t="n">
        <v>15.8</v>
      </c>
      <c r="G1682" t="n">
        <v>9119</v>
      </c>
      <c r="H1682" t="n">
        <v>8236</v>
      </c>
      <c r="I1682" t="n">
        <v>7385</v>
      </c>
      <c r="J1682" t="n">
        <v>5186</v>
      </c>
      <c r="K1682" s="27">
        <f>(H1682/D1682-1)</f>
        <v/>
      </c>
      <c r="L1682" s="27">
        <f>(I1682/D1682-1)</f>
        <v/>
      </c>
      <c r="M1682" s="27">
        <f>(J1682/D1682-1)</f>
        <v/>
      </c>
      <c r="N1682" t="n">
        <v>38.7</v>
      </c>
      <c r="O1682" s="28">
        <f>(N1682+F1682)/2</f>
        <v/>
      </c>
      <c r="P1682">
        <f>IF(O1682="計算不能","計算不能",IF(O1682&gt;=80,5,IF(O1682&gt;=60,4,IF(O1682&gt;=40,3,IF(O1682&gt;=28,2,1)))))</f>
        <v/>
      </c>
      <c r="Q1682" t="n">
        <v>1527</v>
      </c>
      <c r="R1682" t="n">
        <v>0</v>
      </c>
      <c r="S1682" s="27">
        <f>R1682/Q1682</f>
        <v/>
      </c>
      <c r="T1682" t="inlineStr">
        <is>
          <t>湧水町は2045年までに人口が約37.0%減と急激な過疎・超高齢化が進行。若年労働世代の流出と自然減が重なり、賃貸事業としての持続性は極めて限定的。</t>
        </is>
      </c>
      <c r="U1682" t="inlineStr">
        <is>
          <t>湧水町は人口密度58人/km²と過疎的水準で、民間賃貸の新規需要は薄い。実需に裏付けられた格安戸建ての指値取得のみが現実的。 借家の空室率は約0%と需給は比較的引き締まっている。</t>
        </is>
      </c>
      <c r="V1682" t="inlineStr">
        <is>
          <t>湧水町（鹿児島県）：桜島・霧島の火山と降灰が日常的リスク。川内川の氾濫、シラス台地の崩壊、南西諸島の津波に留意。</t>
        </is>
      </c>
    </row>
    <row r="1683">
      <c r="A1683" t="inlineStr">
        <is>
          <t>鹿児島県</t>
        </is>
      </c>
      <c r="B1683" t="inlineStr">
        <is>
          <t>大崎町</t>
        </is>
      </c>
      <c r="C1683" t="n">
        <v>6547</v>
      </c>
      <c r="D1683" t="n">
        <v>11467</v>
      </c>
      <c r="E1683" s="6" t="n">
        <v>111.2</v>
      </c>
      <c r="F1683" s="7" t="n">
        <v>21.1</v>
      </c>
      <c r="G1683" t="n">
        <v>12385</v>
      </c>
      <c r="H1683" t="n">
        <v>11467</v>
      </c>
      <c r="I1683" t="n">
        <v>10608</v>
      </c>
      <c r="J1683" t="n">
        <v>8228</v>
      </c>
      <c r="K1683" s="27">
        <f>(H1683/D1683-1)</f>
        <v/>
      </c>
      <c r="L1683" s="27">
        <f>(I1683/D1683-1)</f>
        <v/>
      </c>
      <c r="M1683" s="27">
        <f>(J1683/D1683-1)</f>
        <v/>
      </c>
      <c r="N1683" t="n">
        <v>43.6</v>
      </c>
      <c r="O1683" s="28">
        <f>(N1683+F1683)/2</f>
        <v/>
      </c>
      <c r="P1683">
        <f>IF(O1683="計算不能","計算不能",IF(O1683&gt;=80,5,IF(O1683&gt;=60,4,IF(O1683&gt;=40,3,IF(O1683&gt;=28,2,1)))))</f>
        <v/>
      </c>
      <c r="Q1683" t="n">
        <v>2163</v>
      </c>
      <c r="R1683" t="n">
        <v>0</v>
      </c>
      <c r="S1683" s="27">
        <f>R1683/Q1683</f>
        <v/>
      </c>
      <c r="T1683" t="inlineStr">
        <is>
          <t>大崎町は2045年までに人口が約28.2%減と明確な減少トレンド。高齢化の進行と世帯数の縮小により、中長期では賃貸需要の構造的縮小に警戒が必要。</t>
        </is>
      </c>
      <c r="U1683" t="inlineStr">
        <is>
          <t>大崎町は人口密度111人/km²と過疎的水準で、民間賃貸の新規需要は薄い。実需に裏付けられた格安戸建ての指値取得のみが現実的。 借家の空室率は約0%と需給は比較的引き締まっている。</t>
        </is>
      </c>
      <c r="V1683" t="inlineStr">
        <is>
          <t>大崎町（鹿児島県）：桜島・霧島の火山と降灰が日常的リスク。川内川の氾濫、シラス台地の崩壊、南西諸島の津波に留意。</t>
        </is>
      </c>
    </row>
    <row r="1684">
      <c r="A1684" t="inlineStr">
        <is>
          <t>鹿児島県</t>
        </is>
      </c>
      <c r="B1684" t="inlineStr">
        <is>
          <t>東串良町</t>
        </is>
      </c>
      <c r="C1684" t="n">
        <v>3250</v>
      </c>
      <c r="D1684" t="n">
        <v>5885</v>
      </c>
      <c r="E1684" s="6" t="n">
        <v>211.5</v>
      </c>
      <c r="F1684" s="7" t="n">
        <v>30.6</v>
      </c>
      <c r="G1684" t="n">
        <v>6237</v>
      </c>
      <c r="H1684" t="n">
        <v>5885</v>
      </c>
      <c r="I1684" t="n">
        <v>5547</v>
      </c>
      <c r="J1684" t="n">
        <v>4692</v>
      </c>
      <c r="K1684" s="27">
        <f>(H1684/D1684-1)</f>
        <v/>
      </c>
      <c r="L1684" s="27">
        <f>(I1684/D1684-1)</f>
        <v/>
      </c>
      <c r="M1684" s="27">
        <f>(J1684/D1684-1)</f>
        <v/>
      </c>
      <c r="N1684" t="n">
        <v>50.4</v>
      </c>
      <c r="O1684" s="28">
        <f>(N1684+F1684)/2</f>
        <v/>
      </c>
      <c r="P1684">
        <f>IF(O1684="計算不能","計算不能",IF(O1684&gt;=80,5,IF(O1684&gt;=60,4,IF(O1684&gt;=40,3,IF(O1684&gt;=28,2,1)))))</f>
        <v/>
      </c>
      <c r="Q1684" t="n">
        <v>1074</v>
      </c>
      <c r="R1684" t="n">
        <v>0</v>
      </c>
      <c r="S1684" s="27">
        <f>R1684/Q1684</f>
        <v/>
      </c>
      <c r="T1684" t="inlineStr">
        <is>
          <t>東串良町は2045年までに人口が約20.3%減と明確な減少トレンド。高齢化の進行と世帯数の縮小により、中長期では賃貸需要の構造的縮小に警戒が必要。</t>
        </is>
      </c>
      <c r="U1684" t="inlineStr">
        <is>
          <t>東串良町は人口密度212人/km²と低密度で、賃貸需要は限定的。持ち家比率が高く、駐車場完備の戸建て賃貸が有利。 借家の空室率は約0%と需給は比較的引き締まっている。</t>
        </is>
      </c>
      <c r="V1684" t="inlineStr">
        <is>
          <t>東串良町（鹿児島県）：桜島・霧島の火山と降灰が日常的リスク。川内川の氾濫、シラス台地の崩壊、南西諸島の津波に留意。</t>
        </is>
      </c>
    </row>
    <row r="1685">
      <c r="A1685" t="inlineStr">
        <is>
          <t>鹿児島県</t>
        </is>
      </c>
      <c r="B1685" t="inlineStr">
        <is>
          <t>錦江町</t>
        </is>
      </c>
      <c r="C1685" t="n">
        <v>3456</v>
      </c>
      <c r="D1685" t="n">
        <v>6071</v>
      </c>
      <c r="E1685" s="6" t="n">
        <v>35.3</v>
      </c>
      <c r="F1685" s="7" t="n">
        <v>13.5</v>
      </c>
      <c r="G1685" t="n">
        <v>6944</v>
      </c>
      <c r="H1685" t="n">
        <v>6071</v>
      </c>
      <c r="I1685" t="n">
        <v>5347</v>
      </c>
      <c r="J1685" t="n">
        <v>3583</v>
      </c>
      <c r="K1685" s="27">
        <f>(H1685/D1685-1)</f>
        <v/>
      </c>
      <c r="L1685" s="27">
        <f>(I1685/D1685-1)</f>
        <v/>
      </c>
      <c r="M1685" s="27">
        <f>(J1685/D1685-1)</f>
        <v/>
      </c>
      <c r="N1685" t="n">
        <v>34.8</v>
      </c>
      <c r="O1685" s="28">
        <f>(N1685+F1685)/2</f>
        <v/>
      </c>
      <c r="P1685">
        <f>IF(O1685="計算不能","計算不能",IF(O1685&gt;=80,5,IF(O1685&gt;=60,4,IF(O1685&gt;=40,3,IF(O1685&gt;=28,2,1)))))</f>
        <v/>
      </c>
      <c r="Q1685" t="n">
        <v>1142</v>
      </c>
      <c r="R1685" t="n">
        <v>0</v>
      </c>
      <c r="S1685" s="27">
        <f>R1685/Q1685</f>
        <v/>
      </c>
      <c r="T1685" t="inlineStr">
        <is>
          <t>錦江町は2045年までに人口が約41.0%減と急激な過疎・超高齢化が進行。若年労働世代の流出と自然減が重なり、賃貸事業としての持続性は極めて限定的。</t>
        </is>
      </c>
      <c r="U1685" t="inlineStr">
        <is>
          <t>錦江町は人口密度35人/km²と過疎的水準で、民間賃貸の新規需要は薄い。実需に裏付けられた格安戸建ての指値取得のみが現実的。 借家の空室率は約0%と需給は比較的引き締まっている。</t>
        </is>
      </c>
      <c r="V1685" t="inlineStr">
        <is>
          <t>錦江町（鹿児島県）：桜島・霧島の火山と降灰が日常的リスク。川内川の氾濫、シラス台地の崩壊、南西諸島の津波に留意。</t>
        </is>
      </c>
    </row>
    <row r="1686">
      <c r="A1686" t="inlineStr">
        <is>
          <t>鹿児島県</t>
        </is>
      </c>
      <c r="B1686" t="inlineStr">
        <is>
          <t>南大隅町</t>
        </is>
      </c>
      <c r="C1686" t="n">
        <v>3450</v>
      </c>
      <c r="D1686" t="n">
        <v>5554</v>
      </c>
      <c r="E1686" s="6" t="n">
        <v>25.1</v>
      </c>
      <c r="F1686" s="7" t="n">
        <v>12.5</v>
      </c>
      <c r="G1686" t="n">
        <v>6481</v>
      </c>
      <c r="H1686" t="n">
        <v>5554</v>
      </c>
      <c r="I1686" t="n">
        <v>4780</v>
      </c>
      <c r="J1686" t="n">
        <v>2997</v>
      </c>
      <c r="K1686" s="27">
        <f>(H1686/D1686-1)</f>
        <v/>
      </c>
      <c r="L1686" s="27">
        <f>(I1686/D1686-1)</f>
        <v/>
      </c>
      <c r="M1686" s="27">
        <f>(J1686/D1686-1)</f>
        <v/>
      </c>
      <c r="N1686" t="n">
        <v>31.7</v>
      </c>
      <c r="O1686" s="28">
        <f>(N1686+F1686)/2</f>
        <v/>
      </c>
      <c r="P1686">
        <f>IF(O1686="計算不能","計算不能",IF(O1686&gt;=80,5,IF(O1686&gt;=60,4,IF(O1686&gt;=40,3,IF(O1686&gt;=28,2,1)))))</f>
        <v/>
      </c>
      <c r="Q1686" t="n">
        <v>1140</v>
      </c>
      <c r="R1686" t="n">
        <v>0</v>
      </c>
      <c r="S1686" s="27">
        <f>R1686/Q1686</f>
        <v/>
      </c>
      <c r="T1686" t="inlineStr">
        <is>
          <t>南大隅町は2045年までに人口が約46.0%減と急激な過疎・超高齢化が進行。若年労働世代の流出と自然減が重なり、賃貸事業としての持続性は極めて限定的。</t>
        </is>
      </c>
      <c r="U1686" t="inlineStr">
        <is>
          <t>南大隅町は人口密度25人/km²と過疎的水準で、民間賃貸の新規需要は薄い。実需に裏付けられた格安戸建ての指値取得のみが現実的。 借家の空室率は約0%と需給は比較的引き締まっている。</t>
        </is>
      </c>
      <c r="V1686" t="inlineStr">
        <is>
          <t>南大隅町（鹿児島県）：桜島・霧島の火山と降灰が日常的リスク。川内川の氾濫、シラス台地の崩壊、南西諸島の津波に留意。</t>
        </is>
      </c>
    </row>
    <row r="1687">
      <c r="A1687" t="inlineStr">
        <is>
          <t>鹿児島県</t>
        </is>
      </c>
      <c r="B1687" t="inlineStr">
        <is>
          <t>肝付町</t>
        </is>
      </c>
      <c r="C1687" t="n">
        <v>7416</v>
      </c>
      <c r="D1687" t="n">
        <v>12486</v>
      </c>
      <c r="E1687" s="6" t="n">
        <v>41.5</v>
      </c>
      <c r="F1687" s="7" t="n">
        <v>14.2</v>
      </c>
      <c r="G1687" t="n">
        <v>14227</v>
      </c>
      <c r="H1687" t="n">
        <v>12486</v>
      </c>
      <c r="I1687" t="n">
        <v>11326</v>
      </c>
      <c r="J1687" t="n">
        <v>8297</v>
      </c>
      <c r="K1687" s="27">
        <f>(H1687/D1687-1)</f>
        <v/>
      </c>
      <c r="L1687" s="27">
        <f>(I1687/D1687-1)</f>
        <v/>
      </c>
      <c r="M1687" s="27">
        <f>(J1687/D1687-1)</f>
        <v/>
      </c>
      <c r="N1687" t="n">
        <v>37.5</v>
      </c>
      <c r="O1687" s="28">
        <f>(N1687+F1687)/2</f>
        <v/>
      </c>
      <c r="P1687">
        <f>IF(O1687="計算不能","計算不能",IF(O1687&gt;=80,5,IF(O1687&gt;=60,4,IF(O1687&gt;=40,3,IF(O1687&gt;=28,2,1)))))</f>
        <v/>
      </c>
      <c r="Q1687" t="n">
        <v>2450</v>
      </c>
      <c r="R1687" t="n">
        <v>0</v>
      </c>
      <c r="S1687" s="27">
        <f>R1687/Q1687</f>
        <v/>
      </c>
      <c r="T1687" t="inlineStr">
        <is>
          <t>肝付町は2045年までに人口が約33.5%減と急激な過疎・超高齢化が進行。若年労働世代の流出と自然減が重なり、賃貸事業としての持続性は極めて限定的。</t>
        </is>
      </c>
      <c r="U1687" t="inlineStr">
        <is>
          <t>肝付町は人口密度42人/km²と過疎的水準で、民間賃貸の新規需要は薄い。実需に裏付けられた格安戸建ての指値取得のみが現実的。 借家の空室率は約0%と需給は比較的引き締まっている。</t>
        </is>
      </c>
      <c r="V1687" t="inlineStr">
        <is>
          <t>肝付町（鹿児島県）：桜島・霧島の火山と降灰が日常的リスク。川内川の氾濫、シラス台地の崩壊、南西諸島の津波に留意。</t>
        </is>
      </c>
    </row>
    <row r="1688">
      <c r="A1688" t="inlineStr">
        <is>
          <t>鹿児島県</t>
        </is>
      </c>
      <c r="B1688" t="inlineStr">
        <is>
          <t>中種子町</t>
        </is>
      </c>
      <c r="C1688" t="n">
        <v>4035</v>
      </c>
      <c r="D1688" t="n">
        <v>6968</v>
      </c>
      <c r="E1688" s="6" t="n">
        <v>50</v>
      </c>
      <c r="F1688" s="7" t="n">
        <v>15</v>
      </c>
      <c r="G1688" t="n">
        <v>7539</v>
      </c>
      <c r="H1688" t="n">
        <v>6968</v>
      </c>
      <c r="I1688" t="n">
        <v>6430</v>
      </c>
      <c r="J1688" t="n">
        <v>4981</v>
      </c>
      <c r="K1688" s="27">
        <f>(H1688/D1688-1)</f>
        <v/>
      </c>
      <c r="L1688" s="27">
        <f>(I1688/D1688-1)</f>
        <v/>
      </c>
      <c r="M1688" s="27">
        <f>(J1688/D1688-1)</f>
        <v/>
      </c>
      <c r="N1688" t="n">
        <v>43.3</v>
      </c>
      <c r="O1688" s="28">
        <f>(N1688+F1688)/2</f>
        <v/>
      </c>
      <c r="P1688">
        <f>IF(O1688="計算不能","計算不能",IF(O1688&gt;=80,5,IF(O1688&gt;=60,4,IF(O1688&gt;=40,3,IF(O1688&gt;=28,2,1)))))</f>
        <v/>
      </c>
      <c r="Q1688" t="n">
        <v>1333</v>
      </c>
      <c r="R1688" t="n">
        <v>0</v>
      </c>
      <c r="S1688" s="27">
        <f>R1688/Q1688</f>
        <v/>
      </c>
      <c r="T1688" t="inlineStr">
        <is>
          <t>中種子町は2045年までに人口が約28.5%減と明確な減少トレンド。高齢化の進行と世帯数の縮小により、中長期では賃貸需要の構造的縮小に警戒が必要。</t>
        </is>
      </c>
      <c r="U1688" t="inlineStr">
        <is>
          <t>中種子町は人口密度50人/km²と過疎的水準で、民間賃貸の新規需要は薄い。実需に裏付けられた格安戸建ての指値取得のみが現実的。 借家の空室率は約0%と需給は比較的引き締まっている。</t>
        </is>
      </c>
      <c r="V1688" t="inlineStr">
        <is>
          <t>中種子町（鹿児島県）：桜島・霧島の火山と降灰が日常的リスク。川内川の氾濫、シラス台地の崩壊、南西諸島の津波に留意。</t>
        </is>
      </c>
    </row>
    <row r="1689">
      <c r="A1689" t="inlineStr">
        <is>
          <t>鹿児島県</t>
        </is>
      </c>
      <c r="B1689" t="inlineStr">
        <is>
          <t>南種子町</t>
        </is>
      </c>
      <c r="C1689" t="n">
        <v>2872</v>
      </c>
      <c r="D1689" t="n">
        <v>5042</v>
      </c>
      <c r="E1689" s="6" t="n">
        <v>45.2</v>
      </c>
      <c r="F1689" s="7" t="n">
        <v>14.5</v>
      </c>
      <c r="G1689" t="n">
        <v>5445</v>
      </c>
      <c r="H1689" t="n">
        <v>5042</v>
      </c>
      <c r="I1689" t="n">
        <v>4637</v>
      </c>
      <c r="J1689" t="n">
        <v>3611</v>
      </c>
      <c r="K1689" s="27">
        <f>(H1689/D1689-1)</f>
        <v/>
      </c>
      <c r="L1689" s="27">
        <f>(I1689/D1689-1)</f>
        <v/>
      </c>
      <c r="M1689" s="27">
        <f>(J1689/D1689-1)</f>
        <v/>
      </c>
      <c r="N1689" t="n">
        <v>43.4</v>
      </c>
      <c r="O1689" s="28">
        <f>(N1689+F1689)/2</f>
        <v/>
      </c>
      <c r="P1689">
        <f>IF(O1689="計算不能","計算不能",IF(O1689&gt;=80,5,IF(O1689&gt;=60,4,IF(O1689&gt;=40,3,IF(O1689&gt;=28,2,1)))))</f>
        <v/>
      </c>
      <c r="Q1689" t="n">
        <v>949</v>
      </c>
      <c r="R1689" t="n">
        <v>0</v>
      </c>
      <c r="S1689" s="27">
        <f>R1689/Q1689</f>
        <v/>
      </c>
      <c r="T1689" t="inlineStr">
        <is>
          <t>南種子町は2045年までに人口が約28.4%減と明確な減少トレンド。高齢化の進行と世帯数の縮小により、中長期では賃貸需要の構造的縮小に警戒が必要。</t>
        </is>
      </c>
      <c r="U1689" t="inlineStr">
        <is>
          <t>南種子町は人口密度45人/km²と過疎的水準で、民間賃貸の新規需要は薄い。実需に裏付けられた格安戸建ての指値取得のみが現実的。 借家の空室率は約0%と需給は比較的引き締まっている。</t>
        </is>
      </c>
      <c r="V1689" t="inlineStr">
        <is>
          <t>南種子町（鹿児島県）：桜島・霧島の火山と降灰が日常的リスク。川内川の氾濫、シラス台地の崩壊、南西諸島の津波に留意。</t>
        </is>
      </c>
    </row>
    <row r="1690">
      <c r="A1690" t="inlineStr">
        <is>
          <t>鹿児島県</t>
        </is>
      </c>
      <c r="B1690" t="inlineStr">
        <is>
          <t>屋久島町</t>
        </is>
      </c>
      <c r="C1690" t="n">
        <v>6429</v>
      </c>
      <c r="D1690" t="n">
        <v>11129</v>
      </c>
      <c r="E1690" s="6" t="n">
        <v>19.8</v>
      </c>
      <c r="F1690" s="7" t="n">
        <v>12</v>
      </c>
      <c r="G1690" t="n">
        <v>11858</v>
      </c>
      <c r="H1690" t="n">
        <v>11129</v>
      </c>
      <c r="I1690" t="n">
        <v>10420</v>
      </c>
      <c r="J1690" t="n">
        <v>8670</v>
      </c>
      <c r="K1690" s="27">
        <f>(H1690/D1690-1)</f>
        <v/>
      </c>
      <c r="L1690" s="27">
        <f>(I1690/D1690-1)</f>
        <v/>
      </c>
      <c r="M1690" s="27">
        <f>(J1690/D1690-1)</f>
        <v/>
      </c>
      <c r="N1690" t="n">
        <v>48.2</v>
      </c>
      <c r="O1690" s="28">
        <f>(N1690+F1690)/2</f>
        <v/>
      </c>
      <c r="P1690">
        <f>IF(O1690="計算不能","計算不能",IF(O1690&gt;=80,5,IF(O1690&gt;=60,4,IF(O1690&gt;=40,3,IF(O1690&gt;=28,2,1)))))</f>
        <v/>
      </c>
      <c r="Q1690" t="n">
        <v>2124</v>
      </c>
      <c r="R1690" t="n">
        <v>0</v>
      </c>
      <c r="S1690" s="27">
        <f>R1690/Q1690</f>
        <v/>
      </c>
      <c r="T1690" t="inlineStr">
        <is>
          <t>屋久島町は2045年までに人口が約22.1%減と明確な減少トレンド。高齢化の進行と世帯数の縮小により、中長期では賃貸需要の構造的縮小に警戒が必要。</t>
        </is>
      </c>
      <c r="U1690" t="inlineStr">
        <is>
          <t>屋久島町は人口密度20人/km²と過疎的水準で、民間賃貸の新規需要は薄い。実需に裏付けられた格安戸建ての指値取得のみが現実的。 借家の空室率は約0%と需給は比較的引き締まっている。</t>
        </is>
      </c>
      <c r="V1690" t="inlineStr">
        <is>
          <t>屋久島町（鹿児島県）：桜島・霧島の火山と降灰が日常的リスク。川内川の氾濫、シラス台地の崩壊、南西諸島の津波に留意。</t>
        </is>
      </c>
    </row>
    <row r="1691">
      <c r="A1691" t="inlineStr">
        <is>
          <t>鹿児島県</t>
        </is>
      </c>
      <c r="B1691" t="inlineStr">
        <is>
          <t>大和村</t>
        </is>
      </c>
      <c r="C1691" t="n">
        <v>832</v>
      </c>
      <c r="D1691" t="n">
        <v>1223</v>
      </c>
      <c r="E1691" s="6" t="n">
        <v>14.6</v>
      </c>
      <c r="F1691" s="7" t="n">
        <v>11.5</v>
      </c>
      <c r="G1691" t="n">
        <v>1364</v>
      </c>
      <c r="H1691" t="n">
        <v>1223</v>
      </c>
      <c r="I1691" t="n">
        <v>1119</v>
      </c>
      <c r="J1691" t="n">
        <v>820</v>
      </c>
      <c r="K1691" s="27">
        <f>(H1691/D1691-1)</f>
        <v/>
      </c>
      <c r="L1691" s="27">
        <f>(I1691/D1691-1)</f>
        <v/>
      </c>
      <c r="M1691" s="27">
        <f>(J1691/D1691-1)</f>
        <v/>
      </c>
      <c r="N1691" t="n">
        <v>39.6</v>
      </c>
      <c r="O1691" s="28">
        <f>(N1691+F1691)/2</f>
        <v/>
      </c>
      <c r="P1691">
        <f>IF(O1691="計算不能","計算不能",IF(O1691&gt;=80,5,IF(O1691&gt;=60,4,IF(O1691&gt;=40,3,IF(O1691&gt;=28,2,1)))))</f>
        <v/>
      </c>
      <c r="Q1691" t="n">
        <v>274</v>
      </c>
      <c r="R1691" t="n">
        <v>0</v>
      </c>
      <c r="S1691" s="27">
        <f>R1691/Q1691</f>
        <v/>
      </c>
      <c r="T1691" t="inlineStr">
        <is>
          <t>大和村は2045年までに人口が約33.0%減と急激な過疎・超高齢化が進行。若年労働世代の流出と自然減が重なり、賃貸事業としての持続性は極めて限定的。</t>
        </is>
      </c>
      <c r="U1691" t="inlineStr">
        <is>
          <t>大和村は人口密度15人/km²と過疎的水準で、民間賃貸の新規需要は薄い。実需に裏付けられた格安戸建ての指値取得のみが現実的。 借家の空室率は約0%と需給は比較的引き締まっている。</t>
        </is>
      </c>
      <c r="V1691" t="inlineStr">
        <is>
          <t>大和村（鹿児島県）：桜島・霧島の火山と降灰が日常的リスク。川内川の氾濫、シラス台地の崩壊、南西諸島の津波に留意。</t>
        </is>
      </c>
    </row>
    <row r="1692">
      <c r="A1692" t="inlineStr">
        <is>
          <t>鹿児島県</t>
        </is>
      </c>
      <c r="B1692" t="inlineStr">
        <is>
          <t>宇検村</t>
        </is>
      </c>
      <c r="C1692" t="n">
        <v>966</v>
      </c>
      <c r="D1692" t="n">
        <v>1512</v>
      </c>
      <c r="E1692" s="6" t="n">
        <v>15</v>
      </c>
      <c r="F1692" s="7" t="n">
        <v>11.5</v>
      </c>
      <c r="G1692" t="n">
        <v>1621</v>
      </c>
      <c r="H1692" t="n">
        <v>1512</v>
      </c>
      <c r="I1692" t="n">
        <v>1403</v>
      </c>
      <c r="J1692" t="n">
        <v>1179</v>
      </c>
      <c r="K1692" s="27">
        <f>(H1692/D1692-1)</f>
        <v/>
      </c>
      <c r="L1692" s="27">
        <f>(I1692/D1692-1)</f>
        <v/>
      </c>
      <c r="M1692" s="27">
        <f>(J1692/D1692-1)</f>
        <v/>
      </c>
      <c r="N1692" t="n">
        <v>46.6</v>
      </c>
      <c r="O1692" s="28">
        <f>(N1692+F1692)/2</f>
        <v/>
      </c>
      <c r="P1692">
        <f>IF(O1692="計算不能","計算不能",IF(O1692&gt;=80,5,IF(O1692&gt;=60,4,IF(O1692&gt;=40,3,IF(O1692&gt;=28,2,1)))))</f>
        <v/>
      </c>
      <c r="Q1692" t="n">
        <v>319</v>
      </c>
      <c r="R1692" t="n">
        <v>0</v>
      </c>
      <c r="S1692" s="27">
        <f>R1692/Q1692</f>
        <v/>
      </c>
      <c r="T1692" t="inlineStr">
        <is>
          <t>宇検村は2045年までに人口が約22.0%減と明確な減少トレンド。高齢化の進行と世帯数の縮小により、中長期では賃貸需要の構造的縮小に警戒が必要。</t>
        </is>
      </c>
      <c r="U1692" t="inlineStr">
        <is>
          <t>宇検村は人口密度15人/km²と過疎的水準で、民間賃貸の新規需要は薄い。実需に裏付けられた格安戸建ての指値取得のみが現実的。 借家の空室率は約0%と需給は比較的引き締まっている。</t>
        </is>
      </c>
      <c r="V1692" t="inlineStr">
        <is>
          <t>宇検村（鹿児島県）：桜島・霧島の火山と降灰が日常的リスク。川内川の氾濫、シラス台地の崩壊、南西諸島の津波に留意。</t>
        </is>
      </c>
    </row>
    <row r="1693">
      <c r="A1693" t="inlineStr">
        <is>
          <t>鹿児島県</t>
        </is>
      </c>
      <c r="B1693" t="inlineStr">
        <is>
          <t>瀬戸内町</t>
        </is>
      </c>
      <c r="C1693" t="n">
        <v>5041</v>
      </c>
      <c r="D1693" t="n">
        <v>7918</v>
      </c>
      <c r="E1693" s="6" t="n">
        <v>31.9</v>
      </c>
      <c r="F1693" s="7" t="n">
        <v>13.2</v>
      </c>
      <c r="G1693" t="n">
        <v>8546</v>
      </c>
      <c r="H1693" t="n">
        <v>7918</v>
      </c>
      <c r="I1693" t="n">
        <v>7386</v>
      </c>
      <c r="J1693" t="n">
        <v>5969</v>
      </c>
      <c r="K1693" s="27">
        <f>(H1693/D1693-1)</f>
        <v/>
      </c>
      <c r="L1693" s="27">
        <f>(I1693/D1693-1)</f>
        <v/>
      </c>
      <c r="M1693" s="27">
        <f>(J1693/D1693-1)</f>
        <v/>
      </c>
      <c r="N1693" t="n">
        <v>44.8</v>
      </c>
      <c r="O1693" s="28">
        <f>(N1693+F1693)/2</f>
        <v/>
      </c>
      <c r="P1693">
        <f>IF(O1693="計算不能","計算不能",IF(O1693&gt;=80,5,IF(O1693&gt;=60,4,IF(O1693&gt;=40,3,IF(O1693&gt;=28,2,1)))))</f>
        <v/>
      </c>
      <c r="Q1693" t="n">
        <v>1665</v>
      </c>
      <c r="R1693" t="n">
        <v>0</v>
      </c>
      <c r="S1693" s="27">
        <f>R1693/Q1693</f>
        <v/>
      </c>
      <c r="T1693" t="inlineStr">
        <is>
          <t>瀬戸内町は2045年までに人口が約24.6%減と明確な減少トレンド。高齢化の進行と世帯数の縮小により、中長期では賃貸需要の構造的縮小に警戒が必要。</t>
        </is>
      </c>
      <c r="U1693" t="inlineStr">
        <is>
          <t>瀬戸内町は人口密度32人/km²と過疎的水準で、民間賃貸の新規需要は薄い。実需に裏付けられた格安戸建ての指値取得のみが現実的。 借家の空室率は約0%と需給は比較的引き締まっている。</t>
        </is>
      </c>
      <c r="V1693" t="inlineStr">
        <is>
          <t>瀬戸内町（鹿児島県）：桜島・霧島の火山と降灰が日常的リスク。川内川の氾濫、シラス台地の崩壊、南西諸島の津波に留意。</t>
        </is>
      </c>
    </row>
    <row r="1694">
      <c r="A1694" t="inlineStr">
        <is>
          <t>鹿児島県</t>
        </is>
      </c>
      <c r="B1694" t="inlineStr">
        <is>
          <t>龍郷町</t>
        </is>
      </c>
      <c r="C1694" t="n">
        <v>3210</v>
      </c>
      <c r="D1694" t="n">
        <v>5670</v>
      </c>
      <c r="E1694" s="6" t="n">
        <v>69.5</v>
      </c>
      <c r="F1694" s="7" t="n">
        <v>16.9</v>
      </c>
      <c r="G1694" t="n">
        <v>5817</v>
      </c>
      <c r="H1694" t="n">
        <v>5670</v>
      </c>
      <c r="I1694" t="n">
        <v>5554</v>
      </c>
      <c r="J1694" t="n">
        <v>5233</v>
      </c>
      <c r="K1694" s="27">
        <f>(H1694/D1694-1)</f>
        <v/>
      </c>
      <c r="L1694" s="27">
        <f>(I1694/D1694-1)</f>
        <v/>
      </c>
      <c r="M1694" s="27">
        <f>(J1694/D1694-1)</f>
        <v/>
      </c>
      <c r="N1694" t="n">
        <v>64.8</v>
      </c>
      <c r="O1694" s="28">
        <f>(N1694+F1694)/2</f>
        <v/>
      </c>
      <c r="P1694">
        <f>IF(O1694="計算不能","計算不能",IF(O1694&gt;=80,5,IF(O1694&gt;=60,4,IF(O1694&gt;=40,3,IF(O1694&gt;=28,2,1)))))</f>
        <v/>
      </c>
      <c r="Q1694" t="n">
        <v>1060</v>
      </c>
      <c r="R1694" t="n">
        <v>0</v>
      </c>
      <c r="S1694" s="27">
        <f>R1694/Q1694</f>
        <v/>
      </c>
      <c r="T1694" t="inlineStr">
        <is>
          <t>龍郷町は2045年までに人口が約7.7%減と緩やかな減少局面。若年層の都市部流出と高齢化が進むが、当面の賃貸稼働は一定程度維持される見通し。</t>
        </is>
      </c>
      <c r="U1694" t="inlineStr">
        <is>
          <t>龍郷町は人口密度70人/km²と過疎的水準で、民間賃貸の新規需要は薄い。実需に裏付けられた格安戸建ての指値取得のみが現実的。 借家の空室率は約0%と需給は比較的引き締まっている。</t>
        </is>
      </c>
      <c r="V1694" t="inlineStr">
        <is>
          <t>龍郷町（鹿児島県）：桜島・霧島の火山と降灰が日常的リスク。川内川の氾濫、シラス台地の崩壊、南西諸島の津波に留意。</t>
        </is>
      </c>
    </row>
    <row r="1695">
      <c r="A1695" t="inlineStr">
        <is>
          <t>鹿児島県</t>
        </is>
      </c>
      <c r="B1695" t="inlineStr">
        <is>
          <t>喜界町</t>
        </is>
      </c>
      <c r="C1695" t="n">
        <v>3640</v>
      </c>
      <c r="D1695" t="n">
        <v>6105</v>
      </c>
      <c r="E1695" s="6" t="n">
        <v>105.5</v>
      </c>
      <c r="F1695" s="7" t="n">
        <v>20.6</v>
      </c>
      <c r="G1695" t="n">
        <v>6629</v>
      </c>
      <c r="H1695" t="n">
        <v>6105</v>
      </c>
      <c r="I1695" t="n">
        <v>5603</v>
      </c>
      <c r="J1695" t="n">
        <v>4281</v>
      </c>
      <c r="K1695" s="27">
        <f>(H1695/D1695-1)</f>
        <v/>
      </c>
      <c r="L1695" s="27">
        <f>(I1695/D1695-1)</f>
        <v/>
      </c>
      <c r="M1695" s="27">
        <f>(J1695/D1695-1)</f>
        <v/>
      </c>
      <c r="N1695" t="n">
        <v>42.6</v>
      </c>
      <c r="O1695" s="28">
        <f>(N1695+F1695)/2</f>
        <v/>
      </c>
      <c r="P1695">
        <f>IF(O1695="計算不能","計算不能",IF(O1695&gt;=80,5,IF(O1695&gt;=60,4,IF(O1695&gt;=40,3,IF(O1695&gt;=28,2,1)))))</f>
        <v/>
      </c>
      <c r="Q1695" t="n">
        <v>1202</v>
      </c>
      <c r="R1695" t="n">
        <v>0</v>
      </c>
      <c r="S1695" s="27">
        <f>R1695/Q1695</f>
        <v/>
      </c>
      <c r="T1695" t="inlineStr">
        <is>
          <t>喜界町は2045年までに人口が約29.9%減と明確な減少トレンド。高齢化の進行と世帯数の縮小により、中長期では賃貸需要の構造的縮小に警戒が必要。</t>
        </is>
      </c>
      <c r="U1695" t="inlineStr">
        <is>
          <t>喜界町は人口密度106人/km²と過疎的水準で、民間賃貸の新規需要は薄い。実需に裏付けられた格安戸建ての指値取得のみが現実的。 借家の空室率は約0%と需給は比較的引き締まっている。</t>
        </is>
      </c>
      <c r="V1695" t="inlineStr">
        <is>
          <t>喜界町（鹿児島県）：桜島・霧島の火山と降灰が日常的リスク。川内川の氾濫、シラス台地の崩壊、南西諸島の津波に留意。</t>
        </is>
      </c>
    </row>
    <row r="1696">
      <c r="A1696" t="inlineStr">
        <is>
          <t>鹿児島県</t>
        </is>
      </c>
      <c r="B1696" t="inlineStr">
        <is>
          <t>徳之島町</t>
        </is>
      </c>
      <c r="C1696" t="n">
        <v>5605</v>
      </c>
      <c r="D1696" t="n">
        <v>9340</v>
      </c>
      <c r="E1696" s="6" t="n">
        <v>88.5</v>
      </c>
      <c r="F1696" s="7" t="n">
        <v>18.9</v>
      </c>
      <c r="G1696" t="n">
        <v>10147</v>
      </c>
      <c r="H1696" t="n">
        <v>9340</v>
      </c>
      <c r="I1696" t="n">
        <v>8617</v>
      </c>
      <c r="J1696" t="n">
        <v>6772</v>
      </c>
      <c r="K1696" s="27">
        <f>(H1696/D1696-1)</f>
        <v/>
      </c>
      <c r="L1696" s="27">
        <f>(I1696/D1696-1)</f>
        <v/>
      </c>
      <c r="M1696" s="27">
        <f>(J1696/D1696-1)</f>
        <v/>
      </c>
      <c r="N1696" t="n">
        <v>43.2</v>
      </c>
      <c r="O1696" s="28">
        <f>(N1696+F1696)/2</f>
        <v/>
      </c>
      <c r="P1696">
        <f>IF(O1696="計算不能","計算不能",IF(O1696&gt;=80,5,IF(O1696&gt;=60,4,IF(O1696&gt;=40,3,IF(O1696&gt;=28,2,1)))))</f>
        <v/>
      </c>
      <c r="Q1696" t="n">
        <v>1852</v>
      </c>
      <c r="R1696" t="n">
        <v>0</v>
      </c>
      <c r="S1696" s="27">
        <f>R1696/Q1696</f>
        <v/>
      </c>
      <c r="T1696" t="inlineStr">
        <is>
          <t>徳之島町は2045年までに人口が約27.5%減と明確な減少トレンド。高齢化の進行と世帯数の縮小により、中長期では賃貸需要の構造的縮小に警戒が必要。</t>
        </is>
      </c>
      <c r="U1696" t="inlineStr">
        <is>
          <t>徳之島町は人口密度88人/km²と過疎的水準で、民間賃貸の新規需要は薄い。実需に裏付けられた格安戸建ての指値取得のみが現実的。 借家の空室率は約0%と需給は比較的引き締まっている。</t>
        </is>
      </c>
      <c r="V1696" t="inlineStr">
        <is>
          <t>徳之島町（鹿児島県）：桜島・霧島の火山と降灰が日常的リスク。川内川の氾濫、シラス台地の崩壊、南西諸島の津波に留意。</t>
        </is>
      </c>
    </row>
    <row r="1697">
      <c r="A1697" t="inlineStr">
        <is>
          <t>鹿児島県</t>
        </is>
      </c>
      <c r="B1697" t="inlineStr">
        <is>
          <t>天城町</t>
        </is>
      </c>
      <c r="C1697" t="n">
        <v>3085</v>
      </c>
      <c r="D1697" t="n">
        <v>5077</v>
      </c>
      <c r="E1697" s="6" t="n">
        <v>64.7</v>
      </c>
      <c r="F1697" s="7" t="n">
        <v>16.5</v>
      </c>
      <c r="G1697" t="n">
        <v>5517</v>
      </c>
      <c r="H1697" t="n">
        <v>5077</v>
      </c>
      <c r="I1697" t="n">
        <v>4720</v>
      </c>
      <c r="J1697" t="n">
        <v>3743</v>
      </c>
      <c r="K1697" s="27">
        <f>(H1697/D1697-1)</f>
        <v/>
      </c>
      <c r="L1697" s="27">
        <f>(I1697/D1697-1)</f>
        <v/>
      </c>
      <c r="M1697" s="27">
        <f>(J1697/D1697-1)</f>
        <v/>
      </c>
      <c r="N1697" t="n">
        <v>43.7</v>
      </c>
      <c r="O1697" s="28">
        <f>(N1697+F1697)/2</f>
        <v/>
      </c>
      <c r="P1697">
        <f>IF(O1697="計算不能","計算不能",IF(O1697&gt;=80,5,IF(O1697&gt;=60,4,IF(O1697&gt;=40,3,IF(O1697&gt;=28,2,1)))))</f>
        <v/>
      </c>
      <c r="Q1697" t="n">
        <v>1019</v>
      </c>
      <c r="R1697" t="n">
        <v>0</v>
      </c>
      <c r="S1697" s="27">
        <f>R1697/Q1697</f>
        <v/>
      </c>
      <c r="T1697" t="inlineStr">
        <is>
          <t>天城町は2045年までに人口が約26.3%減と明確な減少トレンド。高齢化の進行と世帯数の縮小により、中長期では賃貸需要の構造的縮小に警戒が必要。</t>
        </is>
      </c>
      <c r="U1697" t="inlineStr">
        <is>
          <t>天城町は人口密度65人/km²と過疎的水準で、民間賃貸の新規需要は薄い。実需に裏付けられた格安戸建ての指値取得のみが現実的。 借家の空室率は約0%と需給は比較的引き締まっている。</t>
        </is>
      </c>
      <c r="V1697" t="inlineStr">
        <is>
          <t>天城町（鹿児島県）：桜島・霧島の火山と降灰が日常的リスク。川内川の氾濫、シラス台地の崩壊、南西諸島の津波に留意。</t>
        </is>
      </c>
    </row>
    <row r="1698">
      <c r="A1698" t="inlineStr">
        <is>
          <t>鹿児島県</t>
        </is>
      </c>
      <c r="B1698" t="inlineStr">
        <is>
          <t>伊仙町</t>
        </is>
      </c>
      <c r="C1698" t="n">
        <v>3459</v>
      </c>
      <c r="D1698" t="n">
        <v>5750</v>
      </c>
      <c r="E1698" s="6" t="n">
        <v>86.2</v>
      </c>
      <c r="F1698" s="7" t="n">
        <v>18.6</v>
      </c>
      <c r="G1698" t="n">
        <v>6139</v>
      </c>
      <c r="H1698" t="n">
        <v>5750</v>
      </c>
      <c r="I1698" t="n">
        <v>5378</v>
      </c>
      <c r="J1698" t="n">
        <v>4514</v>
      </c>
      <c r="K1698" s="27">
        <f>(H1698/D1698-1)</f>
        <v/>
      </c>
      <c r="L1698" s="27">
        <f>(I1698/D1698-1)</f>
        <v/>
      </c>
      <c r="M1698" s="27">
        <f>(J1698/D1698-1)</f>
        <v/>
      </c>
      <c r="N1698" t="n">
        <v>48</v>
      </c>
      <c r="O1698" s="28">
        <f>(N1698+F1698)/2</f>
        <v/>
      </c>
      <c r="P1698">
        <f>IF(O1698="計算不能","計算不能",IF(O1698&gt;=80,5,IF(O1698&gt;=60,4,IF(O1698&gt;=40,3,IF(O1698&gt;=28,2,1)))))</f>
        <v/>
      </c>
      <c r="Q1698" t="n">
        <v>1143</v>
      </c>
      <c r="R1698" t="n">
        <v>0</v>
      </c>
      <c r="S1698" s="27">
        <f>R1698/Q1698</f>
        <v/>
      </c>
      <c r="T1698" t="inlineStr">
        <is>
          <t>伊仙町は2045年までに人口が約21.5%減と明確な減少トレンド。高齢化の進行と世帯数の縮小により、中長期では賃貸需要の構造的縮小に警戒が必要。</t>
        </is>
      </c>
      <c r="U1698" t="inlineStr">
        <is>
          <t>伊仙町は人口密度86人/km²と過疎的水準で、民間賃貸の新規需要は薄い。実需に裏付けられた格安戸建ての指値取得のみが現実的。 借家の空室率は約0%と需給は比較的引き締まっている。</t>
        </is>
      </c>
      <c r="V1698" t="inlineStr">
        <is>
          <t>伊仙町（鹿児島県）：桜島・霧島の火山と降灰が日常的リスク。川内川の氾濫、シラス台地の崩壊、南西諸島の津波に留意。</t>
        </is>
      </c>
    </row>
    <row r="1699">
      <c r="A1699" t="inlineStr">
        <is>
          <t>鹿児島県</t>
        </is>
      </c>
      <c r="B1699" t="inlineStr">
        <is>
          <t>和泊町</t>
        </is>
      </c>
      <c r="C1699" t="n">
        <v>3249</v>
      </c>
      <c r="D1699" t="n">
        <v>5807</v>
      </c>
      <c r="E1699" s="6" t="n">
        <v>139.5</v>
      </c>
      <c r="F1699" s="7" t="n">
        <v>23.9</v>
      </c>
      <c r="G1699" t="n">
        <v>6246</v>
      </c>
      <c r="H1699" t="n">
        <v>5807</v>
      </c>
      <c r="I1699" t="n">
        <v>5403</v>
      </c>
      <c r="J1699" t="n">
        <v>4370</v>
      </c>
      <c r="K1699" s="27">
        <f>(H1699/D1699-1)</f>
        <v/>
      </c>
      <c r="L1699" s="27">
        <f>(I1699/D1699-1)</f>
        <v/>
      </c>
      <c r="M1699" s="27">
        <f>(J1699/D1699-1)</f>
        <v/>
      </c>
      <c r="N1699" t="n">
        <v>45</v>
      </c>
      <c r="O1699" s="28">
        <f>(N1699+F1699)/2</f>
        <v/>
      </c>
      <c r="P1699">
        <f>IF(O1699="計算不能","計算不能",IF(O1699&gt;=80,5,IF(O1699&gt;=60,4,IF(O1699&gt;=40,3,IF(O1699&gt;=28,2,1)))))</f>
        <v/>
      </c>
      <c r="Q1699" t="n">
        <v>1073</v>
      </c>
      <c r="R1699" t="n">
        <v>0</v>
      </c>
      <c r="S1699" s="27">
        <f>R1699/Q1699</f>
        <v/>
      </c>
      <c r="T1699" t="inlineStr">
        <is>
          <t>和泊町は2045年までに人口が約24.7%減と明確な減少トレンド。高齢化の進行と世帯数の縮小により、中長期では賃貸需要の構造的縮小に警戒が必要。</t>
        </is>
      </c>
      <c r="U1699" t="inlineStr">
        <is>
          <t>和泊町は人口密度140人/km²と過疎的水準で、民間賃貸の新規需要は薄い。実需に裏付けられた格安戸建ての指値取得のみが現実的。 借家の空室率は約0%と需給は比較的引き締まっている。</t>
        </is>
      </c>
      <c r="V1699" t="inlineStr">
        <is>
          <t>和泊町（鹿児島県）：桜島・霧島の火山と降灰が日常的リスク。川内川の氾濫、シラス台地の崩壊、南西諸島の津波に留意。</t>
        </is>
      </c>
    </row>
    <row r="1700">
      <c r="A1700" t="inlineStr">
        <is>
          <t>鹿児島県</t>
        </is>
      </c>
      <c r="B1700" t="inlineStr">
        <is>
          <t>知名町</t>
        </is>
      </c>
      <c r="C1700" t="n">
        <v>2971</v>
      </c>
      <c r="D1700" t="n">
        <v>5294</v>
      </c>
      <c r="E1700" s="6" t="n">
        <v>96.09999999999999</v>
      </c>
      <c r="F1700" s="7" t="n">
        <v>19.6</v>
      </c>
      <c r="G1700" t="n">
        <v>5750</v>
      </c>
      <c r="H1700" t="n">
        <v>5294</v>
      </c>
      <c r="I1700" t="n">
        <v>4912</v>
      </c>
      <c r="J1700" t="n">
        <v>3934</v>
      </c>
      <c r="K1700" s="27">
        <f>(H1700/D1700-1)</f>
        <v/>
      </c>
      <c r="L1700" s="27">
        <f>(I1700/D1700-1)</f>
        <v/>
      </c>
      <c r="M1700" s="27">
        <f>(J1700/D1700-1)</f>
        <v/>
      </c>
      <c r="N1700" t="n">
        <v>43.8</v>
      </c>
      <c r="O1700" s="28">
        <f>(N1700+F1700)/2</f>
        <v/>
      </c>
      <c r="P1700">
        <f>IF(O1700="計算不能","計算不能",IF(O1700&gt;=80,5,IF(O1700&gt;=60,4,IF(O1700&gt;=40,3,IF(O1700&gt;=28,2,1)))))</f>
        <v/>
      </c>
      <c r="Q1700" t="n">
        <v>981</v>
      </c>
      <c r="R1700" t="n">
        <v>0</v>
      </c>
      <c r="S1700" s="27">
        <f>R1700/Q1700</f>
        <v/>
      </c>
      <c r="T1700" t="inlineStr">
        <is>
          <t>知名町は2045年までに人口が約25.7%減と明確な減少トレンド。高齢化の進行と世帯数の縮小により、中長期では賃貸需要の構造的縮小に警戒が必要。</t>
        </is>
      </c>
      <c r="U1700" t="inlineStr">
        <is>
          <t>知名町は人口密度96人/km²と過疎的水準で、民間賃貸の新規需要は薄い。実需に裏付けられた格安戸建ての指値取得のみが現実的。 借家の空室率は約0%と需給は比較的引き締まっている。</t>
        </is>
      </c>
      <c r="V1700" t="inlineStr">
        <is>
          <t>知名町（鹿児島県）：桜島・霧島の火山と降灰が日常的リスク。川内川の氾濫、シラス台地の崩壊、南西諸島の津波に留意。</t>
        </is>
      </c>
    </row>
    <row r="1701">
      <c r="A1701" t="inlineStr">
        <is>
          <t>鹿児島県</t>
        </is>
      </c>
      <c r="B1701" t="inlineStr">
        <is>
          <t>与論町</t>
        </is>
      </c>
      <c r="C1701" t="n">
        <v>2659</v>
      </c>
      <c r="D1701" t="n">
        <v>4824</v>
      </c>
      <c r="E1701" s="6" t="n">
        <v>234.5</v>
      </c>
      <c r="F1701" s="7" t="n">
        <v>31.7</v>
      </c>
      <c r="G1701" t="n">
        <v>5115</v>
      </c>
      <c r="H1701" t="n">
        <v>4824</v>
      </c>
      <c r="I1701" t="n">
        <v>4536</v>
      </c>
      <c r="J1701" t="n">
        <v>3974</v>
      </c>
      <c r="K1701" s="27">
        <f>(H1701/D1701-1)</f>
        <v/>
      </c>
      <c r="L1701" s="27">
        <f>(I1701/D1701-1)</f>
        <v/>
      </c>
      <c r="M1701" s="27">
        <f>(J1701/D1701-1)</f>
        <v/>
      </c>
      <c r="N1701" t="n">
        <v>51.4</v>
      </c>
      <c r="O1701" s="28">
        <f>(N1701+F1701)/2</f>
        <v/>
      </c>
      <c r="P1701">
        <f>IF(O1701="計算不能","計算不能",IF(O1701&gt;=80,5,IF(O1701&gt;=60,4,IF(O1701&gt;=40,3,IF(O1701&gt;=28,2,1)))))</f>
        <v/>
      </c>
      <c r="Q1701" t="n">
        <v>878</v>
      </c>
      <c r="R1701" t="n">
        <v>0</v>
      </c>
      <c r="S1701" s="27">
        <f>R1701/Q1701</f>
        <v/>
      </c>
      <c r="T1701" t="inlineStr">
        <is>
          <t>与論町は2045年までに人口が約17.6%減と明確な減少トレンド。高齢化の進行と世帯数の縮小により、中長期では賃貸需要の構造的縮小に警戒が必要。</t>
        </is>
      </c>
      <c r="U1701" t="inlineStr">
        <is>
          <t>与論町は人口密度234人/km²と低密度で、賃貸需要は限定的。持ち家比率が高く、駐車場完備の戸建て賃貸が有利。 借家の空室率は約0%と需給は比較的引き締まっている。</t>
        </is>
      </c>
      <c r="V1701" t="inlineStr">
        <is>
          <t>与論町（鹿児島県）：桜島・霧島の火山と降灰が日常的リスク。川内川の氾濫、シラス台地の崩壊、南西諸島の津波に留意。</t>
        </is>
      </c>
    </row>
    <row r="1702">
      <c r="A1702" t="inlineStr">
        <is>
          <t>沖縄県</t>
        </is>
      </c>
      <c r="B1702" t="inlineStr">
        <is>
          <t>那覇市</t>
        </is>
      </c>
      <c r="C1702" t="n">
        <v>146340</v>
      </c>
      <c r="D1702" t="n">
        <v>306282</v>
      </c>
      <c r="E1702" s="6" t="n">
        <v>7503</v>
      </c>
      <c r="F1702" s="7" t="n">
        <v>95</v>
      </c>
      <c r="G1702" t="n">
        <v>317625</v>
      </c>
      <c r="H1702" t="n">
        <v>306282</v>
      </c>
      <c r="I1702" t="n">
        <v>301603</v>
      </c>
      <c r="J1702" t="n">
        <v>286516</v>
      </c>
      <c r="K1702" s="27">
        <f>(H1702/D1702-1)</f>
        <v/>
      </c>
      <c r="L1702" s="27">
        <f>(I1702/D1702-1)</f>
        <v/>
      </c>
      <c r="M1702" s="27">
        <f>(J1702/D1702-1)</f>
        <v/>
      </c>
      <c r="N1702" t="n">
        <v>63.7</v>
      </c>
      <c r="O1702" s="28">
        <f>(N1702+F1702)/2</f>
        <v/>
      </c>
      <c r="P1702">
        <f>IF(O1702="計算不能","計算不能",IF(O1702&gt;=80,5,IF(O1702&gt;=60,4,IF(O1702&gt;=40,3,IF(O1702&gt;=28,2,1)))))</f>
        <v/>
      </c>
      <c r="Q1702" t="n">
        <v>72224</v>
      </c>
      <c r="R1702" t="n">
        <v>11280</v>
      </c>
      <c r="S1702" s="27">
        <f>R1702/Q1702</f>
        <v/>
      </c>
      <c r="T1702" t="inlineStr">
        <is>
          <t>那覇市は2045年までに人口が約6.5%減と緩やかな減少局面。若年層の都市部流出と高齢化が進むが、当面の賃貸稼働は一定程度維持される見通し。</t>
        </is>
      </c>
      <c r="U1702" t="inlineStr">
        <is>
          <t>那覇市は人口密度7,503人/km²の高密度市街地で、駅近ワンルームからファミリー向けまで極めて強い賃貸実需が存在。資産流動性・出口戦略の容易さも高い。 借家の空室率は約16%と需給は比較的引き締まっている。</t>
        </is>
      </c>
      <c r="V1702" t="inlineStr">
        <is>
          <t>那覇市（沖縄県）：台風常襲と高潮・暴風、低地の浸水、津波想定、塩害による建物劣化に注意。</t>
        </is>
      </c>
    </row>
    <row r="1703">
      <c r="A1703" t="inlineStr">
        <is>
          <t>沖縄県</t>
        </is>
      </c>
      <c r="B1703" t="inlineStr">
        <is>
          <t>宜野湾市</t>
        </is>
      </c>
      <c r="C1703" t="n">
        <v>46360</v>
      </c>
      <c r="D1703" t="n">
        <v>101378</v>
      </c>
      <c r="E1703" s="6" t="n">
        <v>5058.5</v>
      </c>
      <c r="F1703" s="7" t="n">
        <v>90.09999999999999</v>
      </c>
      <c r="G1703" t="n">
        <v>100125</v>
      </c>
      <c r="H1703" t="n">
        <v>101378</v>
      </c>
      <c r="I1703" t="n">
        <v>101667</v>
      </c>
      <c r="J1703" t="n">
        <v>99656</v>
      </c>
      <c r="K1703" s="27">
        <f>(H1703/D1703-1)</f>
        <v/>
      </c>
      <c r="L1703" s="27">
        <f>(I1703/D1703-1)</f>
        <v/>
      </c>
      <c r="M1703" s="27">
        <f>(J1703/D1703-1)</f>
        <v/>
      </c>
      <c r="N1703" t="n">
        <v>76.8</v>
      </c>
      <c r="O1703" s="28">
        <f>(N1703+F1703)/2</f>
        <v/>
      </c>
      <c r="P1703">
        <f>IF(O1703="計算不能","計算不能",IF(O1703&gt;=80,5,IF(O1703&gt;=60,4,IF(O1703&gt;=40,3,IF(O1703&gt;=28,2,1)))))</f>
        <v/>
      </c>
      <c r="Q1703" t="n">
        <v>22880</v>
      </c>
      <c r="R1703" t="n">
        <v>1940</v>
      </c>
      <c r="S1703" s="27">
        <f>R1703/Q1703</f>
        <v/>
      </c>
      <c r="T1703" t="inlineStr">
        <is>
          <t>宜野湾市は2045年までの人口減少率が約1.7%と全国平均より緩やかで、概ね横ばいの安定推移。生産年齢人口の維持により、賃貸需要の急減リスクは相対的に低い。</t>
        </is>
      </c>
      <c r="U1703" t="inlineStr">
        <is>
          <t>宜野湾市は人口密度5,058人/km²の高密度市街地で、駅近ワンルームからファミリー向けまで極めて強い賃貸実需が存在。資産流動性・出口戦略の容易さも高い。 借家の空室率は約8%と需給は比較的引き締まっている。</t>
        </is>
      </c>
      <c r="V1703" t="inlineStr">
        <is>
          <t>宜野湾市（沖縄県）：台風常襲と高潮・暴風、低地の浸水、津波想定、塩害による建物劣化に注意。</t>
        </is>
      </c>
    </row>
    <row r="1704">
      <c r="A1704" t="inlineStr">
        <is>
          <t>沖縄県</t>
        </is>
      </c>
      <c r="B1704" t="inlineStr">
        <is>
          <t>石垣市</t>
        </is>
      </c>
      <c r="C1704" t="n">
        <v>22900</v>
      </c>
      <c r="D1704" t="n">
        <v>47732</v>
      </c>
      <c r="E1704" s="6" t="n">
        <v>208.3</v>
      </c>
      <c r="F1704" s="7" t="n">
        <v>30.4</v>
      </c>
      <c r="G1704" t="n">
        <v>47637</v>
      </c>
      <c r="H1704" t="n">
        <v>47732</v>
      </c>
      <c r="I1704" t="n">
        <v>47460</v>
      </c>
      <c r="J1704" t="n">
        <v>46109</v>
      </c>
      <c r="K1704" s="27">
        <f>(H1704/D1704-1)</f>
        <v/>
      </c>
      <c r="L1704" s="27">
        <f>(I1704/D1704-1)</f>
        <v/>
      </c>
      <c r="M1704" s="27">
        <f>(J1704/D1704-1)</f>
        <v/>
      </c>
      <c r="N1704" t="n">
        <v>73.3</v>
      </c>
      <c r="O1704" s="28">
        <f>(N1704+F1704)/2</f>
        <v/>
      </c>
      <c r="P1704">
        <f>IF(O1704="計算不能","計算不能",IF(O1704&gt;=80,5,IF(O1704&gt;=60,4,IF(O1704&gt;=40,3,IF(O1704&gt;=28,2,1)))))</f>
        <v/>
      </c>
      <c r="Q1704" t="n">
        <v>11302</v>
      </c>
      <c r="R1704" t="n">
        <v>1150</v>
      </c>
      <c r="S1704" s="27">
        <f>R1704/Q1704</f>
        <v/>
      </c>
      <c r="T1704" t="inlineStr">
        <is>
          <t>石垣市は2045年までの人口減少率が約3.4%と全国平均より緩やかで、概ね横ばいの安定推移。生産年齢人口の維持により、賃貸需要の急減リスクは相対的に低い。</t>
        </is>
      </c>
      <c r="U1704" t="inlineStr">
        <is>
          <t>石垣市は人口密度208人/km²と低密度で、賃貸需要は限定的。持ち家比率が高く、駐車場完備の戸建て賃貸が有利。 借家の空室率は約10%と需給は比較的引き締まっている。</t>
        </is>
      </c>
      <c r="V1704" t="inlineStr">
        <is>
          <t>石垣市（沖縄県）：台風常襲と高潮・暴風、低地の浸水、津波想定、塩害による建物劣化に注意。</t>
        </is>
      </c>
    </row>
    <row r="1705">
      <c r="A1705" t="inlineStr">
        <is>
          <t>沖縄県</t>
        </is>
      </c>
      <c r="B1705" t="inlineStr">
        <is>
          <t>浦添市</t>
        </is>
      </c>
      <c r="C1705" t="n">
        <v>47870</v>
      </c>
      <c r="D1705" t="n">
        <v>116145</v>
      </c>
      <c r="E1705" s="6" t="n">
        <v>5952.5</v>
      </c>
      <c r="F1705" s="7" t="n">
        <v>91.90000000000001</v>
      </c>
      <c r="G1705" t="n">
        <v>115690</v>
      </c>
      <c r="H1705" t="n">
        <v>116145</v>
      </c>
      <c r="I1705" t="n">
        <v>115448</v>
      </c>
      <c r="J1705" t="n">
        <v>111178</v>
      </c>
      <c r="K1705" s="27">
        <f>(H1705/D1705-1)</f>
        <v/>
      </c>
      <c r="L1705" s="27">
        <f>(I1705/D1705-1)</f>
        <v/>
      </c>
      <c r="M1705" s="27">
        <f>(J1705/D1705-1)</f>
        <v/>
      </c>
      <c r="N1705" t="n">
        <v>73.2</v>
      </c>
      <c r="O1705" s="28">
        <f>(N1705+F1705)/2</f>
        <v/>
      </c>
      <c r="P1705">
        <f>IF(O1705="計算不能","計算不能",IF(O1705&gt;=80,5,IF(O1705&gt;=60,4,IF(O1705&gt;=40,3,IF(O1705&gt;=28,2,1)))))</f>
        <v/>
      </c>
      <c r="Q1705" t="n">
        <v>23625</v>
      </c>
      <c r="R1705" t="n">
        <v>2690</v>
      </c>
      <c r="S1705" s="27">
        <f>R1705/Q1705</f>
        <v/>
      </c>
      <c r="T1705" t="inlineStr">
        <is>
          <t>浦添市は2045年までの人口減少率が約4.3%と全国平均より緩やかで、概ね横ばいの安定推移。生産年齢人口の維持により、賃貸需要の急減リスクは相対的に低い。</t>
        </is>
      </c>
      <c r="U1705" t="inlineStr">
        <is>
          <t>浦添市は人口密度5,952人/km²の高密度市街地で、駅近ワンルームからファミリー向けまで極めて強い賃貸実需が存在。資産流動性・出口戦略の容易さも高い。 借家の空室率は約11%と需給は比較的引き締まっている。</t>
        </is>
      </c>
      <c r="V1705" t="inlineStr">
        <is>
          <t>浦添市（沖縄県）：台風常襲と高潮・暴風、低地の浸水、津波想定、塩害による建物劣化に注意。</t>
        </is>
      </c>
    </row>
    <row r="1706">
      <c r="A1706" t="inlineStr">
        <is>
          <t>沖縄県</t>
        </is>
      </c>
      <c r="B1706" t="inlineStr">
        <is>
          <t>名護市</t>
        </is>
      </c>
      <c r="C1706" t="n">
        <v>29380</v>
      </c>
      <c r="D1706" t="n">
        <v>64323</v>
      </c>
      <c r="E1706" s="6" t="n">
        <v>313.5</v>
      </c>
      <c r="F1706" s="7" t="n">
        <v>35.7</v>
      </c>
      <c r="G1706" t="n">
        <v>63554</v>
      </c>
      <c r="H1706" t="n">
        <v>64323</v>
      </c>
      <c r="I1706" t="n">
        <v>63999</v>
      </c>
      <c r="J1706" t="n">
        <v>61619</v>
      </c>
      <c r="K1706" s="27">
        <f>(H1706/D1706-1)</f>
        <v/>
      </c>
      <c r="L1706" s="27">
        <f>(I1706/D1706-1)</f>
        <v/>
      </c>
      <c r="M1706" s="27">
        <f>(J1706/D1706-1)</f>
        <v/>
      </c>
      <c r="N1706" t="n">
        <v>74.90000000000001</v>
      </c>
      <c r="O1706" s="28">
        <f>(N1706+F1706)/2</f>
        <v/>
      </c>
      <c r="P1706">
        <f>IF(O1706="計算不能","計算不能",IF(O1706&gt;=80,5,IF(O1706&gt;=60,4,IF(O1706&gt;=40,3,IF(O1706&gt;=28,2,1)))))</f>
        <v/>
      </c>
      <c r="Q1706" t="n">
        <v>14500</v>
      </c>
      <c r="R1706" t="n">
        <v>1560</v>
      </c>
      <c r="S1706" s="27">
        <f>R1706/Q1706</f>
        <v/>
      </c>
      <c r="T1706" t="inlineStr">
        <is>
          <t>名護市は2045年までの人口減少率が約4.2%と全国平均より緩やかで、概ね横ばいの安定推移。生産年齢人口の維持により、賃貸需要の急減リスクは相対的に低い。</t>
        </is>
      </c>
      <c r="U1706" t="inlineStr">
        <is>
          <t>名護市は人口密度314人/km²と低密度で、賃貸需要は限定的。持ち家比率が高く、駐車場完備の戸建て賃貸が有利。 借家の空室率は約11%と需給は比較的引き締まっている。</t>
        </is>
      </c>
      <c r="V1706" t="inlineStr">
        <is>
          <t>名護市（沖縄県）：台風常襲と高潮・暴風、低地の浸水、津波想定、塩害による建物劣化に注意。</t>
        </is>
      </c>
    </row>
    <row r="1707">
      <c r="A1707" t="inlineStr">
        <is>
          <t>沖縄県</t>
        </is>
      </c>
      <c r="B1707" t="inlineStr">
        <is>
          <t>糸満市</t>
        </is>
      </c>
      <c r="C1707" t="n">
        <v>23830</v>
      </c>
      <c r="D1707" t="n">
        <v>61465</v>
      </c>
      <c r="E1707" s="6" t="n">
        <v>1301.8</v>
      </c>
      <c r="F1707" s="7" t="n">
        <v>61</v>
      </c>
      <c r="G1707" t="n">
        <v>61007</v>
      </c>
      <c r="H1707" t="n">
        <v>61465</v>
      </c>
      <c r="I1707" t="n">
        <v>61368</v>
      </c>
      <c r="J1707" t="n">
        <v>59518</v>
      </c>
      <c r="K1707" s="27">
        <f>(H1707/D1707-1)</f>
        <v/>
      </c>
      <c r="L1707" s="27">
        <f>(I1707/D1707-1)</f>
        <v/>
      </c>
      <c r="M1707" s="27">
        <f>(J1707/D1707-1)</f>
        <v/>
      </c>
      <c r="N1707" t="n">
        <v>74.8</v>
      </c>
      <c r="O1707" s="28">
        <f>(N1707+F1707)/2</f>
        <v/>
      </c>
      <c r="P1707">
        <f>IF(O1707="計算不能","計算不能",IF(O1707&gt;=80,5,IF(O1707&gt;=60,4,IF(O1707&gt;=40,3,IF(O1707&gt;=28,2,1)))))</f>
        <v/>
      </c>
      <c r="Q1707" t="n">
        <v>11761</v>
      </c>
      <c r="R1707" t="n">
        <v>630</v>
      </c>
      <c r="S1707" s="27">
        <f>R1707/Q1707</f>
        <v/>
      </c>
      <c r="T1707" t="inlineStr">
        <is>
          <t>糸満市は2045年までの人口減少率が約3.2%と全国平均より緩やかで、概ね横ばいの安定推移。生産年齢人口の維持により、賃貸需要の急減リスクは相対的に低い。</t>
        </is>
      </c>
      <c r="U1707" t="inlineStr">
        <is>
          <t>糸満市は人口密度1,302人/km²で、主要道路沿いや中心市街地に一定の賃貸需要が局在。立地選別が稼働を左右する。 借家の空室率は約5%と需給は比較的引き締まっている。</t>
        </is>
      </c>
      <c r="V1707" t="inlineStr">
        <is>
          <t>糸満市（沖縄県）：台風常襲と高潮・暴風、低地の浸水、津波想定、塩害による建物劣化に注意。</t>
        </is>
      </c>
    </row>
    <row r="1708">
      <c r="A1708" t="inlineStr">
        <is>
          <t>沖縄県</t>
        </is>
      </c>
      <c r="B1708" t="inlineStr">
        <is>
          <t>沖縄市</t>
        </is>
      </c>
      <c r="C1708" t="n">
        <v>63560</v>
      </c>
      <c r="D1708" t="n">
        <v>141402</v>
      </c>
      <c r="E1708" s="6" t="n">
        <v>2853.9</v>
      </c>
      <c r="F1708" s="7" t="n">
        <v>78.5</v>
      </c>
      <c r="G1708" t="n">
        <v>142752</v>
      </c>
      <c r="H1708" t="n">
        <v>141402</v>
      </c>
      <c r="I1708" t="n">
        <v>142720</v>
      </c>
      <c r="J1708" t="n">
        <v>142436</v>
      </c>
      <c r="K1708" s="27">
        <f>(H1708/D1708-1)</f>
        <v/>
      </c>
      <c r="L1708" s="27">
        <f>(I1708/D1708-1)</f>
        <v/>
      </c>
      <c r="M1708" s="27">
        <f>(J1708/D1708-1)</f>
        <v/>
      </c>
      <c r="N1708" t="n">
        <v>74.09999999999999</v>
      </c>
      <c r="O1708" s="28">
        <f>(N1708+F1708)/2</f>
        <v/>
      </c>
      <c r="P1708">
        <f>IF(O1708="計算不能","計算不能",IF(O1708&gt;=80,5,IF(O1708&gt;=60,4,IF(O1708&gt;=40,3,IF(O1708&gt;=28,2,1)))))</f>
        <v/>
      </c>
      <c r="Q1708" t="n">
        <v>31369</v>
      </c>
      <c r="R1708" t="n">
        <v>2820</v>
      </c>
      <c r="S1708" s="27">
        <f>R1708/Q1708</f>
        <v/>
      </c>
      <c r="T1708" t="inlineStr">
        <is>
          <t>沖縄市は2045年までの人口減少率が約0.7%と全国平均より緩やかで、概ね横ばいの安定推移。生産年齢人口の維持により、賃貸需要の急減リスクは相対的に低い。</t>
        </is>
      </c>
      <c r="U1708" t="inlineStr">
        <is>
          <t>沖縄市は人口密度2,854人/km²の都市部で、駅周辺や生活利便施設沿いに安定した賃貸需要がある。適切な家賃設定で高稼働を期待できる。 借家の空室率は約9%と需給は比較的引き締まっている。</t>
        </is>
      </c>
      <c r="V1708" t="inlineStr">
        <is>
          <t>沖縄市（沖縄県）：台風常襲と高潮・暴風、低地の浸水、津波想定、塩害による建物劣化に注意。</t>
        </is>
      </c>
    </row>
    <row r="1709">
      <c r="A1709" t="inlineStr">
        <is>
          <t>沖縄県</t>
        </is>
      </c>
      <c r="B1709" t="inlineStr">
        <is>
          <t>豊見城市</t>
        </is>
      </c>
      <c r="C1709" t="n">
        <v>26110</v>
      </c>
      <c r="D1709" t="n">
        <v>65312</v>
      </c>
      <c r="E1709" s="6" t="n">
        <v>3397.3</v>
      </c>
      <c r="F1709" s="7" t="n">
        <v>80</v>
      </c>
      <c r="G1709" t="n">
        <v>64612</v>
      </c>
      <c r="H1709" t="n">
        <v>65312</v>
      </c>
      <c r="I1709" t="n">
        <v>66252</v>
      </c>
      <c r="J1709" t="n">
        <v>66578</v>
      </c>
      <c r="K1709" s="27">
        <f>(H1709/D1709-1)</f>
        <v/>
      </c>
      <c r="L1709" s="27">
        <f>(I1709/D1709-1)</f>
        <v/>
      </c>
      <c r="M1709" s="27">
        <f>(J1709/D1709-1)</f>
        <v/>
      </c>
      <c r="N1709" t="n">
        <v>79.2</v>
      </c>
      <c r="O1709" s="28">
        <f>(N1709+F1709)/2</f>
        <v/>
      </c>
      <c r="P1709">
        <f>IF(O1709="計算不能","計算不能",IF(O1709&gt;=80,5,IF(O1709&gt;=60,4,IF(O1709&gt;=40,3,IF(O1709&gt;=28,2,1)))))</f>
        <v/>
      </c>
      <c r="Q1709" t="n">
        <v>12886</v>
      </c>
      <c r="R1709" t="n">
        <v>420</v>
      </c>
      <c r="S1709" s="27">
        <f>R1709/Q1709</f>
        <v/>
      </c>
      <c r="T1709" t="inlineStr">
        <is>
          <t>豊見城市は2045年までの人口減少率が約1.9%と全国平均より緩やかで、概ね横ばいの安定推移。生産年齢人口の維持により、賃貸需要の急減リスクは相対的に低い。</t>
        </is>
      </c>
      <c r="U1709" t="inlineStr">
        <is>
          <t>豊見城市は人口密度3,397人/km²の都市部で、駅周辺や生活利便施設沿いに安定した賃貸需要がある。適切な家賃設定で高稼働を期待できる。 借家の空室率は約3%と需給は比較的引き締まっている。</t>
        </is>
      </c>
      <c r="V1709" t="inlineStr">
        <is>
          <t>豊見城市（沖縄県）：台風常襲と高潮・暴風、低地の浸水、津波想定、塩害による建物劣化に注意。</t>
        </is>
      </c>
    </row>
    <row r="1710">
      <c r="A1710" t="inlineStr">
        <is>
          <t>沖縄県</t>
        </is>
      </c>
      <c r="B1710" t="inlineStr">
        <is>
          <t>うるま市</t>
        </is>
      </c>
      <c r="C1710" t="n">
        <v>51400</v>
      </c>
      <c r="D1710" t="n">
        <v>126901</v>
      </c>
      <c r="E1710" s="6" t="n">
        <v>1475.8</v>
      </c>
      <c r="F1710" s="7" t="n">
        <v>64.5</v>
      </c>
      <c r="G1710" t="n">
        <v>125303</v>
      </c>
      <c r="H1710" t="n">
        <v>126901</v>
      </c>
      <c r="I1710" t="n">
        <v>127788</v>
      </c>
      <c r="J1710" t="n">
        <v>126661</v>
      </c>
      <c r="K1710" s="27">
        <f>(H1710/D1710-1)</f>
        <v/>
      </c>
      <c r="L1710" s="27">
        <f>(I1710/D1710-1)</f>
        <v/>
      </c>
      <c r="M1710" s="27">
        <f>(J1710/D1710-1)</f>
        <v/>
      </c>
      <c r="N1710" t="n">
        <v>78</v>
      </c>
      <c r="O1710" s="28">
        <f>(N1710+F1710)/2</f>
        <v/>
      </c>
      <c r="P1710">
        <f>IF(O1710="計算不能","計算不能",IF(O1710&gt;=80,5,IF(O1710&gt;=60,4,IF(O1710&gt;=40,3,IF(O1710&gt;=28,2,1)))))</f>
        <v/>
      </c>
      <c r="Q1710" t="n">
        <v>25368</v>
      </c>
      <c r="R1710" t="n">
        <v>1360</v>
      </c>
      <c r="S1710" s="27">
        <f>R1710/Q1710</f>
        <v/>
      </c>
      <c r="T1710" t="inlineStr">
        <is>
          <t>うるま市は2045年までの人口減少率が約0.2%と全国平均より緩やかで、概ね横ばいの安定推移。生産年齢人口の維持により、賃貸需要の急減リスクは相対的に低い。</t>
        </is>
      </c>
      <c r="U1710" t="inlineStr">
        <is>
          <t>うるま市は人口密度1,476人/km²で、主要道路沿いや中心市街地に一定の賃貸需要が局在。立地選別が稼働を左右する。 借家の空室率は約5%と需給は比較的引き締まっている。</t>
        </is>
      </c>
      <c r="V1710" t="inlineStr">
        <is>
          <t>うるま市（沖縄県）：台風常襲と高潮・暴風、低地の浸水、津波想定、塩害による建物劣化に注意。</t>
        </is>
      </c>
    </row>
    <row r="1711">
      <c r="A1711" t="inlineStr">
        <is>
          <t>沖縄県</t>
        </is>
      </c>
      <c r="B1711" t="inlineStr">
        <is>
          <t>宮古島市</t>
        </is>
      </c>
      <c r="C1711" t="n">
        <v>25120</v>
      </c>
      <c r="D1711" t="n">
        <v>52340</v>
      </c>
      <c r="E1711" s="6" t="n">
        <v>255.1</v>
      </c>
      <c r="F1711" s="7" t="n">
        <v>32.8</v>
      </c>
      <c r="G1711" t="n">
        <v>52931</v>
      </c>
      <c r="H1711" t="n">
        <v>52340</v>
      </c>
      <c r="I1711" t="n">
        <v>51498</v>
      </c>
      <c r="J1711" t="n">
        <v>48710</v>
      </c>
      <c r="K1711" s="27">
        <f>(H1711/D1711-1)</f>
        <v/>
      </c>
      <c r="L1711" s="27">
        <f>(I1711/D1711-1)</f>
        <v/>
      </c>
      <c r="M1711" s="27">
        <f>(J1711/D1711-1)</f>
        <v/>
      </c>
      <c r="N1711" t="n">
        <v>68.2</v>
      </c>
      <c r="O1711" s="28">
        <f>(N1711+F1711)/2</f>
        <v/>
      </c>
      <c r="P1711">
        <f>IF(O1711="計算不能","計算不能",IF(O1711&gt;=80,5,IF(O1711&gt;=60,4,IF(O1711&gt;=40,3,IF(O1711&gt;=28,2,1)))))</f>
        <v/>
      </c>
      <c r="Q1711" t="n">
        <v>12397</v>
      </c>
      <c r="R1711" t="n">
        <v>1640</v>
      </c>
      <c r="S1711" s="27">
        <f>R1711/Q1711</f>
        <v/>
      </c>
      <c r="T1711" t="inlineStr">
        <is>
          <t>宮古島市は2045年までに人口が約6.9%減と緩やかな減少局面。若年層の都市部流出と高齢化が進むが、当面の賃貸稼働は一定程度維持される見通し。</t>
        </is>
      </c>
      <c r="U1711" t="inlineStr">
        <is>
          <t>宮古島市は人口密度255人/km²と低密度で、賃貸需要は限定的。持ち家比率が高く、駐車場完備の戸建て賃貸が有利。 借家の空室率は約13%と需給は比較的引き締まっている。</t>
        </is>
      </c>
      <c r="V1711" t="inlineStr">
        <is>
          <t>宮古島市（沖縄県）：台風常襲と高潮・暴風、低地の浸水、津波想定、塩害による建物劣化に注意。</t>
        </is>
      </c>
    </row>
    <row r="1712">
      <c r="A1712" t="inlineStr">
        <is>
          <t>沖縄県</t>
        </is>
      </c>
      <c r="B1712" t="inlineStr">
        <is>
          <t>南城市</t>
        </is>
      </c>
      <c r="C1712" t="n">
        <v>16290</v>
      </c>
      <c r="D1712" t="n">
        <v>45359</v>
      </c>
      <c r="E1712" s="6" t="n">
        <v>908.1</v>
      </c>
      <c r="F1712" s="7" t="n">
        <v>53.2</v>
      </c>
      <c r="G1712" t="n">
        <v>44043</v>
      </c>
      <c r="H1712" t="n">
        <v>45359</v>
      </c>
      <c r="I1712" t="n">
        <v>45779</v>
      </c>
      <c r="J1712" t="n">
        <v>45388</v>
      </c>
      <c r="K1712" s="27">
        <f>(H1712/D1712-1)</f>
        <v/>
      </c>
      <c r="L1712" s="27">
        <f>(I1712/D1712-1)</f>
        <v/>
      </c>
      <c r="M1712" s="27">
        <f>(J1712/D1712-1)</f>
        <v/>
      </c>
      <c r="N1712" t="n">
        <v>81.7</v>
      </c>
      <c r="O1712" s="28">
        <f>(N1712+F1712)/2</f>
        <v/>
      </c>
      <c r="P1712">
        <f>IF(O1712="計算不能","計算不能",IF(O1712&gt;=80,5,IF(O1712&gt;=60,4,IF(O1712&gt;=40,3,IF(O1712&gt;=28,2,1)))))</f>
        <v/>
      </c>
      <c r="Q1712" t="n">
        <v>8039</v>
      </c>
      <c r="R1712" t="n">
        <v>540</v>
      </c>
      <c r="S1712" s="27">
        <f>R1712/Q1712</f>
        <v/>
      </c>
      <c r="T1712" t="inlineStr">
        <is>
          <t>南城市は2045年までの人口減少率が約0.1%と全国平均より緩やかで、概ね横ばいの安定推移。生産年齢人口の維持により、賃貸需要の急減リスクは相対的に低い。</t>
        </is>
      </c>
      <c r="U1712" t="inlineStr">
        <is>
          <t>南城市は人口密度908人/km²で、主要道路沿いや中心市街地に一定の賃貸需要が局在。立地選別が稼働を左右する。 借家の空室率は約7%と需給は比較的引き締まっている。</t>
        </is>
      </c>
      <c r="V1712" t="inlineStr">
        <is>
          <t>南城市（沖縄県）：台風常襲と高潮・暴風、低地の浸水、津波想定、塩害による建物劣化に注意。</t>
        </is>
      </c>
    </row>
    <row r="1713">
      <c r="A1713" t="inlineStr">
        <is>
          <t>沖縄県</t>
        </is>
      </c>
      <c r="B1713" t="inlineStr">
        <is>
          <t>国頭村</t>
        </is>
      </c>
      <c r="C1713" t="n">
        <v>2372</v>
      </c>
      <c r="D1713" t="n">
        <v>4219</v>
      </c>
      <c r="E1713" s="6" t="n">
        <v>21.2</v>
      </c>
      <c r="F1713" s="7" t="n">
        <v>12.1</v>
      </c>
      <c r="G1713" t="n">
        <v>4517</v>
      </c>
      <c r="H1713" t="n">
        <v>4219</v>
      </c>
      <c r="I1713" t="n">
        <v>3952</v>
      </c>
      <c r="J1713" t="n">
        <v>3234</v>
      </c>
      <c r="K1713" s="27">
        <f>(H1713/D1713-1)</f>
        <v/>
      </c>
      <c r="L1713" s="27">
        <f>(I1713/D1713-1)</f>
        <v/>
      </c>
      <c r="M1713" s="27">
        <f>(J1713/D1713-1)</f>
        <v/>
      </c>
      <c r="N1713" t="n">
        <v>46.8</v>
      </c>
      <c r="O1713" s="28">
        <f>(N1713+F1713)/2</f>
        <v/>
      </c>
      <c r="P1713">
        <f>IF(O1713="計算不能","計算不能",IF(O1713&gt;=80,5,IF(O1713&gt;=60,4,IF(O1713&gt;=40,3,IF(O1713&gt;=28,2,1)))))</f>
        <v/>
      </c>
      <c r="Q1713" t="n">
        <v>1170</v>
      </c>
      <c r="R1713" t="n">
        <v>0</v>
      </c>
      <c r="S1713" s="27">
        <f>R1713/Q1713</f>
        <v/>
      </c>
      <c r="T1713" t="inlineStr">
        <is>
          <t>国頭村は2045年までに人口が約23.3%減と明確な減少トレンド。高齢化の進行と世帯数の縮小により、中長期では賃貸需要の構造的縮小に警戒が必要。</t>
        </is>
      </c>
      <c r="U1713" t="inlineStr">
        <is>
          <t>国頭村は人口密度21人/km²と過疎的水準で、民間賃貸の新規需要は薄い。実需に裏付けられた格安戸建ての指値取得のみが現実的。 借家の空室率は約0%と需給は比較的引き締まっている。</t>
        </is>
      </c>
      <c r="V1713" t="inlineStr">
        <is>
          <t>国頭村（沖縄県）：台風常襲と高潮・暴風、低地の浸水、津波想定、塩害による建物劣化に注意。</t>
        </is>
      </c>
    </row>
    <row r="1714">
      <c r="A1714" t="inlineStr">
        <is>
          <t>沖縄県</t>
        </is>
      </c>
      <c r="B1714" t="inlineStr">
        <is>
          <t>大宜味村</t>
        </is>
      </c>
      <c r="C1714" t="n">
        <v>1699</v>
      </c>
      <c r="D1714" t="n">
        <v>2941</v>
      </c>
      <c r="E1714" s="6" t="n">
        <v>44.7</v>
      </c>
      <c r="F1714" s="7" t="n">
        <v>14.5</v>
      </c>
      <c r="G1714" t="n">
        <v>3092</v>
      </c>
      <c r="H1714" t="n">
        <v>2941</v>
      </c>
      <c r="I1714" t="n">
        <v>2822</v>
      </c>
      <c r="J1714" t="n">
        <v>2470</v>
      </c>
      <c r="K1714" s="27">
        <f>(H1714/D1714-1)</f>
        <v/>
      </c>
      <c r="L1714" s="27">
        <f>(I1714/D1714-1)</f>
        <v/>
      </c>
      <c r="M1714" s="27">
        <f>(J1714/D1714-1)</f>
        <v/>
      </c>
      <c r="N1714" t="n">
        <v>54.9</v>
      </c>
      <c r="O1714" s="28">
        <f>(N1714+F1714)/2</f>
        <v/>
      </c>
      <c r="P1714">
        <f>IF(O1714="計算不能","計算不能",IF(O1714&gt;=80,5,IF(O1714&gt;=60,4,IF(O1714&gt;=40,3,IF(O1714&gt;=28,2,1)))))</f>
        <v/>
      </c>
      <c r="Q1714" t="n">
        <v>838</v>
      </c>
      <c r="R1714" t="n">
        <v>0</v>
      </c>
      <c r="S1714" s="27">
        <f>R1714/Q1714</f>
        <v/>
      </c>
      <c r="T1714" t="inlineStr">
        <is>
          <t>大宜味村は2045年までに人口が約16.0%減と明確な減少トレンド。高齢化の進行と世帯数の縮小により、中長期では賃貸需要の構造的縮小に警戒が必要。</t>
        </is>
      </c>
      <c r="U1714" t="inlineStr">
        <is>
          <t>大宜味村は人口密度45人/km²と過疎的水準で、民間賃貸の新規需要は薄い。実需に裏付けられた格安戸建ての指値取得のみが現実的。 借家の空室率は約0%と需給は比較的引き締まっている。</t>
        </is>
      </c>
      <c r="V1714" t="inlineStr">
        <is>
          <t>大宜味村（沖縄県）：台風常襲と高潮・暴風、低地の浸水、津波想定、塩害による建物劣化に注意。</t>
        </is>
      </c>
    </row>
    <row r="1715">
      <c r="A1715" t="inlineStr">
        <is>
          <t>沖縄県</t>
        </is>
      </c>
      <c r="B1715" t="inlineStr">
        <is>
          <t>東村</t>
        </is>
      </c>
      <c r="C1715" t="n">
        <v>934</v>
      </c>
      <c r="D1715" t="n">
        <v>1517</v>
      </c>
      <c r="E1715" s="6" t="n">
        <v>18.5</v>
      </c>
      <c r="F1715" s="7" t="n">
        <v>11.8</v>
      </c>
      <c r="G1715" t="n">
        <v>1598</v>
      </c>
      <c r="H1715" t="n">
        <v>1517</v>
      </c>
      <c r="I1715" t="n">
        <v>1448</v>
      </c>
      <c r="J1715" t="n">
        <v>1215</v>
      </c>
      <c r="K1715" s="27">
        <f>(H1715/D1715-1)</f>
        <v/>
      </c>
      <c r="L1715" s="27">
        <f>(I1715/D1715-1)</f>
        <v/>
      </c>
      <c r="M1715" s="27">
        <f>(J1715/D1715-1)</f>
        <v/>
      </c>
      <c r="N1715" t="n">
        <v>52.4</v>
      </c>
      <c r="O1715" s="28">
        <f>(N1715+F1715)/2</f>
        <v/>
      </c>
      <c r="P1715">
        <f>IF(O1715="計算不能","計算不能",IF(O1715&gt;=80,5,IF(O1715&gt;=60,4,IF(O1715&gt;=40,3,IF(O1715&gt;=28,2,1)))))</f>
        <v/>
      </c>
      <c r="Q1715" t="n">
        <v>460</v>
      </c>
      <c r="R1715" t="n">
        <v>0</v>
      </c>
      <c r="S1715" s="27">
        <f>R1715/Q1715</f>
        <v/>
      </c>
      <c r="T1715" t="inlineStr">
        <is>
          <t>東村は2045年までに人口が約19.9%減と明確な減少トレンド。高齢化の進行と世帯数の縮小により、中長期では賃貸需要の構造的縮小に警戒が必要。</t>
        </is>
      </c>
      <c r="U1715" t="inlineStr">
        <is>
          <t>東村は人口密度18人/km²と過疎的水準で、民間賃貸の新規需要は薄い。実需に裏付けられた格安戸建ての指値取得のみが現実的。 借家の空室率は約0%と需給は比較的引き締まっている。</t>
        </is>
      </c>
      <c r="V1715" t="inlineStr">
        <is>
          <t>東村（沖縄県）：台風常襲と高潮・暴風、低地の浸水、津波想定、塩害による建物劣化に注意。</t>
        </is>
      </c>
    </row>
    <row r="1716">
      <c r="A1716" t="inlineStr">
        <is>
          <t>沖縄県</t>
        </is>
      </c>
      <c r="B1716" t="inlineStr">
        <is>
          <t>今帰仁村</t>
        </is>
      </c>
      <c r="C1716" t="n">
        <v>4602</v>
      </c>
      <c r="D1716" t="n">
        <v>8527</v>
      </c>
      <c r="E1716" s="6" t="n">
        <v>219.4</v>
      </c>
      <c r="F1716" s="7" t="n">
        <v>31</v>
      </c>
      <c r="G1716" t="n">
        <v>8894</v>
      </c>
      <c r="H1716" t="n">
        <v>8527</v>
      </c>
      <c r="I1716" t="n">
        <v>8150</v>
      </c>
      <c r="J1716" t="n">
        <v>7042</v>
      </c>
      <c r="K1716" s="27">
        <f>(H1716/D1716-1)</f>
        <v/>
      </c>
      <c r="L1716" s="27">
        <f>(I1716/D1716-1)</f>
        <v/>
      </c>
      <c r="M1716" s="27">
        <f>(J1716/D1716-1)</f>
        <v/>
      </c>
      <c r="N1716" t="n">
        <v>55.4</v>
      </c>
      <c r="O1716" s="28">
        <f>(N1716+F1716)/2</f>
        <v/>
      </c>
      <c r="P1716">
        <f>IF(O1716="計算不能","計算不能",IF(O1716&gt;=80,5,IF(O1716&gt;=60,4,IF(O1716&gt;=40,3,IF(O1716&gt;=28,2,1)))))</f>
        <v/>
      </c>
      <c r="Q1716" t="n">
        <v>2271</v>
      </c>
      <c r="R1716" t="n">
        <v>0</v>
      </c>
      <c r="S1716" s="27">
        <f>R1716/Q1716</f>
        <v/>
      </c>
      <c r="T1716" t="inlineStr">
        <is>
          <t>今帰仁村は2045年までに人口が約17.4%減と明確な減少トレンド。高齢化の進行と世帯数の縮小により、中長期では賃貸需要の構造的縮小に警戒が必要。</t>
        </is>
      </c>
      <c r="U1716" t="inlineStr">
        <is>
          <t>今帰仁村は人口密度219人/km²と低密度で、賃貸需要は限定的。持ち家比率が高く、駐車場完備の戸建て賃貸が有利。 借家の空室率は約0%と需給は比較的引き締まっている。</t>
        </is>
      </c>
      <c r="V1716" t="inlineStr">
        <is>
          <t>今帰仁村（沖縄県）：台風常襲と高潮・暴風、低地の浸水、津波想定、塩害による建物劣化に注意。</t>
        </is>
      </c>
    </row>
    <row r="1717">
      <c r="A1717" t="inlineStr">
        <is>
          <t>沖縄県</t>
        </is>
      </c>
      <c r="B1717" t="inlineStr">
        <is>
          <t>本部町</t>
        </is>
      </c>
      <c r="C1717" t="n">
        <v>6708</v>
      </c>
      <c r="D1717" t="n">
        <v>11954</v>
      </c>
      <c r="E1717" s="6" t="n">
        <v>217.5</v>
      </c>
      <c r="F1717" s="7" t="n">
        <v>30.9</v>
      </c>
      <c r="G1717" t="n">
        <v>12530</v>
      </c>
      <c r="H1717" t="n">
        <v>11954</v>
      </c>
      <c r="I1717" t="n">
        <v>11358</v>
      </c>
      <c r="J1717" t="n">
        <v>9640</v>
      </c>
      <c r="K1717" s="27">
        <f>(H1717/D1717-1)</f>
        <v/>
      </c>
      <c r="L1717" s="27">
        <f>(I1717/D1717-1)</f>
        <v/>
      </c>
      <c r="M1717" s="27">
        <f>(J1717/D1717-1)</f>
        <v/>
      </c>
      <c r="N1717" t="n">
        <v>53.2</v>
      </c>
      <c r="O1717" s="28">
        <f>(N1717+F1717)/2</f>
        <v/>
      </c>
      <c r="P1717">
        <f>IF(O1717="計算不能","計算不能",IF(O1717&gt;=80,5,IF(O1717&gt;=60,4,IF(O1717&gt;=40,3,IF(O1717&gt;=28,2,1)))))</f>
        <v/>
      </c>
      <c r="Q1717" t="n">
        <v>3310</v>
      </c>
      <c r="R1717" t="n">
        <v>0</v>
      </c>
      <c r="S1717" s="27">
        <f>R1717/Q1717</f>
        <v/>
      </c>
      <c r="T1717" t="inlineStr">
        <is>
          <t>本部町は2045年までに人口が約19.4%減と明確な減少トレンド。高齢化の進行と世帯数の縮小により、中長期では賃貸需要の構造的縮小に警戒が必要。</t>
        </is>
      </c>
      <c r="U1717" t="inlineStr">
        <is>
          <t>本部町は人口密度218人/km²と低密度で、賃貸需要は限定的。持ち家比率が高く、駐車場完備の戸建て賃貸が有利。 借家の空室率は約0%と需給は比較的引き締まっている。</t>
        </is>
      </c>
      <c r="V1717" t="inlineStr">
        <is>
          <t>本部町（沖縄県）：台風常襲と高潮・暴風、低地の浸水、津波想定、塩害による建物劣化に注意。</t>
        </is>
      </c>
    </row>
    <row r="1718">
      <c r="A1718" t="inlineStr">
        <is>
          <t>沖縄県</t>
        </is>
      </c>
      <c r="B1718" t="inlineStr">
        <is>
          <t>恩納村</t>
        </is>
      </c>
      <c r="C1718" t="n">
        <v>6109</v>
      </c>
      <c r="D1718" t="n">
        <v>11074</v>
      </c>
      <c r="E1718" s="6" t="n">
        <v>220.7</v>
      </c>
      <c r="F1718" s="7" t="n">
        <v>31</v>
      </c>
      <c r="G1718" t="n">
        <v>10869</v>
      </c>
      <c r="H1718" t="n">
        <v>11074</v>
      </c>
      <c r="I1718" t="n">
        <v>11225</v>
      </c>
      <c r="J1718" t="n">
        <v>11359</v>
      </c>
      <c r="K1718" s="27">
        <f>(H1718/D1718-1)</f>
        <v/>
      </c>
      <c r="L1718" s="27">
        <f>(I1718/D1718-1)</f>
        <v/>
      </c>
      <c r="M1718" s="27">
        <f>(J1718/D1718-1)</f>
        <v/>
      </c>
      <c r="N1718" t="n">
        <v>81.09999999999999</v>
      </c>
      <c r="O1718" s="28">
        <f>(N1718+F1718)/2</f>
        <v/>
      </c>
      <c r="P1718">
        <f>IF(O1718="計算不能","計算不能",IF(O1718&gt;=80,5,IF(O1718&gt;=60,4,IF(O1718&gt;=40,3,IF(O1718&gt;=28,2,1)))))</f>
        <v/>
      </c>
      <c r="Q1718" t="n">
        <v>3015</v>
      </c>
      <c r="R1718" t="n">
        <v>0</v>
      </c>
      <c r="S1718" s="27">
        <f>R1718/Q1718</f>
        <v/>
      </c>
      <c r="T1718" t="inlineStr">
        <is>
          <t>恩納村は2045年までの人口減少率が約2.6%と全国平均より緩やかで、概ね横ばいの安定推移。生産年齢人口の維持により、賃貸需要の急減リスクは相対的に低い。</t>
        </is>
      </c>
      <c r="U1718" t="inlineStr">
        <is>
          <t>恩納村は人口密度221人/km²と低密度で、賃貸需要は限定的。持ち家比率が高く、駐車場完備の戸建て賃貸が有利。 借家の空室率は約0%と需給は比較的引き締まっている。</t>
        </is>
      </c>
      <c r="V1718" t="inlineStr">
        <is>
          <t>恩納村（沖縄県）：台風常襲と高潮・暴風、低地の浸水、津波想定、塩害による建物劣化に注意。</t>
        </is>
      </c>
    </row>
    <row r="1719">
      <c r="A1719" t="inlineStr">
        <is>
          <t>沖縄県</t>
        </is>
      </c>
      <c r="B1719" t="inlineStr">
        <is>
          <t>宜野座村</t>
        </is>
      </c>
      <c r="C1719" t="n">
        <v>2862</v>
      </c>
      <c r="D1719" t="n">
        <v>5990</v>
      </c>
      <c r="E1719" s="6" t="n">
        <v>201.8</v>
      </c>
      <c r="F1719" s="7" t="n">
        <v>30.1</v>
      </c>
      <c r="G1719" t="n">
        <v>5833</v>
      </c>
      <c r="H1719" t="n">
        <v>5990</v>
      </c>
      <c r="I1719" t="n">
        <v>6115</v>
      </c>
      <c r="J1719" t="n">
        <v>6315</v>
      </c>
      <c r="K1719" s="27">
        <f>(H1719/D1719-1)</f>
        <v/>
      </c>
      <c r="L1719" s="27">
        <f>(I1719/D1719-1)</f>
        <v/>
      </c>
      <c r="M1719" s="27">
        <f>(J1719/D1719-1)</f>
        <v/>
      </c>
      <c r="N1719" t="n">
        <v>84.7</v>
      </c>
      <c r="O1719" s="28">
        <f>(N1719+F1719)/2</f>
        <v/>
      </c>
      <c r="P1719">
        <f>IF(O1719="計算不能","計算不能",IF(O1719&gt;=80,5,IF(O1719&gt;=60,4,IF(O1719&gt;=40,3,IF(O1719&gt;=28,2,1)))))</f>
        <v/>
      </c>
      <c r="Q1719" t="n">
        <v>1412</v>
      </c>
      <c r="R1719" t="n">
        <v>0</v>
      </c>
      <c r="S1719" s="27">
        <f>R1719/Q1719</f>
        <v/>
      </c>
      <c r="T1719" t="inlineStr">
        <is>
          <t>宜野座村は2025年から2045年にかけて人口が約5.4%増と全国的にも希少な人口増トレンド。都市機能の集積と職住近接需要を背景に、単身・若年ファミリー層の流入が継続し、賃貸母数の拡大が見込める。</t>
        </is>
      </c>
      <c r="U1719" t="inlineStr">
        <is>
          <t>宜野座村は人口密度202人/km²と低密度で、賃貸需要は限定的。持ち家比率が高く、駐車場完備の戸建て賃貸が有利。 借家の空室率は約0%と需給は比較的引き締まっている。</t>
        </is>
      </c>
      <c r="V1719" t="inlineStr">
        <is>
          <t>宜野座村（沖縄県）：台風常襲と高潮・暴風、低地の浸水、津波想定、塩害による建物劣化に注意。</t>
        </is>
      </c>
    </row>
    <row r="1720">
      <c r="A1720" t="inlineStr">
        <is>
          <t>沖縄県</t>
        </is>
      </c>
      <c r="B1720" t="inlineStr">
        <is>
          <t>金武町</t>
        </is>
      </c>
      <c r="C1720" t="n">
        <v>5725</v>
      </c>
      <c r="D1720" t="n">
        <v>10762</v>
      </c>
      <c r="E1720" s="6" t="n">
        <v>294</v>
      </c>
      <c r="F1720" s="7" t="n">
        <v>34.7</v>
      </c>
      <c r="G1720" t="n">
        <v>10806</v>
      </c>
      <c r="H1720" t="n">
        <v>10762</v>
      </c>
      <c r="I1720" t="n">
        <v>10678</v>
      </c>
      <c r="J1720" t="n">
        <v>10384</v>
      </c>
      <c r="K1720" s="27">
        <f>(H1720/D1720-1)</f>
        <v/>
      </c>
      <c r="L1720" s="27">
        <f>(I1720/D1720-1)</f>
        <v/>
      </c>
      <c r="M1720" s="27">
        <f>(J1720/D1720-1)</f>
        <v/>
      </c>
      <c r="N1720" t="n">
        <v>71.90000000000001</v>
      </c>
      <c r="O1720" s="28">
        <f>(N1720+F1720)/2</f>
        <v/>
      </c>
      <c r="P1720">
        <f>IF(O1720="計算不能","計算不能",IF(O1720&gt;=80,5,IF(O1720&gt;=60,4,IF(O1720&gt;=40,3,IF(O1720&gt;=28,2,1)))))</f>
        <v/>
      </c>
      <c r="Q1720" t="n">
        <v>2825</v>
      </c>
      <c r="R1720" t="n">
        <v>0</v>
      </c>
      <c r="S1720" s="27">
        <f>R1720/Q1720</f>
        <v/>
      </c>
      <c r="T1720" t="inlineStr">
        <is>
          <t>金武町は2045年までの人口減少率が約3.5%と全国平均より緩やかで、概ね横ばいの安定推移。生産年齢人口の維持により、賃貸需要の急減リスクは相対的に低い。</t>
        </is>
      </c>
      <c r="U1720" t="inlineStr">
        <is>
          <t>金武町は人口密度294人/km²と低密度で、賃貸需要は限定的。持ち家比率が高く、駐車場完備の戸建て賃貸が有利。 借家の空室率は約0%と需給は比較的引き締まっている。</t>
        </is>
      </c>
      <c r="V1720" t="inlineStr">
        <is>
          <t>金武町（沖縄県）：台風常襲と高潮・暴風、低地の浸水、津波想定、塩害による建物劣化に注意。</t>
        </is>
      </c>
    </row>
    <row r="1721">
      <c r="A1721" t="inlineStr">
        <is>
          <t>沖縄県</t>
        </is>
      </c>
      <c r="B1721" t="inlineStr">
        <is>
          <t>伊江村</t>
        </is>
      </c>
      <c r="C1721" t="n">
        <v>2268</v>
      </c>
      <c r="D1721" t="n">
        <v>3863</v>
      </c>
      <c r="E1721" s="6" t="n">
        <v>164.2</v>
      </c>
      <c r="F1721" s="7" t="n">
        <v>26.4</v>
      </c>
      <c r="G1721" t="n">
        <v>4118</v>
      </c>
      <c r="H1721" t="n">
        <v>3863</v>
      </c>
      <c r="I1721" t="n">
        <v>3605</v>
      </c>
      <c r="J1721" t="n">
        <v>2869</v>
      </c>
      <c r="K1721" s="27">
        <f>(H1721/D1721-1)</f>
        <v/>
      </c>
      <c r="L1721" s="27">
        <f>(I1721/D1721-1)</f>
        <v/>
      </c>
      <c r="M1721" s="27">
        <f>(J1721/D1721-1)</f>
        <v/>
      </c>
      <c r="N1721" t="n">
        <v>46.2</v>
      </c>
      <c r="O1721" s="28">
        <f>(N1721+F1721)/2</f>
        <v/>
      </c>
      <c r="P1721">
        <f>IF(O1721="計算不能","計算不能",IF(O1721&gt;=80,5,IF(O1721&gt;=60,4,IF(O1721&gt;=40,3,IF(O1721&gt;=28,2,1)))))</f>
        <v/>
      </c>
      <c r="Q1721" t="n">
        <v>1119</v>
      </c>
      <c r="R1721" t="n">
        <v>0</v>
      </c>
      <c r="S1721" s="27">
        <f>R1721/Q1721</f>
        <v/>
      </c>
      <c r="T1721" t="inlineStr">
        <is>
          <t>伊江村は2045年までに人口が約25.7%減と明確な減少トレンド。高齢化の進行と世帯数の縮小により、中長期では賃貸需要の構造的縮小に警戒が必要。</t>
        </is>
      </c>
      <c r="U1721" t="inlineStr">
        <is>
          <t>伊江村は人口密度164人/km²と過疎的水準で、民間賃貸の新規需要は薄い。実需に裏付けられた格安戸建ての指値取得のみが現実的。 借家の空室率は約0%と需給は比較的引き締まっている。</t>
        </is>
      </c>
      <c r="V1721" t="inlineStr">
        <is>
          <t>伊江村（沖縄県）：台風常襲と高潮・暴風、低地の浸水、津波想定、塩害による建物劣化に注意。</t>
        </is>
      </c>
    </row>
    <row r="1722">
      <c r="A1722" t="inlineStr">
        <is>
          <t>沖縄県</t>
        </is>
      </c>
      <c r="B1722" t="inlineStr">
        <is>
          <t>読谷村</t>
        </is>
      </c>
      <c r="C1722" t="n">
        <v>16360</v>
      </c>
      <c r="D1722" t="n">
        <v>41473</v>
      </c>
      <c r="E1722" s="6" t="n">
        <v>1177.2</v>
      </c>
      <c r="F1722" s="7" t="n">
        <v>58.5</v>
      </c>
      <c r="G1722" t="n">
        <v>41206</v>
      </c>
      <c r="H1722" t="n">
        <v>41473</v>
      </c>
      <c r="I1722" t="n">
        <v>41499</v>
      </c>
      <c r="J1722" t="n">
        <v>40768</v>
      </c>
      <c r="K1722" s="27">
        <f>(H1722/D1722-1)</f>
        <v/>
      </c>
      <c r="L1722" s="27">
        <f>(I1722/D1722-1)</f>
        <v/>
      </c>
      <c r="M1722" s="27">
        <f>(J1722/D1722-1)</f>
        <v/>
      </c>
      <c r="N1722" t="n">
        <v>75.5</v>
      </c>
      <c r="O1722" s="28">
        <f>(N1722+F1722)/2</f>
        <v/>
      </c>
      <c r="P1722">
        <f>IF(O1722="計算不能","計算不能",IF(O1722&gt;=80,5,IF(O1722&gt;=60,4,IF(O1722&gt;=40,3,IF(O1722&gt;=28,2,1)))))</f>
        <v/>
      </c>
      <c r="Q1722" t="n">
        <v>8074</v>
      </c>
      <c r="R1722" t="n">
        <v>600</v>
      </c>
      <c r="S1722" s="27">
        <f>R1722/Q1722</f>
        <v/>
      </c>
      <c r="T1722" t="inlineStr">
        <is>
          <t>読谷村は2045年までの人口減少率が約1.7%と全国平均より緩やかで、概ね横ばいの安定推移。生産年齢人口の維持により、賃貸需要の急減リスクは相対的に低い。</t>
        </is>
      </c>
      <c r="U1722" t="inlineStr">
        <is>
          <t>読谷村は人口密度1,177人/km²で、主要道路沿いや中心市街地に一定の賃貸需要が局在。立地選別が稼働を左右する。 借家の空室率は約7%と需給は比較的引き締まっている。</t>
        </is>
      </c>
      <c r="V1722" t="inlineStr">
        <is>
          <t>読谷村（沖縄県）：台風常襲と高潮・暴風、低地の浸水、津波想定、塩害による建物劣化に注意。</t>
        </is>
      </c>
    </row>
    <row r="1723">
      <c r="A1723" t="inlineStr">
        <is>
          <t>沖縄県</t>
        </is>
      </c>
      <c r="B1723" t="inlineStr">
        <is>
          <t>嘉手納町</t>
        </is>
      </c>
      <c r="C1723" t="n">
        <v>5636</v>
      </c>
      <c r="D1723" t="n">
        <v>13020</v>
      </c>
      <c r="E1723" s="6" t="n">
        <v>874.9</v>
      </c>
      <c r="F1723" s="7" t="n">
        <v>52.5</v>
      </c>
      <c r="G1723" t="n">
        <v>13521</v>
      </c>
      <c r="H1723" t="n">
        <v>13020</v>
      </c>
      <c r="I1723" t="n">
        <v>12827</v>
      </c>
      <c r="J1723" t="n">
        <v>12261</v>
      </c>
      <c r="K1723" s="27">
        <f>(H1723/D1723-1)</f>
        <v/>
      </c>
      <c r="L1723" s="27">
        <f>(I1723/D1723-1)</f>
        <v/>
      </c>
      <c r="M1723" s="27">
        <f>(J1723/D1723-1)</f>
        <v/>
      </c>
      <c r="N1723" t="n">
        <v>63.8</v>
      </c>
      <c r="O1723" s="28">
        <f>(N1723+F1723)/2</f>
        <v/>
      </c>
      <c r="P1723">
        <f>IF(O1723="計算不能","計算不能",IF(O1723&gt;=80,5,IF(O1723&gt;=60,4,IF(O1723&gt;=40,3,IF(O1723&gt;=28,2,1)))))</f>
        <v/>
      </c>
      <c r="Q1723" t="n">
        <v>2781</v>
      </c>
      <c r="R1723" t="n">
        <v>0</v>
      </c>
      <c r="S1723" s="27">
        <f>R1723/Q1723</f>
        <v/>
      </c>
      <c r="T1723" t="inlineStr">
        <is>
          <t>嘉手納町は2045年までに人口が約5.8%減と緩やかな減少局面。若年層の都市部流出と高齢化が進むが、当面の賃貸稼働は一定程度維持される見通し。</t>
        </is>
      </c>
      <c r="U1723" t="inlineStr">
        <is>
          <t>嘉手納町は人口密度875人/km²で、主要道路沿いや中心市街地に一定の賃貸需要が局在。立地選別が稼働を左右する。 借家の空室率は約0%と需給は比較的引き締まっている。</t>
        </is>
      </c>
      <c r="V1723" t="inlineStr">
        <is>
          <t>嘉手納町（沖縄県）：台風常襲と高潮・暴風、低地の浸水、津波想定、塩害による建物劣化に注意。</t>
        </is>
      </c>
    </row>
    <row r="1724">
      <c r="A1724" t="inlineStr">
        <is>
          <t>沖縄県</t>
        </is>
      </c>
      <c r="B1724" t="inlineStr">
        <is>
          <t>北谷町</t>
        </is>
      </c>
      <c r="C1724" t="n">
        <v>12240</v>
      </c>
      <c r="D1724" t="n">
        <v>28125</v>
      </c>
      <c r="E1724" s="6" t="n">
        <v>2044.3</v>
      </c>
      <c r="F1724" s="7" t="n">
        <v>70.40000000000001</v>
      </c>
      <c r="G1724" t="n">
        <v>28201</v>
      </c>
      <c r="H1724" t="n">
        <v>28125</v>
      </c>
      <c r="I1724" t="n">
        <v>27932</v>
      </c>
      <c r="J1724" t="n">
        <v>26975</v>
      </c>
      <c r="K1724" s="27">
        <f>(H1724/D1724-1)</f>
        <v/>
      </c>
      <c r="L1724" s="27">
        <f>(I1724/D1724-1)</f>
        <v/>
      </c>
      <c r="M1724" s="27">
        <f>(J1724/D1724-1)</f>
        <v/>
      </c>
      <c r="N1724" t="n">
        <v>71.90000000000001</v>
      </c>
      <c r="O1724" s="28">
        <f>(N1724+F1724)/2</f>
        <v/>
      </c>
      <c r="P1724">
        <f>IF(O1724="計算不能","計算不能",IF(O1724&gt;=80,5,IF(O1724&gt;=60,4,IF(O1724&gt;=40,3,IF(O1724&gt;=28,2,1)))))</f>
        <v/>
      </c>
      <c r="Q1724" t="n">
        <v>6040</v>
      </c>
      <c r="R1724" t="n">
        <v>690</v>
      </c>
      <c r="S1724" s="27">
        <f>R1724/Q1724</f>
        <v/>
      </c>
      <c r="T1724" t="inlineStr">
        <is>
          <t>北谷町は2045年までの人口減少率が約4.1%と全国平均より緩やかで、概ね横ばいの安定推移。生産年齢人口の維持により、賃貸需要の急減リスクは相対的に低い。</t>
        </is>
      </c>
      <c r="U1724" t="inlineStr">
        <is>
          <t>北谷町は人口密度2,044人/km²の都市部で、駅周辺や生活利便施設沿いに安定した賃貸需要がある。適切な家賃設定で高稼働を期待できる。 借家の空室率は約11%と需給は比較的引き締まっている。</t>
        </is>
      </c>
      <c r="V1724" t="inlineStr">
        <is>
          <t>北谷町（沖縄県）：台風常襲と高潮・暴風、低地の浸水、津波想定、塩害による建物劣化に注意。</t>
        </is>
      </c>
    </row>
    <row r="1725">
      <c r="A1725" t="inlineStr">
        <is>
          <t>沖縄県</t>
        </is>
      </c>
      <c r="B1725" t="inlineStr">
        <is>
          <t>北中城村</t>
        </is>
      </c>
      <c r="C1725" t="n">
        <v>6960</v>
      </c>
      <c r="D1725" t="n">
        <v>18549</v>
      </c>
      <c r="E1725" s="6" t="n">
        <v>1564.3</v>
      </c>
      <c r="F1725" s="7" t="n">
        <v>65.59999999999999</v>
      </c>
      <c r="G1725" t="n">
        <v>17969</v>
      </c>
      <c r="H1725" t="n">
        <v>18549</v>
      </c>
      <c r="I1725" t="n">
        <v>18634</v>
      </c>
      <c r="J1725" t="n">
        <v>18511</v>
      </c>
      <c r="K1725" s="27">
        <f>(H1725/D1725-1)</f>
        <v/>
      </c>
      <c r="L1725" s="27">
        <f>(I1725/D1725-1)</f>
        <v/>
      </c>
      <c r="M1725" s="27">
        <f>(J1725/D1725-1)</f>
        <v/>
      </c>
      <c r="N1725" t="n">
        <v>81.7</v>
      </c>
      <c r="O1725" s="28">
        <f>(N1725+F1725)/2</f>
        <v/>
      </c>
      <c r="P1725">
        <f>IF(O1725="計算不能","計算不能",IF(O1725&gt;=80,5,IF(O1725&gt;=60,4,IF(O1725&gt;=40,3,IF(O1725&gt;=28,2,1)))))</f>
        <v/>
      </c>
      <c r="Q1725" t="n">
        <v>3435</v>
      </c>
      <c r="R1725" t="n">
        <v>260</v>
      </c>
      <c r="S1725" s="27">
        <f>R1725/Q1725</f>
        <v/>
      </c>
      <c r="T1725" t="inlineStr">
        <is>
          <t>北中城村は2045年までの人口減少率が約0.2%と全国平均より緩やかで、概ね横ばいの安定推移。生産年齢人口の維持により、賃貸需要の急減リスクは相対的に低い。</t>
        </is>
      </c>
      <c r="U1725" t="inlineStr">
        <is>
          <t>北中城村は人口密度1,564人/km²の都市部で、駅周辺や生活利便施設沿いに安定した賃貸需要がある。適切な家賃設定で高稼働を期待できる。 借家の空室率は約8%と需給は比較的引き締まっている。</t>
        </is>
      </c>
      <c r="V1725" t="inlineStr">
        <is>
          <t>北中城村（沖縄県）：台風常襲と高潮・暴風、低地の浸水、津波想定、塩害による建物劣化に注意。</t>
        </is>
      </c>
    </row>
    <row r="1726">
      <c r="A1726" t="inlineStr">
        <is>
          <t>沖縄県</t>
        </is>
      </c>
      <c r="B1726" t="inlineStr">
        <is>
          <t>中城村</t>
        </is>
      </c>
      <c r="C1726" t="n">
        <v>9060</v>
      </c>
      <c r="D1726" t="n">
        <v>22990</v>
      </c>
      <c r="E1726" s="6" t="n">
        <v>1475.2</v>
      </c>
      <c r="F1726" s="7" t="n">
        <v>64.5</v>
      </c>
      <c r="G1726" t="n">
        <v>22157</v>
      </c>
      <c r="H1726" t="n">
        <v>22990</v>
      </c>
      <c r="I1726" t="n">
        <v>24122</v>
      </c>
      <c r="J1726" t="n">
        <v>26009</v>
      </c>
      <c r="K1726" s="27">
        <f>(H1726/D1726-1)</f>
        <v/>
      </c>
      <c r="L1726" s="27">
        <f>(I1726/D1726-1)</f>
        <v/>
      </c>
      <c r="M1726" s="27">
        <f>(J1726/D1726-1)</f>
        <v/>
      </c>
      <c r="N1726" t="n">
        <v>92.90000000000001</v>
      </c>
      <c r="O1726" s="28">
        <f>(N1726+F1726)/2</f>
        <v/>
      </c>
      <c r="P1726">
        <f>IF(O1726="計算不能","計算不能",IF(O1726&gt;=80,5,IF(O1726&gt;=60,4,IF(O1726&gt;=40,3,IF(O1726&gt;=28,2,1)))))</f>
        <v/>
      </c>
      <c r="Q1726" t="n">
        <v>4471</v>
      </c>
      <c r="R1726" t="n">
        <v>120</v>
      </c>
      <c r="S1726" s="27">
        <f>R1726/Q1726</f>
        <v/>
      </c>
      <c r="T1726" t="inlineStr">
        <is>
          <t>中城村は2025年から2045年にかけて人口が約13.1%増と全国的にも希少な人口増トレンド。都市機能の集積と職住近接需要を背景に、単身・若年ファミリー層の流入が継続し、賃貸母数の拡大が見込める。</t>
        </is>
      </c>
      <c r="U1726" t="inlineStr">
        <is>
          <t>中城村は人口密度1,475人/km²で、主要道路沿いや中心市街地に一定の賃貸需要が局在。立地選別が稼働を左右する。 借家の空室率は約3%と需給は比較的引き締まっている。</t>
        </is>
      </c>
      <c r="V1726" t="inlineStr">
        <is>
          <t>中城村（沖縄県）：台風常襲と高潮・暴風、低地の浸水、津波想定、塩害による建物劣化に注意。</t>
        </is>
      </c>
    </row>
    <row r="1727">
      <c r="A1727" t="inlineStr">
        <is>
          <t>沖縄県</t>
        </is>
      </c>
      <c r="B1727" t="inlineStr">
        <is>
          <t>西原町</t>
        </is>
      </c>
      <c r="C1727" t="n">
        <v>14430</v>
      </c>
      <c r="D1727" t="n">
        <v>34834</v>
      </c>
      <c r="E1727" s="6" t="n">
        <v>2218.9</v>
      </c>
      <c r="F1727" s="7" t="n">
        <v>72.2</v>
      </c>
      <c r="G1727" t="n">
        <v>34984</v>
      </c>
      <c r="H1727" t="n">
        <v>34834</v>
      </c>
      <c r="I1727" t="n">
        <v>34389</v>
      </c>
      <c r="J1727" t="n">
        <v>32069</v>
      </c>
      <c r="K1727" s="27">
        <f>(H1727/D1727-1)</f>
        <v/>
      </c>
      <c r="L1727" s="27">
        <f>(I1727/D1727-1)</f>
        <v/>
      </c>
      <c r="M1727" s="27">
        <f>(J1727/D1727-1)</f>
        <v/>
      </c>
      <c r="N1727" t="n">
        <v>69.3</v>
      </c>
      <c r="O1727" s="28">
        <f>(N1727+F1727)/2</f>
        <v/>
      </c>
      <c r="P1727">
        <f>IF(O1727="計算不能","計算不能",IF(O1727&gt;=80,5,IF(O1727&gt;=60,4,IF(O1727&gt;=40,3,IF(O1727&gt;=28,2,1)))))</f>
        <v/>
      </c>
      <c r="Q1727" t="n">
        <v>7121</v>
      </c>
      <c r="R1727" t="n">
        <v>950</v>
      </c>
      <c r="S1727" s="27">
        <f>R1727/Q1727</f>
        <v/>
      </c>
      <c r="T1727" t="inlineStr">
        <is>
          <t>西原町は2045年までに人口が約7.9%減と緩やかな減少局面。若年層の都市部流出と高齢化が進むが、当面の賃貸稼働は一定程度維持される見通し。</t>
        </is>
      </c>
      <c r="U1727" t="inlineStr">
        <is>
          <t>西原町は人口密度2,219人/km²の都市部で、駅周辺や生活利便施設沿いに安定した賃貸需要がある。適切な家賃設定で高稼働を期待できる。 借家の空室率は約13%と需給は比較的引き締まっている。</t>
        </is>
      </c>
      <c r="V1727" t="inlineStr">
        <is>
          <t>西原町（沖縄県）：台風常襲と高潮・暴風、低地の浸水、津波想定、塩害による建物劣化に注意。</t>
        </is>
      </c>
    </row>
    <row r="1728">
      <c r="A1728" t="inlineStr">
        <is>
          <t>沖縄県</t>
        </is>
      </c>
      <c r="B1728" t="inlineStr">
        <is>
          <t>与那原町</t>
        </is>
      </c>
      <c r="C1728" t="n">
        <v>7760</v>
      </c>
      <c r="D1728" t="n">
        <v>20510</v>
      </c>
      <c r="E1728" s="6" t="n">
        <v>3719.5</v>
      </c>
      <c r="F1728" s="7" t="n">
        <v>80</v>
      </c>
      <c r="G1728" t="n">
        <v>19695</v>
      </c>
      <c r="H1728" t="n">
        <v>20510</v>
      </c>
      <c r="I1728" t="n">
        <v>21080</v>
      </c>
      <c r="J1728" t="n">
        <v>21670</v>
      </c>
      <c r="K1728" s="27">
        <f>(H1728/D1728-1)</f>
        <v/>
      </c>
      <c r="L1728" s="27">
        <f>(I1728/D1728-1)</f>
        <v/>
      </c>
      <c r="M1728" s="27">
        <f>(J1728/D1728-1)</f>
        <v/>
      </c>
      <c r="N1728" t="n">
        <v>88.2</v>
      </c>
      <c r="O1728" s="28">
        <f>(N1728+F1728)/2</f>
        <v/>
      </c>
      <c r="P1728">
        <f>IF(O1728="計算不能","計算不能",IF(O1728&gt;=80,5,IF(O1728&gt;=60,4,IF(O1728&gt;=40,3,IF(O1728&gt;=28,2,1)))))</f>
        <v/>
      </c>
      <c r="Q1728" t="n">
        <v>3829</v>
      </c>
      <c r="R1728" t="n">
        <v>480</v>
      </c>
      <c r="S1728" s="27">
        <f>R1728/Q1728</f>
        <v/>
      </c>
      <c r="T1728" t="inlineStr">
        <is>
          <t>与那原町は2025年から2045年にかけて人口が約5.7%増と全国的にも希少な人口増トレンド。都市機能の集積と職住近接需要を背景に、単身・若年ファミリー層の流入が継続し、賃貸母数の拡大が見込める。</t>
        </is>
      </c>
      <c r="U1728" t="inlineStr">
        <is>
          <t>与那原町は人口密度3,720人/km²の都市部で、駅周辺や生活利便施設沿いに安定した賃貸需要がある。適切な家賃設定で高稼働を期待できる。 借家の空室率は約13%と需給は比較的引き締まっている。</t>
        </is>
      </c>
      <c r="V1728" t="inlineStr">
        <is>
          <t>与那原町（沖縄県）：台風常襲と高潮・暴風、低地の浸水、津波想定、塩害による建物劣化に注意。</t>
        </is>
      </c>
    </row>
    <row r="1729">
      <c r="A1729" t="inlineStr">
        <is>
          <t>沖縄県</t>
        </is>
      </c>
      <c r="B1729" t="inlineStr">
        <is>
          <t>南風原町</t>
        </is>
      </c>
      <c r="C1729" t="n">
        <v>15420</v>
      </c>
      <c r="D1729" t="n">
        <v>41514</v>
      </c>
      <c r="E1729" s="6" t="n">
        <v>3858.1</v>
      </c>
      <c r="F1729" s="7" t="n">
        <v>80</v>
      </c>
      <c r="G1729" t="n">
        <v>40440</v>
      </c>
      <c r="H1729" t="n">
        <v>41514</v>
      </c>
      <c r="I1729" t="n">
        <v>41948</v>
      </c>
      <c r="J1729" t="n">
        <v>41813</v>
      </c>
      <c r="K1729" s="27">
        <f>(H1729/D1729-1)</f>
        <v/>
      </c>
      <c r="L1729" s="27">
        <f>(I1729/D1729-1)</f>
        <v/>
      </c>
      <c r="M1729" s="27">
        <f>(J1729/D1729-1)</f>
        <v/>
      </c>
      <c r="N1729" t="n">
        <v>81.40000000000001</v>
      </c>
      <c r="O1729" s="28">
        <f>(N1729+F1729)/2</f>
        <v/>
      </c>
      <c r="P1729">
        <f>IF(O1729="計算不能","計算不能",IF(O1729&gt;=80,5,IF(O1729&gt;=60,4,IF(O1729&gt;=40,3,IF(O1729&gt;=28,2,1)))))</f>
        <v/>
      </c>
      <c r="Q1729" t="n">
        <v>7610</v>
      </c>
      <c r="R1729" t="n">
        <v>110</v>
      </c>
      <c r="S1729" s="27">
        <f>R1729/Q1729</f>
        <v/>
      </c>
      <c r="T1729" t="inlineStr">
        <is>
          <t>南風原町は2045年までの人口減少率が約0.7%と全国平均より緩やかで、概ね横ばいの安定推移。生産年齢人口の維持により、賃貸需要の急減リスクは相対的に低い。</t>
        </is>
      </c>
      <c r="U1729" t="inlineStr">
        <is>
          <t>南風原町は人口密度3,858人/km²の都市部で、駅周辺や生活利便施設沿いに安定した賃貸需要がある。適切な家賃設定で高稼働を期待できる。 借家の空室率は約1%と需給は比較的引き締まっている。</t>
        </is>
      </c>
      <c r="V1729" t="inlineStr">
        <is>
          <t>南風原町（沖縄県）：台風常襲と高潮・暴風、低地の浸水、津波想定、塩害による建物劣化に注意。</t>
        </is>
      </c>
    </row>
    <row r="1730">
      <c r="A1730" t="inlineStr">
        <is>
          <t>沖縄県</t>
        </is>
      </c>
      <c r="B1730" t="inlineStr">
        <is>
          <t>渡嘉敷村</t>
        </is>
      </c>
      <c r="C1730" t="n">
        <v>415</v>
      </c>
      <c r="D1730" t="n">
        <v>649</v>
      </c>
      <c r="E1730" s="6" t="n">
        <v>32.3</v>
      </c>
      <c r="F1730" s="7" t="n">
        <v>13.2</v>
      </c>
      <c r="G1730" t="n">
        <v>718</v>
      </c>
      <c r="H1730" t="n">
        <v>649</v>
      </c>
      <c r="I1730" t="n">
        <v>615</v>
      </c>
      <c r="J1730" t="n">
        <v>561</v>
      </c>
      <c r="K1730" s="27">
        <f>(H1730/D1730-1)</f>
        <v/>
      </c>
      <c r="L1730" s="27">
        <f>(I1730/D1730-1)</f>
        <v/>
      </c>
      <c r="M1730" s="27">
        <f>(J1730/D1730-1)</f>
        <v/>
      </c>
      <c r="N1730" t="n">
        <v>46.3</v>
      </c>
      <c r="O1730" s="28">
        <f>(N1730+F1730)/2</f>
        <v/>
      </c>
      <c r="P1730">
        <f>IF(O1730="計算不能","計算不能",IF(O1730&gt;=80,5,IF(O1730&gt;=60,4,IF(O1730&gt;=40,3,IF(O1730&gt;=28,2,1)))))</f>
        <v/>
      </c>
      <c r="Q1730" t="n">
        <v>204</v>
      </c>
      <c r="R1730" t="n">
        <v>0</v>
      </c>
      <c r="S1730" s="27">
        <f>R1730/Q1730</f>
        <v/>
      </c>
      <c r="T1730" t="inlineStr">
        <is>
          <t>渡嘉敷村は2045年までに人口が約13.6%減と緩やかな減少局面。若年層の都市部流出と高齢化が進むが、当面の賃貸稼働は一定程度維持される見通し。</t>
        </is>
      </c>
      <c r="U1730" t="inlineStr">
        <is>
          <t>渡嘉敷村は人口密度32人/km²と過疎的水準で、民間賃貸の新規需要は薄い。実需に裏付けられた格安戸建ての指値取得のみが現実的。 借家の空室率は約0%と需給は比較的引き締まっている。</t>
        </is>
      </c>
      <c r="V1730" t="inlineStr">
        <is>
          <t>渡嘉敷村（沖縄県）：台風常襲と高潮・暴風、低地の浸水、津波想定、塩害による建物劣化に注意。</t>
        </is>
      </c>
    </row>
    <row r="1731">
      <c r="A1731" t="inlineStr">
        <is>
          <t>沖縄県</t>
        </is>
      </c>
      <c r="B1731" t="inlineStr">
        <is>
          <t>座間味村</t>
        </is>
      </c>
      <c r="C1731" t="n">
        <v>551</v>
      </c>
      <c r="D1731" t="n">
        <v>828</v>
      </c>
      <c r="E1731" s="6" t="n">
        <v>49.6</v>
      </c>
      <c r="F1731" s="7" t="n">
        <v>15</v>
      </c>
      <c r="G1731" t="n">
        <v>892</v>
      </c>
      <c r="H1731" t="n">
        <v>828</v>
      </c>
      <c r="I1731" t="n">
        <v>797</v>
      </c>
      <c r="J1731" t="n">
        <v>724</v>
      </c>
      <c r="K1731" s="27">
        <f>(H1731/D1731-1)</f>
        <v/>
      </c>
      <c r="L1731" s="27">
        <f>(I1731/D1731-1)</f>
        <v/>
      </c>
      <c r="M1731" s="27">
        <f>(J1731/D1731-1)</f>
        <v/>
      </c>
      <c r="N1731" t="n">
        <v>52.4</v>
      </c>
      <c r="O1731" s="28">
        <f>(N1731+F1731)/2</f>
        <v/>
      </c>
      <c r="P1731">
        <f>IF(O1731="計算不能","計算不能",IF(O1731&gt;=80,5,IF(O1731&gt;=60,4,IF(O1731&gt;=40,3,IF(O1731&gt;=28,2,1)))))</f>
        <v/>
      </c>
      <c r="Q1731" t="n">
        <v>271</v>
      </c>
      <c r="R1731" t="n">
        <v>0</v>
      </c>
      <c r="S1731" s="27">
        <f>R1731/Q1731</f>
        <v/>
      </c>
      <c r="T1731" t="inlineStr">
        <is>
          <t>座間味村は2045年までに人口が約12.6%減と緩やかな減少局面。若年層の都市部流出と高齢化が進むが、当面の賃貸稼働は一定程度維持される見通し。</t>
        </is>
      </c>
      <c r="U1731" t="inlineStr">
        <is>
          <t>座間味村は人口密度50人/km²と過疎的水準で、民間賃貸の新規需要は薄い。実需に裏付けられた格安戸建ての指値取得のみが現実的。 借家の空室率は約0%と需給は比較的引き締まっている。</t>
        </is>
      </c>
      <c r="V1731" t="inlineStr">
        <is>
          <t>座間味村（沖縄県）：台風常襲と高潮・暴風、低地の浸水、津波想定、塩害による建物劣化に注意。</t>
        </is>
      </c>
    </row>
    <row r="1732">
      <c r="A1732" t="inlineStr">
        <is>
          <t>沖縄県</t>
        </is>
      </c>
      <c r="B1732" t="inlineStr">
        <is>
          <t>粟国村</t>
        </is>
      </c>
      <c r="C1732" t="n">
        <v>436</v>
      </c>
      <c r="D1732" t="n">
        <v>623</v>
      </c>
      <c r="E1732" s="6" t="n">
        <v>80</v>
      </c>
      <c r="F1732" s="7" t="n">
        <v>18</v>
      </c>
      <c r="G1732" t="n">
        <v>683</v>
      </c>
      <c r="H1732" t="n">
        <v>623</v>
      </c>
      <c r="I1732" t="n">
        <v>572</v>
      </c>
      <c r="J1732" t="n">
        <v>486</v>
      </c>
      <c r="K1732" s="27">
        <f>(H1732/D1732-1)</f>
        <v/>
      </c>
      <c r="L1732" s="27">
        <f>(I1732/D1732-1)</f>
        <v/>
      </c>
      <c r="M1732" s="27">
        <f>(J1732/D1732-1)</f>
        <v/>
      </c>
      <c r="N1732" t="n">
        <v>43.6</v>
      </c>
      <c r="O1732" s="28">
        <f>(N1732+F1732)/2</f>
        <v/>
      </c>
      <c r="P1732">
        <f>IF(O1732="計算不能","計算不能",IF(O1732&gt;=80,5,IF(O1732&gt;=60,4,IF(O1732&gt;=40,3,IF(O1732&gt;=28,2,1)))))</f>
        <v/>
      </c>
      <c r="Q1732" t="n">
        <v>215</v>
      </c>
      <c r="R1732" t="n">
        <v>0</v>
      </c>
      <c r="S1732" s="27">
        <f>R1732/Q1732</f>
        <v/>
      </c>
      <c r="T1732" t="inlineStr">
        <is>
          <t>粟国村は2045年までに人口が約22.0%減と明確な減少トレンド。高齢化の進行と世帯数の縮小により、中長期では賃貸需要の構造的縮小に警戒が必要。</t>
        </is>
      </c>
      <c r="U1732" t="inlineStr">
        <is>
          <t>粟国村は人口密度80人/km²と過疎的水準で、民間賃貸の新規需要は薄い。実需に裏付けられた格安戸建ての指値取得のみが現実的。 借家の空室率は約0%と需給は比較的引き締まっている。</t>
        </is>
      </c>
      <c r="V1732" t="inlineStr">
        <is>
          <t>粟国村（沖縄県）：台風常襲と高潮・暴風、低地の浸水、津波想定、塩害による建物劣化に注意。</t>
        </is>
      </c>
    </row>
    <row r="1733">
      <c r="A1733" t="inlineStr">
        <is>
          <t>沖縄県</t>
        </is>
      </c>
      <c r="B1733" t="inlineStr">
        <is>
          <t>渡名喜村</t>
        </is>
      </c>
      <c r="C1733" t="n">
        <v>204</v>
      </c>
      <c r="D1733" t="n">
        <v>315</v>
      </c>
      <c r="E1733" s="6" t="n">
        <v>60.5</v>
      </c>
      <c r="F1733" s="7" t="n">
        <v>16.1</v>
      </c>
      <c r="G1733" t="n">
        <v>346</v>
      </c>
      <c r="H1733" t="n">
        <v>315</v>
      </c>
      <c r="I1733" t="n">
        <v>284</v>
      </c>
      <c r="J1733" t="n">
        <v>243</v>
      </c>
      <c r="K1733" s="27">
        <f>(H1733/D1733-1)</f>
        <v/>
      </c>
      <c r="L1733" s="27">
        <f>(I1733/D1733-1)</f>
        <v/>
      </c>
      <c r="M1733" s="27">
        <f>(J1733/D1733-1)</f>
        <v/>
      </c>
      <c r="N1733" t="n">
        <v>42.7</v>
      </c>
      <c r="O1733" s="28">
        <f>(N1733+F1733)/2</f>
        <v/>
      </c>
      <c r="P1733">
        <f>IF(O1733="計算不能","計算不能",IF(O1733&gt;=80,5,IF(O1733&gt;=60,4,IF(O1733&gt;=40,3,IF(O1733&gt;=28,2,1)))))</f>
        <v/>
      </c>
      <c r="Q1733" t="n">
        <v>100</v>
      </c>
      <c r="R1733" t="n">
        <v>0</v>
      </c>
      <c r="S1733" s="27">
        <f>R1733/Q1733</f>
        <v/>
      </c>
      <c r="T1733" t="inlineStr">
        <is>
          <t>渡名喜村は2045年までに人口が約22.9%減と明確な減少トレンド。高齢化の進行と世帯数の縮小により、中長期では賃貸需要の構造的縮小に警戒が必要。</t>
        </is>
      </c>
      <c r="U1733" t="inlineStr">
        <is>
          <t>渡名喜村は人口密度60人/km²と過疎的水準で、民間賃貸の新規需要は薄い。実需に裏付けられた格安戸建ての指値取得のみが現実的。 借家の空室率は約0%と需給は比較的引き締まっている。</t>
        </is>
      </c>
      <c r="V1733" t="inlineStr">
        <is>
          <t>渡名喜村（沖縄県）：台風常襲と高潮・暴風、低地の浸水、津波想定、塩害による建物劣化に注意。</t>
        </is>
      </c>
    </row>
    <row r="1734">
      <c r="A1734" t="inlineStr">
        <is>
          <t>沖縄県</t>
        </is>
      </c>
      <c r="B1734" t="inlineStr">
        <is>
          <t>南大東村</t>
        </is>
      </c>
      <c r="C1734" t="n">
        <v>716</v>
      </c>
      <c r="D1734" t="n">
        <v>1207</v>
      </c>
      <c r="E1734" s="6" t="n">
        <v>38.4</v>
      </c>
      <c r="F1734" s="7" t="n">
        <v>13.8</v>
      </c>
      <c r="G1734" t="n">
        <v>1285</v>
      </c>
      <c r="H1734" t="n">
        <v>1207</v>
      </c>
      <c r="I1734" t="n">
        <v>1136</v>
      </c>
      <c r="J1734" t="n">
        <v>999</v>
      </c>
      <c r="K1734" s="27">
        <f>(H1734/D1734-1)</f>
        <v/>
      </c>
      <c r="L1734" s="27">
        <f>(I1734/D1734-1)</f>
        <v/>
      </c>
      <c r="M1734" s="27">
        <f>(J1734/D1734-1)</f>
        <v/>
      </c>
      <c r="N1734" t="n">
        <v>50.9</v>
      </c>
      <c r="O1734" s="28">
        <f>(N1734+F1734)/2</f>
        <v/>
      </c>
      <c r="P1734">
        <f>IF(O1734="計算不能","計算不能",IF(O1734&gt;=80,5,IF(O1734&gt;=60,4,IF(O1734&gt;=40,3,IF(O1734&gt;=28,2,1)))))</f>
        <v/>
      </c>
      <c r="Q1734" t="n">
        <v>353</v>
      </c>
      <c r="R1734" t="n">
        <v>0</v>
      </c>
      <c r="S1734" s="27">
        <f>R1734/Q1734</f>
        <v/>
      </c>
      <c r="T1734" t="inlineStr">
        <is>
          <t>南大東村は2045年までに人口が約17.2%減と明確な減少トレンド。高齢化の進行と世帯数の縮小により、中長期では賃貸需要の構造的縮小に警戒が必要。</t>
        </is>
      </c>
      <c r="U1734" t="inlineStr">
        <is>
          <t>南大東村は人口密度38人/km²と過疎的水準で、民間賃貸の新規需要は薄い。実需に裏付けられた格安戸建ての指値取得のみが現実的。 借家の空室率は約0%と需給は比較的引き締まっている。</t>
        </is>
      </c>
      <c r="V1734" t="inlineStr">
        <is>
          <t>南大東村（沖縄県）：台風常襲と高潮・暴風、低地の浸水、津波想定、塩害による建物劣化に注意。</t>
        </is>
      </c>
    </row>
    <row r="1735">
      <c r="A1735" t="inlineStr">
        <is>
          <t>沖縄県</t>
        </is>
      </c>
      <c r="B1735" t="inlineStr">
        <is>
          <t>北大東村</t>
        </is>
      </c>
      <c r="C1735" t="n">
        <v>316</v>
      </c>
      <c r="D1735" t="n">
        <v>563</v>
      </c>
      <c r="E1735" s="6" t="n">
        <v>42.8</v>
      </c>
      <c r="F1735" s="7" t="n">
        <v>14.3</v>
      </c>
      <c r="G1735" t="n">
        <v>590</v>
      </c>
      <c r="H1735" t="n">
        <v>563</v>
      </c>
      <c r="I1735" t="n">
        <v>530</v>
      </c>
      <c r="J1735" t="n">
        <v>481</v>
      </c>
      <c r="K1735" s="27">
        <f>(H1735/D1735-1)</f>
        <v/>
      </c>
      <c r="L1735" s="27">
        <f>(I1735/D1735-1)</f>
        <v/>
      </c>
      <c r="M1735" s="27">
        <f>(J1735/D1735-1)</f>
        <v/>
      </c>
      <c r="N1735" t="n">
        <v>55</v>
      </c>
      <c r="O1735" s="28">
        <f>(N1735+F1735)/2</f>
        <v/>
      </c>
      <c r="P1735">
        <f>IF(O1735="計算不能","計算不能",IF(O1735&gt;=80,5,IF(O1735&gt;=60,4,IF(O1735&gt;=40,3,IF(O1735&gt;=28,2,1)))))</f>
        <v/>
      </c>
      <c r="Q1735" t="n">
        <v>155</v>
      </c>
      <c r="R1735" t="n">
        <v>0</v>
      </c>
      <c r="S1735" s="27">
        <f>R1735/Q1735</f>
        <v/>
      </c>
      <c r="T1735" t="inlineStr">
        <is>
          <t>北大東村は2045年までに人口が約14.6%減と緩やかな減少局面。若年層の都市部流出と高齢化が進むが、当面の賃貸稼働は一定程度維持される見通し。</t>
        </is>
      </c>
      <c r="U1735" t="inlineStr">
        <is>
          <t>北大東村は人口密度43人/km²と過疎的水準で、民間賃貸の新規需要は薄い。実需に裏付けられた格安戸建ての指値取得のみが現実的。 借家の空室率は約0%と需給は比較的引き締まっている。</t>
        </is>
      </c>
      <c r="V1735" t="inlineStr">
        <is>
          <t>北大東村（沖縄県）：台風常襲と高潮・暴風、低地の浸水、津波想定、塩害による建物劣化に注意。</t>
        </is>
      </c>
    </row>
    <row r="1736">
      <c r="A1736" t="inlineStr">
        <is>
          <t>沖縄県</t>
        </is>
      </c>
      <c r="B1736" t="inlineStr">
        <is>
          <t>伊平屋村</t>
        </is>
      </c>
      <c r="C1736" t="n">
        <v>630</v>
      </c>
      <c r="D1736" t="n">
        <v>1013</v>
      </c>
      <c r="E1736" s="6" t="n">
        <v>48.1</v>
      </c>
      <c r="F1736" s="7" t="n">
        <v>14.8</v>
      </c>
      <c r="G1736" t="n">
        <v>1126</v>
      </c>
      <c r="H1736" t="n">
        <v>1013</v>
      </c>
      <c r="I1736" t="n">
        <v>920</v>
      </c>
      <c r="J1736" t="n">
        <v>710</v>
      </c>
      <c r="K1736" s="27">
        <f>(H1736/D1736-1)</f>
        <v/>
      </c>
      <c r="L1736" s="27">
        <f>(I1736/D1736-1)</f>
        <v/>
      </c>
      <c r="M1736" s="27">
        <f>(J1736/D1736-1)</f>
        <v/>
      </c>
      <c r="N1736" t="n">
        <v>40.3</v>
      </c>
      <c r="O1736" s="28">
        <f>(N1736+F1736)/2</f>
        <v/>
      </c>
      <c r="P1736">
        <f>IF(O1736="計算不能","計算不能",IF(O1736&gt;=80,5,IF(O1736&gt;=60,4,IF(O1736&gt;=40,3,IF(O1736&gt;=28,2,1)))))</f>
        <v/>
      </c>
      <c r="Q1736" t="n">
        <v>310</v>
      </c>
      <c r="R1736" t="n">
        <v>0</v>
      </c>
      <c r="S1736" s="27">
        <f>R1736/Q1736</f>
        <v/>
      </c>
      <c r="T1736" t="inlineStr">
        <is>
          <t>伊平屋村は2045年までに人口が約29.9%減と明確な減少トレンド。高齢化の進行と世帯数の縮小により、中長期では賃貸需要の構造的縮小に警戒が必要。</t>
        </is>
      </c>
      <c r="U1736" t="inlineStr">
        <is>
          <t>伊平屋村は人口密度48人/km²と過疎的水準で、民間賃貸の新規需要は薄い。実需に裏付けられた格安戸建ての指値取得のみが現実的。 借家の空室率は約0%と需給は比較的引き締まっている。</t>
        </is>
      </c>
      <c r="V1736" t="inlineStr">
        <is>
          <t>伊平屋村（沖縄県）：台風常襲と高潮・暴風、低地の浸水、津波想定、塩害による建物劣化に注意。</t>
        </is>
      </c>
    </row>
    <row r="1737">
      <c r="A1737" t="inlineStr">
        <is>
          <t>沖縄県</t>
        </is>
      </c>
      <c r="B1737" t="inlineStr">
        <is>
          <t>伊是名村</t>
        </is>
      </c>
      <c r="C1737" t="n">
        <v>723</v>
      </c>
      <c r="D1737" t="n">
        <v>1236</v>
      </c>
      <c r="E1737" s="6" t="n">
        <v>73.2</v>
      </c>
      <c r="F1737" s="7" t="n">
        <v>17.3</v>
      </c>
      <c r="G1737" t="n">
        <v>1322</v>
      </c>
      <c r="H1737" t="n">
        <v>1236</v>
      </c>
      <c r="I1737" t="n">
        <v>1152</v>
      </c>
      <c r="J1737" t="n">
        <v>951</v>
      </c>
      <c r="K1737" s="27">
        <f>(H1737/D1737-1)</f>
        <v/>
      </c>
      <c r="L1737" s="27">
        <f>(I1737/D1737-1)</f>
        <v/>
      </c>
      <c r="M1737" s="27">
        <f>(J1737/D1737-1)</f>
        <v/>
      </c>
      <c r="N1737" t="n">
        <v>46.8</v>
      </c>
      <c r="O1737" s="28">
        <f>(N1737+F1737)/2</f>
        <v/>
      </c>
      <c r="P1737">
        <f>IF(O1737="計算不能","計算不能",IF(O1737&gt;=80,5,IF(O1737&gt;=60,4,IF(O1737&gt;=40,3,IF(O1737&gt;=28,2,1)))))</f>
        <v/>
      </c>
      <c r="Q1737" t="n">
        <v>356</v>
      </c>
      <c r="R1737" t="n">
        <v>0</v>
      </c>
      <c r="S1737" s="27">
        <f>R1737/Q1737</f>
        <v/>
      </c>
      <c r="T1737" t="inlineStr">
        <is>
          <t>伊是名村は2045年までに人口が約23.1%減と明確な減少トレンド。高齢化の進行と世帯数の縮小により、中長期では賃貸需要の構造的縮小に警戒が必要。</t>
        </is>
      </c>
      <c r="U1737" t="inlineStr">
        <is>
          <t>伊是名村は人口密度73人/km²と過疎的水準で、民間賃貸の新規需要は薄い。実需に裏付けられた格安戸建ての指値取得のみが現実的。 借家の空室率は約0%と需給は比較的引き締まっている。</t>
        </is>
      </c>
      <c r="V1737" t="inlineStr">
        <is>
          <t>伊是名村（沖縄県）：台風常襲と高潮・暴風、低地の浸水、津波想定、塩害による建物劣化に注意。</t>
        </is>
      </c>
    </row>
    <row r="1738">
      <c r="A1738" t="inlineStr">
        <is>
          <t>沖縄県</t>
        </is>
      </c>
      <c r="B1738" t="inlineStr">
        <is>
          <t>久米島町</t>
        </is>
      </c>
      <c r="C1738" t="n">
        <v>3926</v>
      </c>
      <c r="D1738" t="n">
        <v>6618</v>
      </c>
      <c r="E1738" s="6" t="n">
        <v>100.8</v>
      </c>
      <c r="F1738" s="7" t="n">
        <v>20.1</v>
      </c>
      <c r="G1738" t="n">
        <v>7192</v>
      </c>
      <c r="H1738" t="n">
        <v>6618</v>
      </c>
      <c r="I1738" t="n">
        <v>6141</v>
      </c>
      <c r="J1738" t="n">
        <v>4914</v>
      </c>
      <c r="K1738" s="27">
        <f>(H1738/D1738-1)</f>
        <v/>
      </c>
      <c r="L1738" s="27">
        <f>(I1738/D1738-1)</f>
        <v/>
      </c>
      <c r="M1738" s="27">
        <f>(J1738/D1738-1)</f>
        <v/>
      </c>
      <c r="N1738" t="n">
        <v>43.8</v>
      </c>
      <c r="O1738" s="28">
        <f>(N1738+F1738)/2</f>
        <v/>
      </c>
      <c r="P1738">
        <f>IF(O1738="計算不能","計算不能",IF(O1738&gt;=80,5,IF(O1738&gt;=60,4,IF(O1738&gt;=40,3,IF(O1738&gt;=28,2,1)))))</f>
        <v/>
      </c>
      <c r="Q1738" t="n">
        <v>1937</v>
      </c>
      <c r="R1738" t="n">
        <v>0</v>
      </c>
      <c r="S1738" s="27">
        <f>R1738/Q1738</f>
        <v/>
      </c>
      <c r="T1738" t="inlineStr">
        <is>
          <t>久米島町は2045年までに人口が約25.7%減と明確な減少トレンド。高齢化の進行と世帯数の縮小により、中長期では賃貸需要の構造的縮小に警戒が必要。</t>
        </is>
      </c>
      <c r="U1738" t="inlineStr">
        <is>
          <t>久米島町は人口密度101人/km²と過疎的水準で、民間賃貸の新規需要は薄い。実需に裏付けられた格安戸建ての指値取得のみが現実的。 借家の空室率は約0%と需給は比較的引き締まっている。</t>
        </is>
      </c>
      <c r="V1738" t="inlineStr">
        <is>
          <t>久米島町（沖縄県）：台風常襲と高潮・暴風、低地の浸水、津波想定、塩害による建物劣化に注意。</t>
        </is>
      </c>
    </row>
    <row r="1739">
      <c r="A1739" t="inlineStr">
        <is>
          <t>沖縄県</t>
        </is>
      </c>
      <c r="B1739" t="inlineStr">
        <is>
          <t>八重瀬町</t>
        </is>
      </c>
      <c r="C1739" t="n">
        <v>11590</v>
      </c>
      <c r="D1739" t="n">
        <v>32232</v>
      </c>
      <c r="E1739" s="6" t="n">
        <v>1212.5</v>
      </c>
      <c r="F1739" s="7" t="n">
        <v>59.2</v>
      </c>
      <c r="G1739" t="n">
        <v>30941</v>
      </c>
      <c r="H1739" t="n">
        <v>32232</v>
      </c>
      <c r="I1739" t="n">
        <v>33090</v>
      </c>
      <c r="J1739" t="n">
        <v>34373</v>
      </c>
      <c r="K1739" s="27">
        <f>(H1739/D1739-1)</f>
        <v/>
      </c>
      <c r="L1739" s="27">
        <f>(I1739/D1739-1)</f>
        <v/>
      </c>
      <c r="M1739" s="27">
        <f>(J1739/D1739-1)</f>
        <v/>
      </c>
      <c r="N1739" t="n">
        <v>88.7</v>
      </c>
      <c r="O1739" s="28">
        <f>(N1739+F1739)/2</f>
        <v/>
      </c>
      <c r="P1739">
        <f>IF(O1739="計算不能","計算不能",IF(O1739&gt;=80,5,IF(O1739&gt;=60,4,IF(O1739&gt;=40,3,IF(O1739&gt;=28,2,1)))))</f>
        <v/>
      </c>
      <c r="Q1739" t="n">
        <v>5720</v>
      </c>
      <c r="R1739" t="n">
        <v>420</v>
      </c>
      <c r="S1739" s="27">
        <f>R1739/Q1739</f>
        <v/>
      </c>
      <c r="T1739" t="inlineStr">
        <is>
          <t>八重瀬町は2025年から2045年にかけて人口が約6.6%増と全国的にも希少な人口増トレンド。都市機能の集積と職住近接需要を背景に、単身・若年ファミリー層の流入が継続し、賃貸母数の拡大が見込める。</t>
        </is>
      </c>
      <c r="U1739" t="inlineStr">
        <is>
          <t>八重瀬町は人口密度1,212人/km²で、主要道路沿いや中心市街地に一定の賃貸需要が局在。立地選別が稼働を左右する。 借家の空室率は約7%と需給は比較的引き締まっている。</t>
        </is>
      </c>
      <c r="V1739" t="inlineStr">
        <is>
          <t>八重瀬町（沖縄県）：台風常襲と高潮・暴風、低地の浸水、津波想定、塩害による建物劣化に注意。</t>
        </is>
      </c>
    </row>
    <row r="1740">
      <c r="A1740" t="inlineStr">
        <is>
          <t>沖縄県</t>
        </is>
      </c>
      <c r="B1740" t="inlineStr">
        <is>
          <t>多良間村</t>
        </is>
      </c>
      <c r="C1740" t="n">
        <v>544</v>
      </c>
      <c r="D1740" t="n">
        <v>977</v>
      </c>
      <c r="E1740" s="6" t="n">
        <v>42.6</v>
      </c>
      <c r="F1740" s="7" t="n">
        <v>14.3</v>
      </c>
      <c r="G1740" t="n">
        <v>1058</v>
      </c>
      <c r="H1740" t="n">
        <v>977</v>
      </c>
      <c r="I1740" t="n">
        <v>917</v>
      </c>
      <c r="J1740" t="n">
        <v>741</v>
      </c>
      <c r="K1740" s="27">
        <f>(H1740/D1740-1)</f>
        <v/>
      </c>
      <c r="L1740" s="27">
        <f>(I1740/D1740-1)</f>
        <v/>
      </c>
      <c r="M1740" s="27">
        <f>(J1740/D1740-1)</f>
        <v/>
      </c>
      <c r="N1740" t="n">
        <v>44.8</v>
      </c>
      <c r="O1740" s="28">
        <f>(N1740+F1740)/2</f>
        <v/>
      </c>
      <c r="P1740">
        <f>IF(O1740="計算不能","計算不能",IF(O1740&gt;=80,5,IF(O1740&gt;=60,4,IF(O1740&gt;=40,3,IF(O1740&gt;=28,2,1)))))</f>
        <v/>
      </c>
      <c r="Q1740" t="n">
        <v>268</v>
      </c>
      <c r="R1740" t="n">
        <v>0</v>
      </c>
      <c r="S1740" s="27">
        <f>R1740/Q1740</f>
        <v/>
      </c>
      <c r="T1740" t="inlineStr">
        <is>
          <t>多良間村は2045年までに人口が約24.2%減と明確な減少トレンド。高齢化の進行と世帯数の縮小により、中長期では賃貸需要の構造的縮小に警戒が必要。</t>
        </is>
      </c>
      <c r="U1740" t="inlineStr">
        <is>
          <t>多良間村は人口密度43人/km²と過疎的水準で、民間賃貸の新規需要は薄い。実需に裏付けられた格安戸建ての指値取得のみが現実的。 借家の空室率は約0%と需給は比較的引き締まっている。</t>
        </is>
      </c>
      <c r="V1740" t="inlineStr">
        <is>
          <t>多良間村（沖縄県）：台風常襲と高潮・暴風、低地の浸水、津波想定、塩害による建物劣化に注意。</t>
        </is>
      </c>
    </row>
    <row r="1741">
      <c r="A1741" t="inlineStr">
        <is>
          <t>沖縄県</t>
        </is>
      </c>
      <c r="B1741" t="inlineStr">
        <is>
          <t>竹富町</t>
        </is>
      </c>
      <c r="C1741" t="n">
        <v>2534</v>
      </c>
      <c r="D1741" t="n">
        <v>3754</v>
      </c>
      <c r="E1741" s="6" t="n">
        <v>11.9</v>
      </c>
      <c r="F1741" s="7" t="n">
        <v>11.2</v>
      </c>
      <c r="G1741" t="n">
        <v>3942</v>
      </c>
      <c r="H1741" t="n">
        <v>3754</v>
      </c>
      <c r="I1741" t="n">
        <v>3632</v>
      </c>
      <c r="J1741" t="n">
        <v>3425</v>
      </c>
      <c r="K1741" s="27">
        <f>(H1741/D1741-1)</f>
        <v/>
      </c>
      <c r="L1741" s="27">
        <f>(I1741/D1741-1)</f>
        <v/>
      </c>
      <c r="M1741" s="27">
        <f>(J1741/D1741-1)</f>
        <v/>
      </c>
      <c r="N1741" t="n">
        <v>59.1</v>
      </c>
      <c r="O1741" s="28">
        <f>(N1741+F1741)/2</f>
        <v/>
      </c>
      <c r="P1741">
        <f>IF(O1741="計算不能","計算不能",IF(O1741&gt;=80,5,IF(O1741&gt;=60,4,IF(O1741&gt;=40,3,IF(O1741&gt;=28,2,1)))))</f>
        <v/>
      </c>
      <c r="Q1741" t="n">
        <v>1250</v>
      </c>
      <c r="R1741" t="n">
        <v>0</v>
      </c>
      <c r="S1741" s="27">
        <f>R1741/Q1741</f>
        <v/>
      </c>
      <c r="T1741" t="inlineStr">
        <is>
          <t>竹富町は2045年までに人口が約8.8%減と緩やかな減少局面。若年層の都市部流出と高齢化が進むが、当面の賃貸稼働は一定程度維持される見通し。</t>
        </is>
      </c>
      <c r="U1741" t="inlineStr">
        <is>
          <t>竹富町は人口密度12人/km²と過疎的水準で、民間賃貸の新規需要は薄い。実需に裏付けられた格安戸建ての指値取得のみが現実的。 借家の空室率は約0%と需給は比較的引き締まっている。</t>
        </is>
      </c>
      <c r="V1741" t="inlineStr">
        <is>
          <t>竹富町（沖縄県）：台風常襲と高潮・暴風、低地の浸水、津波想定、塩害による建物劣化に注意。</t>
        </is>
      </c>
    </row>
    <row r="1742">
      <c r="A1742" t="inlineStr">
        <is>
          <t>沖縄県</t>
        </is>
      </c>
      <c r="B1742" t="inlineStr">
        <is>
          <t>与那国町</t>
        </is>
      </c>
      <c r="C1742" t="n">
        <v>1028</v>
      </c>
      <c r="D1742" t="n">
        <v>1552</v>
      </c>
      <c r="E1742" s="6" t="n">
        <v>52.2</v>
      </c>
      <c r="F1742" s="7" t="n">
        <v>15.2</v>
      </c>
      <c r="G1742" t="n">
        <v>1676</v>
      </c>
      <c r="H1742" t="n">
        <v>1552</v>
      </c>
      <c r="I1742" t="n">
        <v>1452</v>
      </c>
      <c r="J1742" t="n">
        <v>1194</v>
      </c>
      <c r="K1742" s="27">
        <f>(H1742/D1742-1)</f>
        <v/>
      </c>
      <c r="L1742" s="27">
        <f>(I1742/D1742-1)</f>
        <v/>
      </c>
      <c r="M1742" s="27">
        <f>(J1742/D1742-1)</f>
        <v/>
      </c>
      <c r="N1742" t="n">
        <v>45.3</v>
      </c>
      <c r="O1742" s="28">
        <f>(N1742+F1742)/2</f>
        <v/>
      </c>
      <c r="P1742">
        <f>IF(O1742="計算不能","計算不能",IF(O1742&gt;=80,5,IF(O1742&gt;=60,4,IF(O1742&gt;=40,3,IF(O1742&gt;=28,2,1)))))</f>
        <v/>
      </c>
      <c r="Q1742" t="n">
        <v>507</v>
      </c>
      <c r="R1742" t="n">
        <v>0</v>
      </c>
      <c r="S1742" s="27">
        <f>R1742/Q1742</f>
        <v/>
      </c>
      <c r="T1742" t="inlineStr">
        <is>
          <t>与那国町は2045年までに人口が約23.1%減と明確な減少トレンド。高齢化の進行と世帯数の縮小により、中長期では賃貸需要の構造的縮小に警戒が必要。</t>
        </is>
      </c>
      <c r="U1742" t="inlineStr">
        <is>
          <t>与那国町は人口密度52人/km²と過疎的水準で、民間賃貸の新規需要は薄い。実需に裏付けられた格安戸建ての指値取得のみが現実的。 借家の空室率は約0%と需給は比較的引き締まっている。</t>
        </is>
      </c>
      <c r="V1742" t="inlineStr">
        <is>
          <t>与那国町（沖縄県）：台風常襲と高潮・暴風、低地の浸水、津波想定、塩害による建物劣化に注意。</t>
        </is>
      </c>
    </row>
  </sheetData>
  <autoFilter ref="A1:V17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4"/>
  <sheetViews>
    <sheetView workbookViewId="0">
      <selection activeCell="A1" sqref="A1"/>
    </sheetView>
  </sheetViews>
  <sheetFormatPr baseColWidth="10" defaultColWidth="8.83203125" defaultRowHeight="14"/>
  <cols>
    <col width="32" customWidth="1" min="1" max="1"/>
    <col width="55" customWidth="1" min="2" max="2"/>
    <col width="28" customWidth="1" min="3" max="3"/>
    <col width="18" customWidth="1" min="4" max="4"/>
  </cols>
  <sheetData>
    <row r="1" ht="28" customHeight="1">
      <c r="A1" s="24" t="inlineStr">
        <is>
          <t>不動産エリア評価システム - 計算ロジック仕様書（2025年6月版）</t>
        </is>
      </c>
      <c r="B1" s="19" t="n"/>
      <c r="C1" s="19" t="n"/>
      <c r="D1" s="17" t="n"/>
    </row>
    <row r="3" ht="20" customHeight="1">
      <c r="A3" s="23" t="inlineStr">
        <is>
          <t>セクション1　シート概要</t>
        </is>
      </c>
      <c r="B3" s="19" t="n"/>
      <c r="C3" s="19" t="n"/>
      <c r="D3" s="17" t="n"/>
    </row>
    <row r="4" ht="30" customHeight="1">
      <c r="A4" s="10" t="inlineStr">
        <is>
          <t>目的</t>
        </is>
      </c>
      <c r="B4" s="20" t="inlineStr">
        <is>
          <t>エリア特性シートの各列（スコア・評価）がどのようなロジックで算出されているかを説明する仕様書シート。</t>
        </is>
      </c>
      <c r="C4" s="19" t="n"/>
      <c r="D4" s="17" t="n"/>
    </row>
    <row r="5" ht="30" customHeight="1">
      <c r="A5" s="10" t="inlineStr">
        <is>
          <t>最終更新日</t>
        </is>
      </c>
      <c r="B5" s="20" t="inlineStr">
        <is>
          <t>2025年6月</t>
        </is>
      </c>
      <c r="C5" s="19" t="n"/>
      <c r="D5" s="17" t="n"/>
    </row>
    <row r="6" ht="30" customHeight="1">
      <c r="A6" s="10" t="inlineStr">
        <is>
          <t>対象シート</t>
        </is>
      </c>
      <c r="B6" s="20" t="inlineStr">
        <is>
          <t>エリア特性</t>
        </is>
      </c>
      <c r="C6" s="19" t="n"/>
      <c r="D6" s="17" t="n"/>
    </row>
    <row r="7" ht="30" customHeight="1">
      <c r="A7" s="10" t="inlineStr">
        <is>
          <t>主な変更点</t>
        </is>
      </c>
      <c r="B7" s="20" t="inlineStr">
        <is>
          <t>将来人口スコア（N列）を新ロジックへ全面刷新。総合スコア（O列）・評価（P列）の定義を明確化。浜通り地域の個別対応を追加。</t>
        </is>
      </c>
      <c r="C7" s="19" t="n"/>
      <c r="D7" s="17" t="n"/>
    </row>
    <row r="9" ht="20" customHeight="1">
      <c r="A9" s="23" t="inlineStr">
        <is>
          <t>セクション2　エリア特性シート 列定義</t>
        </is>
      </c>
      <c r="B9" s="19" t="n"/>
      <c r="C9" s="19" t="n"/>
      <c r="D9" s="17" t="n"/>
    </row>
    <row r="10" ht="18" customHeight="1">
      <c r="A10" s="11" t="inlineStr">
        <is>
          <t>列</t>
        </is>
      </c>
      <c r="B10" s="11" t="inlineStr">
        <is>
          <t>列名</t>
        </is>
      </c>
      <c r="C10" s="11" t="inlineStr">
        <is>
          <t>内容・データソース</t>
        </is>
      </c>
      <c r="D10" s="11" t="inlineStr">
        <is>
          <t>備考</t>
        </is>
      </c>
    </row>
    <row r="11" ht="16" customHeight="1">
      <c r="A11" s="12" t="inlineStr">
        <is>
          <t>A</t>
        </is>
      </c>
      <c r="B11" s="16" t="inlineStr">
        <is>
          <t>都道府県</t>
        </is>
      </c>
      <c r="C11" s="21" t="inlineStr">
        <is>
          <t>都道府県名</t>
        </is>
      </c>
      <c r="D11" s="21" t="n"/>
    </row>
    <row r="12" ht="16" customHeight="1">
      <c r="A12" s="12" t="inlineStr">
        <is>
          <t>B</t>
        </is>
      </c>
      <c r="B12" s="16" t="inlineStr">
        <is>
          <t>市区町村</t>
        </is>
      </c>
      <c r="C12" s="21" t="inlineStr">
        <is>
          <t>市区町村名</t>
        </is>
      </c>
      <c r="D12" s="21" t="n"/>
    </row>
    <row r="13" ht="16" customHeight="1">
      <c r="A13" s="12" t="inlineStr">
        <is>
          <t>C</t>
        </is>
      </c>
      <c r="B13" s="16" t="inlineStr">
        <is>
          <t>2025年世帯数</t>
        </is>
      </c>
      <c r="C13" s="21" t="inlineStr">
        <is>
          <t>2025年住民基本台帳等 世帯数</t>
        </is>
      </c>
      <c r="D13" s="21" t="n"/>
    </row>
    <row r="14" ht="16" customHeight="1">
      <c r="A14" s="12" t="inlineStr">
        <is>
          <t>D</t>
        </is>
      </c>
      <c r="B14" s="16" t="inlineStr">
        <is>
          <t>2025年人口</t>
        </is>
      </c>
      <c r="C14" s="21" t="inlineStr">
        <is>
          <t>2025年国勢調査速報値 総人口</t>
        </is>
      </c>
      <c r="D14" s="21" t="inlineStr">
        <is>
          <t>人口スコア計算には不使用（参照値）</t>
        </is>
      </c>
    </row>
    <row r="15" ht="16" customHeight="1">
      <c r="A15" s="12" t="inlineStr">
        <is>
          <t>E</t>
        </is>
      </c>
      <c r="B15" s="16" t="inlineStr">
        <is>
          <t>2025年人口密度</t>
        </is>
      </c>
      <c r="C15" s="21" t="inlineStr">
        <is>
          <t>2025年国勢調査速報値（人/km²）</t>
        </is>
      </c>
      <c r="D15" s="21" t="inlineStr">
        <is>
          <t>人口スコア計算に使用</t>
        </is>
      </c>
    </row>
    <row r="16" ht="16" customHeight="1">
      <c r="A16" s="12" t="inlineStr">
        <is>
          <t>F</t>
        </is>
      </c>
      <c r="B16" s="16" t="inlineStr">
        <is>
          <t>人口スコア</t>
        </is>
      </c>
      <c r="C16" s="21" t="inlineStr">
        <is>
          <t>人口密度（E列）を基にスコア化（10〜100）</t>
        </is>
      </c>
      <c r="D16" s="21" t="inlineStr">
        <is>
          <t>セクション3参照</t>
        </is>
      </c>
    </row>
    <row r="17" ht="16" customHeight="1">
      <c r="A17" s="12" t="inlineStr">
        <is>
          <t>G</t>
        </is>
      </c>
      <c r="B17" s="16" t="inlineStr">
        <is>
          <t>2020年人口</t>
        </is>
      </c>
      <c r="C17" s="21" t="inlineStr">
        <is>
          <t>2020年国勢調査 総人口</t>
        </is>
      </c>
      <c r="D17" s="21" t="inlineStr">
        <is>
          <t>将来増減率の基準値</t>
        </is>
      </c>
    </row>
    <row r="18" ht="16" customHeight="1">
      <c r="A18" s="12" t="inlineStr">
        <is>
          <t>H</t>
        </is>
      </c>
      <c r="B18" s="16" t="inlineStr">
        <is>
          <t>2025年人口</t>
        </is>
      </c>
      <c r="C18" s="21" t="inlineStr">
        <is>
          <t>2025年国勢調査速報値（G列と同義の別参照）</t>
        </is>
      </c>
      <c r="D18" s="21" t="n"/>
    </row>
    <row r="19" ht="16" customHeight="1">
      <c r="A19" s="12" t="inlineStr">
        <is>
          <t>I</t>
        </is>
      </c>
      <c r="B19" s="16" t="inlineStr">
        <is>
          <t>2030年人口</t>
        </is>
      </c>
      <c r="C19" s="21" t="inlineStr">
        <is>
          <t>国立社会保障・人口問題研究所 将来推計人口 2030年値</t>
        </is>
      </c>
      <c r="D19" s="21" t="n"/>
    </row>
    <row r="20" ht="16" customHeight="1">
      <c r="A20" s="12" t="inlineStr">
        <is>
          <t>J</t>
        </is>
      </c>
      <c r="B20" s="16" t="inlineStr">
        <is>
          <t>2045年人口</t>
        </is>
      </c>
      <c r="C20" s="21" t="inlineStr">
        <is>
          <t>国立社会保障・人口問題研究所 将来推計人口 2045年値</t>
        </is>
      </c>
      <c r="D20" s="21" t="n"/>
    </row>
    <row r="21" ht="16" customHeight="1">
      <c r="A21" s="12" t="inlineStr">
        <is>
          <t>K</t>
        </is>
      </c>
      <c r="B21" s="16" t="inlineStr">
        <is>
          <t>5年後人口増減率(%)</t>
        </is>
      </c>
      <c r="C21" s="21" t="inlineStr">
        <is>
          <t>(H - G) / G × 100</t>
        </is>
      </c>
      <c r="D21" s="21" t="inlineStr">
        <is>
          <t>将来人口スコア算出に使用 ウェイト40%</t>
        </is>
      </c>
    </row>
    <row r="22" ht="16" customHeight="1">
      <c r="A22" s="12" t="inlineStr">
        <is>
          <t>L</t>
        </is>
      </c>
      <c r="B22" s="16" t="inlineStr">
        <is>
          <t>10年後人口増減率(%)</t>
        </is>
      </c>
      <c r="C22" s="21" t="inlineStr">
        <is>
          <t>(I - G) / G × 100</t>
        </is>
      </c>
      <c r="D22" s="21" t="inlineStr">
        <is>
          <t>将来人口スコア算出に使用 ウェイト35%</t>
        </is>
      </c>
    </row>
    <row r="23" ht="16" customHeight="1">
      <c r="A23" s="12" t="inlineStr">
        <is>
          <t>M</t>
        </is>
      </c>
      <c r="B23" s="16" t="inlineStr">
        <is>
          <t>25年後人口増減率(%)</t>
        </is>
      </c>
      <c r="C23" s="21" t="inlineStr">
        <is>
          <t>(J - G) / G × 100</t>
        </is>
      </c>
      <c r="D23" s="21" t="inlineStr">
        <is>
          <t>将来人口スコア算出に使用 ウェイト25%</t>
        </is>
      </c>
    </row>
    <row r="24" ht="16" customHeight="1">
      <c r="A24" s="12" t="inlineStr">
        <is>
          <t>N</t>
        </is>
      </c>
      <c r="B24" s="16" t="inlineStr">
        <is>
          <t>将来人口スコア</t>
        </is>
      </c>
      <c r="C24" s="21" t="inlineStr">
        <is>
          <t>加重増減率から算出（10〜100）</t>
        </is>
      </c>
      <c r="D24" s="21" t="inlineStr">
        <is>
          <t>セクション4参照</t>
        </is>
      </c>
    </row>
    <row r="25" ht="16" customHeight="1">
      <c r="A25" s="12" t="inlineStr">
        <is>
          <t>O</t>
        </is>
      </c>
      <c r="B25" s="16" t="inlineStr">
        <is>
          <t>総合スコア</t>
        </is>
      </c>
      <c r="C25" s="21" t="inlineStr">
        <is>
          <t>(F + N) ÷ 2</t>
        </is>
      </c>
      <c r="D25" s="21" t="inlineStr">
        <is>
          <t>セクション5参照</t>
        </is>
      </c>
    </row>
    <row r="26" ht="16" customHeight="1">
      <c r="A26" s="12" t="inlineStr">
        <is>
          <t>P</t>
        </is>
      </c>
      <c r="B26" s="16" t="inlineStr">
        <is>
          <t>評価</t>
        </is>
      </c>
      <c r="C26" s="21" t="inlineStr">
        <is>
          <t>総合スコアに基づく5段階評価</t>
        </is>
      </c>
      <c r="D26" s="21" t="inlineStr">
        <is>
          <t>セクション6参照</t>
        </is>
      </c>
    </row>
    <row r="28" ht="20" customHeight="1">
      <c r="A28" s="23" t="inlineStr">
        <is>
          <t>セクション3　人口スコア（F列）の計算ロジック</t>
        </is>
      </c>
      <c r="B28" s="19" t="n"/>
      <c r="C28" s="19" t="n"/>
      <c r="D28" s="17" t="n"/>
    </row>
    <row r="29" ht="16" customHeight="1">
      <c r="A29" s="15" t="inlineStr">
        <is>
          <t>評価軸</t>
        </is>
      </c>
      <c r="B29" s="22" t="inlineStr">
        <is>
          <t>人口密度（E列: 2025年国勢調査速報値, 人/km²）を基にスコア化</t>
        </is>
      </c>
      <c r="C29" s="19" t="n"/>
      <c r="D29" s="17" t="n"/>
    </row>
    <row r="30" ht="16" customHeight="1">
      <c r="A30" s="15" t="inlineStr">
        <is>
          <t>スコア範囲</t>
        </is>
      </c>
      <c r="B30" s="22" t="inlineStr">
        <is>
          <t>10〜100（整数値）</t>
        </is>
      </c>
      <c r="C30" s="19" t="n"/>
      <c r="D30" s="17" t="n"/>
    </row>
    <row r="31" ht="18" customHeight="1">
      <c r="A31" s="11" t="inlineStr">
        <is>
          <t>人口密度（E列）の範囲</t>
        </is>
      </c>
      <c r="B31" s="11" t="inlineStr">
        <is>
          <t>スコア</t>
        </is>
      </c>
      <c r="C31" s="11" t="inlineStr">
        <is>
          <t>説明</t>
        </is>
      </c>
      <c r="D31" s="11" t="n"/>
    </row>
    <row r="32" ht="16" customHeight="1">
      <c r="A32" s="16" t="inlineStr">
        <is>
          <t>≥ 10,000 人/km²</t>
        </is>
      </c>
      <c r="B32" s="12" t="inlineStr">
        <is>
          <t>100</t>
        </is>
      </c>
      <c r="C32" s="16" t="inlineStr">
        <is>
          <t>超高密度（東京23区コア等）</t>
        </is>
      </c>
      <c r="D32" s="17" t="n"/>
    </row>
    <row r="33" ht="16" customHeight="1">
      <c r="A33" s="16" t="inlineStr">
        <is>
          <t>5,000 ≦ E &lt; 10,000</t>
        </is>
      </c>
      <c r="B33" s="12" t="inlineStr">
        <is>
          <t>90〜99</t>
        </is>
      </c>
      <c r="C33" s="16" t="inlineStr">
        <is>
          <t>大都市圏・高需要エリア（線形補間）</t>
        </is>
      </c>
      <c r="D33" s="17" t="n"/>
    </row>
    <row r="34" ht="16" customHeight="1">
      <c r="A34" s="16" t="inlineStr">
        <is>
          <t>3,000 ≦ E &lt; 5,000</t>
        </is>
      </c>
      <c r="B34" s="12" t="inlineStr">
        <is>
          <t>80〜89</t>
        </is>
      </c>
      <c r="C34" s="16" t="inlineStr">
        <is>
          <t>政令市コア（大阪・名古屋等）</t>
        </is>
      </c>
      <c r="D34" s="17" t="n"/>
    </row>
    <row r="35" ht="16" customHeight="1">
      <c r="A35" s="16" t="inlineStr">
        <is>
          <t>1,500 ≦ E &lt; 3,000</t>
        </is>
      </c>
      <c r="B35" s="12" t="inlineStr">
        <is>
          <t>65〜79</t>
        </is>
      </c>
      <c r="C35" s="16" t="inlineStr">
        <is>
          <t>地方主要都市・中核市（線形補間）</t>
        </is>
      </c>
      <c r="D35" s="17" t="n"/>
    </row>
    <row r="36" ht="16" customHeight="1">
      <c r="A36" s="16" t="inlineStr">
        <is>
          <t>500 ≦ E &lt; 1,500</t>
        </is>
      </c>
      <c r="B36" s="12" t="inlineStr">
        <is>
          <t>45〜64</t>
        </is>
      </c>
      <c r="C36" s="16" t="inlineStr">
        <is>
          <t>地方一般都市（線形補間）</t>
        </is>
      </c>
      <c r="D36" s="17" t="n"/>
    </row>
    <row r="37" ht="16" customHeight="1">
      <c r="A37" s="16" t="inlineStr">
        <is>
          <t>200 ≦ E &lt; 500</t>
        </is>
      </c>
      <c r="B37" s="12" t="inlineStr">
        <is>
          <t>30〜44</t>
        </is>
      </c>
      <c r="C37" s="16" t="inlineStr">
        <is>
          <t>小規模都市・町村（線形補間）</t>
        </is>
      </c>
      <c r="D37" s="17" t="n"/>
    </row>
    <row r="38" ht="16" customHeight="1">
      <c r="A38" s="16" t="inlineStr">
        <is>
          <t>100 ≦ E &lt; 200</t>
        </is>
      </c>
      <c r="B38" s="12" t="inlineStr">
        <is>
          <t>20〜29</t>
        </is>
      </c>
      <c r="C38" s="16" t="inlineStr">
        <is>
          <t>小規模町村（線形補間）</t>
        </is>
      </c>
      <c r="D38" s="17" t="n"/>
    </row>
    <row r="39" ht="16" customHeight="1">
      <c r="A39" s="16" t="inlineStr">
        <is>
          <t>E &lt; 100</t>
        </is>
      </c>
      <c r="B39" s="12" t="inlineStr">
        <is>
          <t>10〜19</t>
        </is>
      </c>
      <c r="C39" s="16" t="inlineStr">
        <is>
          <t>過疎・農山村地域（線形補間）</t>
        </is>
      </c>
      <c r="D39" s="17" t="n"/>
    </row>
    <row r="40" ht="16" customHeight="1">
      <c r="A40" s="15" t="inlineStr">
        <is>
          <t>補足</t>
        </is>
      </c>
      <c r="B40" s="22" t="inlineStr">
        <is>
          <t>各帯内は線形補間。最低10点・最高100点でクリップ。小数第1位四捨五入。</t>
        </is>
      </c>
      <c r="C40" s="19" t="n"/>
      <c r="D40" s="17" t="n"/>
    </row>
    <row r="42" ht="20" customHeight="1">
      <c r="A42" s="23" t="inlineStr">
        <is>
          <t>セクション4　将来人口スコア（N列）の計算ロジック</t>
        </is>
      </c>
      <c r="B42" s="19" t="n"/>
      <c r="C42" s="19" t="n"/>
      <c r="D42" s="17" t="n"/>
    </row>
    <row r="43" ht="20" customHeight="1">
      <c r="A43" s="15" t="inlineStr">
        <is>
          <t>ステップ①　加重増減率の算出</t>
        </is>
      </c>
      <c r="B43" s="18" t="inlineStr">
        <is>
          <t>G_w = K×0.40 + L×0.35 + M×0.25</t>
        </is>
      </c>
      <c r="C43" s="19" t="n"/>
      <c r="D43" s="17" t="n"/>
    </row>
    <row r="44" ht="16" customHeight="1">
      <c r="A44" s="16" t="inlineStr">
        <is>
          <t>K列（5年後増減率）</t>
        </is>
      </c>
      <c r="B44" s="12" t="inlineStr">
        <is>
          <t>× 0.40 (40%)</t>
        </is>
      </c>
      <c r="C44" s="21" t="inlineStr">
        <is>
          <t>直近の賃貸稼働安定度に最直結</t>
        </is>
      </c>
      <c r="D44" s="17" t="n"/>
    </row>
    <row r="45" ht="16" customHeight="1">
      <c r="A45" s="16" t="inlineStr">
        <is>
          <t>L列（10年後増減率）</t>
        </is>
      </c>
      <c r="B45" s="12" t="inlineStr">
        <is>
          <t>× 0.35 (35%)</t>
        </is>
      </c>
      <c r="C45" s="21" t="inlineStr">
        <is>
          <t>物件保有〜売却の典型期間に対応する中期トレンド</t>
        </is>
      </c>
      <c r="D45" s="17" t="n"/>
    </row>
    <row r="46" ht="16" customHeight="1">
      <c r="A46" s="16" t="inlineStr">
        <is>
          <t>M列（25年後増減率）</t>
        </is>
      </c>
      <c r="B46" s="12" t="inlineStr">
        <is>
          <t>× 0.25 (25%)</t>
        </is>
      </c>
      <c r="C46" s="21" t="inlineStr">
        <is>
          <t>超長期ローン償還リスクを補完的に評価</t>
        </is>
      </c>
      <c r="D46" s="17" t="n"/>
    </row>
    <row r="47" ht="20" customHeight="1">
      <c r="A47" s="15" t="inlineStr">
        <is>
          <t>ステップ②　スコア変換</t>
        </is>
      </c>
      <c r="B47" s="22" t="inlineStr">
        <is>
          <t>G_w の範囲に応じてスコアを算出</t>
        </is>
      </c>
      <c r="C47" s="19" t="n"/>
      <c r="D47" s="17" t="n"/>
    </row>
    <row r="48" ht="18" customHeight="1">
      <c r="A48" s="11" t="inlineStr">
        <is>
          <t>G_w の範囲</t>
        </is>
      </c>
      <c r="B48" s="11" t="inlineStr">
        <is>
          <t>スコア計算式</t>
        </is>
      </c>
      <c r="C48" s="11" t="inlineStr">
        <is>
          <t>説明</t>
        </is>
      </c>
      <c r="D48" s="11" t="n"/>
    </row>
    <row r="49" ht="16" customHeight="1">
      <c r="A49" s="16" t="inlineStr">
        <is>
          <t>G_w ≥ +10%</t>
        </is>
      </c>
      <c r="B49" s="12" t="inlineStr">
        <is>
          <t>95 + (G_w − 10) × 0.5</t>
        </is>
      </c>
      <c r="C49" s="16" t="inlineStr">
        <is>
          <t>人口増加エリア（上限100）</t>
        </is>
      </c>
      <c r="D49" s="17" t="n"/>
    </row>
    <row r="50" ht="16" customHeight="1">
      <c r="A50" s="16" t="inlineStr">
        <is>
          <t>0% ≦ G_w &lt; +10%</t>
        </is>
      </c>
      <c r="B50" s="12" t="inlineStr">
        <is>
          <t>75 + G_w × 2.0</t>
        </is>
      </c>
      <c r="C50" s="16" t="inlineStr">
        <is>
          <t>微増・横ばいエリア</t>
        </is>
      </c>
      <c r="D50" s="17" t="n"/>
    </row>
    <row r="51" ht="16" customHeight="1">
      <c r="A51" s="16" t="inlineStr">
        <is>
          <t>−15% ≦ G_w &lt; 0%</t>
        </is>
      </c>
      <c r="B51" s="12" t="inlineStr">
        <is>
          <t>75 + G_w × 2.0</t>
        </is>
      </c>
      <c r="C51" s="16" t="inlineStr">
        <is>
          <t>緩やかな人口減少エリア</t>
        </is>
      </c>
      <c r="D51" s="17" t="n"/>
    </row>
    <row r="52" ht="16" customHeight="1">
      <c r="A52" s="16" t="inlineStr">
        <is>
          <t>−30% ≦ G_w &lt; −15%</t>
        </is>
      </c>
      <c r="B52" s="12" t="inlineStr">
        <is>
          <t>45 + (G_w + 15) × 1.0</t>
        </is>
      </c>
      <c r="C52" s="16" t="inlineStr">
        <is>
          <t>中程度の人口減少エリア</t>
        </is>
      </c>
      <c r="D52" s="17" t="n"/>
    </row>
    <row r="53" ht="16" customHeight="1">
      <c r="A53" s="16" t="inlineStr">
        <is>
          <t>G_w &lt; −30%</t>
        </is>
      </c>
      <c r="B53" s="12" t="inlineStr">
        <is>
          <t>30 + (G_w + 30) × 0.5</t>
        </is>
      </c>
      <c r="C53" s="16" t="inlineStr">
        <is>
          <t>急激な人口減少エリア（下限10）</t>
        </is>
      </c>
      <c r="D53" s="17" t="n"/>
    </row>
    <row r="54" ht="16" customHeight="1">
      <c r="A54" s="15" t="inlineStr">
        <is>
          <t>最終値</t>
        </is>
      </c>
      <c r="B54" s="26" t="inlineStr">
        <is>
          <t>MIN(100, MAX(10, スコア変換値))　小数第1位</t>
        </is>
      </c>
      <c r="C54" s="19" t="n"/>
      <c r="D54" s="17" t="n"/>
    </row>
    <row r="56" ht="20" customHeight="1">
      <c r="A56" s="23" t="inlineStr">
        <is>
          <t>セクション5　総合スコア（O列）</t>
        </is>
      </c>
      <c r="B56" s="19" t="n"/>
      <c r="C56" s="19" t="n"/>
      <c r="D56" s="17" t="n"/>
    </row>
    <row r="57" ht="18" customHeight="1">
      <c r="A57" s="15" t="inlineStr">
        <is>
          <t>計算式</t>
        </is>
      </c>
      <c r="B57" s="18" t="inlineStr">
        <is>
          <t>総合スコア = (人口スコア F列 + 将来人口スコア N列) ÷ 2</t>
        </is>
      </c>
      <c r="C57" s="19" t="n"/>
      <c r="D57" s="17" t="n"/>
    </row>
    <row r="58" ht="16" customHeight="1">
      <c r="A58" s="15" t="inlineStr">
        <is>
          <t>範囲・丸め</t>
        </is>
      </c>
      <c r="B58" s="22" t="inlineStr">
        <is>
          <t>10〜100。小数第1位。</t>
        </is>
      </c>
      <c r="C58" s="19" t="n"/>
      <c r="D58" s="17" t="n"/>
    </row>
    <row r="60" ht="20" customHeight="1">
      <c r="A60" s="23" t="inlineStr">
        <is>
          <t>セクション6　評価（P列）のルール</t>
        </is>
      </c>
      <c r="B60" s="19" t="n"/>
      <c r="C60" s="19" t="n"/>
      <c r="D60" s="17" t="n"/>
    </row>
    <row r="61" ht="18" customHeight="1">
      <c r="A61" s="11" t="inlineStr">
        <is>
          <t>総合スコア（O列）の範囲</t>
        </is>
      </c>
      <c r="B61" s="11" t="inlineStr">
        <is>
          <t>評価値</t>
        </is>
      </c>
      <c r="C61" s="11" t="inlineStr">
        <is>
          <t>表示ラベル</t>
        </is>
      </c>
      <c r="D61" s="11" t="inlineStr">
        <is>
          <t>不動産投資上の意味</t>
        </is>
      </c>
    </row>
    <row r="62" ht="20" customHeight="1">
      <c r="A62" s="12" t="inlineStr">
        <is>
          <t>80 以上</t>
        </is>
      </c>
      <c r="B62" s="12" t="inlineStr">
        <is>
          <t>5</t>
        </is>
      </c>
      <c r="C62" s="16" t="inlineStr">
        <is>
          <t>S　最優良</t>
        </is>
      </c>
      <c r="D62" s="21" t="inlineStr">
        <is>
          <t>最上位エリア。長期保有・ファミリー〜法人向け全般で高需要</t>
        </is>
      </c>
    </row>
    <row r="63" ht="20" customHeight="1">
      <c r="A63" s="12" t="inlineStr">
        <is>
          <t>60 以上 80 未満</t>
        </is>
      </c>
      <c r="B63" s="12" t="inlineStr">
        <is>
          <t>4</t>
        </is>
      </c>
      <c r="C63" s="16" t="inlineStr">
        <is>
          <t>A　優良</t>
        </is>
      </c>
      <c r="D63" s="21" t="inlineStr">
        <is>
          <t>優良エリア。安定稼働が見込める主力投資対象</t>
        </is>
      </c>
    </row>
    <row r="64" ht="20" customHeight="1">
      <c r="A64" s="12" t="inlineStr">
        <is>
          <t>40 以上 60 未満</t>
        </is>
      </c>
      <c r="B64" s="12" t="inlineStr">
        <is>
          <t>3</t>
        </is>
      </c>
      <c r="C64" s="16" t="inlineStr">
        <is>
          <t>B　条件付き適合</t>
        </is>
      </c>
      <c r="D64" s="21" t="inlineStr">
        <is>
          <t>物件・立地を精査すれば成立しうる標準エリア</t>
        </is>
      </c>
    </row>
    <row r="65" ht="20" customHeight="1">
      <c r="A65" s="12" t="inlineStr">
        <is>
          <t>28 以上 40 未満</t>
        </is>
      </c>
      <c r="B65" s="12" t="inlineStr">
        <is>
          <t>2</t>
        </is>
      </c>
      <c r="C65" s="16" t="inlineStr">
        <is>
          <t>C　要選別</t>
        </is>
      </c>
      <c r="D65" s="21" t="inlineStr">
        <is>
          <t>過疎化・密度低下リスクあり。出口戦略に注意</t>
        </is>
      </c>
    </row>
    <row r="66" ht="20" customHeight="1">
      <c r="A66" s="12" t="inlineStr">
        <is>
          <t>28 未満</t>
        </is>
      </c>
      <c r="B66" s="12" t="inlineStr">
        <is>
          <t>1</t>
        </is>
      </c>
      <c r="C66" s="16" t="inlineStr">
        <is>
          <t>D　不適合</t>
        </is>
      </c>
      <c r="D66" s="21" t="inlineStr">
        <is>
          <t>人口・密度ともに低く、賃貸事業の持続性に懸念</t>
        </is>
      </c>
    </row>
    <row r="68" ht="20" customHeight="1">
      <c r="A68" s="23" t="inlineStr">
        <is>
          <t>セクション7　特記事項</t>
        </is>
      </c>
      <c r="B68" s="19" t="n"/>
      <c r="C68" s="19" t="n"/>
      <c r="D68" s="17" t="n"/>
    </row>
    <row r="69" ht="18" customHeight="1">
      <c r="A69" s="25" t="inlineStr">
        <is>
          <t>浜通り地域（福島県）個別対応</t>
        </is>
      </c>
      <c r="B69" s="19" t="n"/>
      <c r="C69" s="19" t="n"/>
      <c r="D69" s="17" t="n"/>
    </row>
    <row r="70" ht="30" customHeight="1">
      <c r="A70" s="15" t="inlineStr">
        <is>
          <t>対象市町村（13市町村）</t>
        </is>
      </c>
      <c r="B70" s="20" t="inlineStr">
        <is>
          <t>いわき市、相馬市、南相馬市、広野町、楢葉町、富岡町、川内村、大熊町、双葉町、浪江町、葛尾村、新地町、飯舘村</t>
        </is>
      </c>
      <c r="C70" s="19" t="n"/>
      <c r="D70" s="17" t="n"/>
    </row>
    <row r="71" ht="30" customHeight="1">
      <c r="A71" s="15" t="inlineStr">
        <is>
          <t>適用理由</t>
        </is>
      </c>
      <c r="B71" s="20" t="inlineStr">
        <is>
          <t>個別将来人口データが未整備のため、浜通り地域合計（コード7999）の人口動態データを代用</t>
        </is>
      </c>
      <c r="C71" s="19" t="n"/>
      <c r="D71" s="17" t="n"/>
    </row>
    <row r="72" ht="30" customHeight="1">
      <c r="A72" s="15" t="inlineStr">
        <is>
          <t>使用データ（浜通り地域合計）</t>
        </is>
      </c>
      <c r="B72" s="20" t="inlineStr">
        <is>
          <t>2020年: 452,508人 / 2025年: 421,046人 / 2030年: 400,218人 / 2045年: 331,391人</t>
        </is>
      </c>
      <c r="C72" s="19" t="n"/>
      <c r="D72" s="17" t="n"/>
    </row>
    <row r="73" ht="30" customHeight="1">
      <c r="A73" s="15" t="inlineStr">
        <is>
          <t>将来人口スコア</t>
        </is>
      </c>
      <c r="B73" s="20" t="inlineStr">
        <is>
          <t>48.0（加重増減率 −13.52% から算出: K×0.40 + L×0.35 + M×0.25）</t>
        </is>
      </c>
      <c r="C73" s="19" t="n"/>
      <c r="D73" s="17" t="n"/>
    </row>
    <row r="74" ht="30" customHeight="1">
      <c r="A74" s="15" t="inlineStr">
        <is>
          <t>適用範囲</t>
        </is>
      </c>
      <c r="B74" s="20" t="inlineStr">
        <is>
          <t>N列（将来人口スコア）のみ。F列（人口スコア）は各市町村固有の人口密度データをそのまま使用</t>
        </is>
      </c>
      <c r="C74" s="19" t="n"/>
      <c r="D74" s="17" t="n"/>
    </row>
  </sheetData>
  <mergeCells count="42">
    <mergeCell ref="C34:D34"/>
    <mergeCell ref="C33:D33"/>
    <mergeCell ref="B57:D57"/>
    <mergeCell ref="B73:D73"/>
    <mergeCell ref="C45:D45"/>
    <mergeCell ref="B29:D29"/>
    <mergeCell ref="A28:D28"/>
    <mergeCell ref="A68:D68"/>
    <mergeCell ref="C35:D35"/>
    <mergeCell ref="A9:D9"/>
    <mergeCell ref="B40:D40"/>
    <mergeCell ref="C50:D50"/>
    <mergeCell ref="B74:D74"/>
    <mergeCell ref="C44:D44"/>
    <mergeCell ref="B30:D30"/>
    <mergeCell ref="A60:D60"/>
    <mergeCell ref="B6:D6"/>
    <mergeCell ref="A1:D1"/>
    <mergeCell ref="B5:D5"/>
    <mergeCell ref="C46:D46"/>
    <mergeCell ref="A69:D69"/>
    <mergeCell ref="C51:D51"/>
    <mergeCell ref="B4:D4"/>
    <mergeCell ref="C36:D36"/>
    <mergeCell ref="C52:D52"/>
    <mergeCell ref="B7:D7"/>
    <mergeCell ref="B47:D47"/>
    <mergeCell ref="C39:D39"/>
    <mergeCell ref="B54:D54"/>
    <mergeCell ref="B72:D72"/>
    <mergeCell ref="A56:D56"/>
    <mergeCell ref="C32:D32"/>
    <mergeCell ref="C38:D38"/>
    <mergeCell ref="B71:D71"/>
    <mergeCell ref="A3:D3"/>
    <mergeCell ref="C37:D37"/>
    <mergeCell ref="B58:D58"/>
    <mergeCell ref="B70:D70"/>
    <mergeCell ref="B43:D43"/>
    <mergeCell ref="C53:D53"/>
    <mergeCell ref="A42:D42"/>
    <mergeCell ref="C49:D4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2026-05-31T11:15:18Z</dcterms:created>
  <dcterms:modified xmlns:dcterms="http://purl.org/dc/terms/" xmlns:xsi="http://www.w3.org/2001/XMLSchema-instance" xsi:type="dcterms:W3CDTF">2026-06-02T23:36:37Z</dcterms:modified>
  <cp:lastModifiedBy>博人 小松﨑</cp:lastModifiedBy>
</cp:coreProperties>
</file>